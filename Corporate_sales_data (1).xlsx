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6253F46E19602462/Documents/dinesh/"/>
    </mc:Choice>
  </mc:AlternateContent>
  <xr:revisionPtr revIDLastSave="1873" documentId="8_{F4D91035-10AD-4376-93F2-EA2F107D099A}" xr6:coauthVersionLast="47" xr6:coauthVersionMax="47" xr10:uidLastSave="{5682C64B-EA44-42B8-965B-DD3F3D2CCAB8}"/>
  <bookViews>
    <workbookView xWindow="-110" yWindow="-110" windowWidth="19420" windowHeight="10300" tabRatio="752" firstSheet="9" activeTab="13" xr2:uid="{83032D33-246C-4465-85BB-F6F945FFF0C8}"/>
  </bookViews>
  <sheets>
    <sheet name="Sales_data" sheetId="1" r:id="rId1"/>
    <sheet name="Product_master" sheetId="2" r:id="rId2"/>
    <sheet name="Customer_master" sheetId="3" r:id="rId3"/>
    <sheet name="Q1" sheetId="4" r:id="rId4"/>
    <sheet name="Q2" sheetId="5" r:id="rId5"/>
    <sheet name="Q3" sheetId="6" r:id="rId6"/>
    <sheet name="Product_Lookup_Report" sheetId="7" r:id="rId7"/>
    <sheet name="Sales Summary Report" sheetId="8" r:id="rId8"/>
    <sheet name="Sales Statistics Report" sheetId="9" r:id="rId9"/>
    <sheet name="Product Performance" sheetId="10" r:id="rId10"/>
    <sheet name="Financial Analysis Report" sheetId="11" r:id="rId11"/>
    <sheet name="Cleaned_Data" sheetId="13" r:id="rId12"/>
    <sheet name="working Sales Dashboard " sheetId="19" r:id="rId13"/>
    <sheet name="Sales Dashboard " sheetId="20" r:id="rId14"/>
  </sheets>
  <definedNames>
    <definedName name="NativeTimeline_Dashboard_Order_Date">#N/A</definedName>
    <definedName name="Slicer_Category">#REF!</definedName>
    <definedName name="Slicer_Category1">#N/A</definedName>
    <definedName name="Slicer_MentorName">#REF!</definedName>
    <definedName name="Slicer_Platform">#REF!</definedName>
    <definedName name="Slicer_Region">#N/A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5" i="11" l="1"/>
  <c r="D7" i="11"/>
  <c r="D6" i="11"/>
  <c r="F6" i="10"/>
  <c r="F4" i="10"/>
  <c r="F3" i="10"/>
  <c r="F5" i="10" s="1"/>
  <c r="F9" i="9"/>
  <c r="F8" i="9"/>
  <c r="F6" i="9"/>
  <c r="F7" i="9"/>
  <c r="F5" i="9"/>
  <c r="F4" i="9"/>
  <c r="E8" i="8"/>
  <c r="E7" i="8"/>
  <c r="E6" i="8"/>
  <c r="E5" i="8"/>
  <c r="E4" i="8"/>
  <c r="D12" i="7"/>
  <c r="D11" i="7"/>
  <c r="D10" i="7"/>
  <c r="D9" i="7"/>
  <c r="D8" i="7"/>
  <c r="X3" i="6"/>
  <c r="X4" i="6"/>
  <c r="X5" i="6"/>
  <c r="X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X36" i="6"/>
  <c r="X37" i="6"/>
  <c r="X38" i="6"/>
  <c r="X39" i="6"/>
  <c r="X40" i="6"/>
  <c r="X41" i="6"/>
  <c r="X42" i="6"/>
  <c r="X43" i="6"/>
  <c r="X44" i="6"/>
  <c r="X45" i="6"/>
  <c r="X46" i="6"/>
  <c r="X47" i="6"/>
  <c r="X48" i="6"/>
  <c r="X49" i="6"/>
  <c r="X50" i="6"/>
  <c r="X51" i="6"/>
  <c r="X52" i="6"/>
  <c r="X53" i="6"/>
  <c r="X54" i="6"/>
  <c r="X55" i="6"/>
  <c r="X56" i="6"/>
  <c r="X57" i="6"/>
  <c r="X58" i="6"/>
  <c r="X59" i="6"/>
  <c r="X60" i="6"/>
  <c r="X61" i="6"/>
  <c r="X62" i="6"/>
  <c r="X63" i="6"/>
  <c r="X64" i="6"/>
  <c r="X65" i="6"/>
  <c r="X66" i="6"/>
  <c r="X67" i="6"/>
  <c r="X68" i="6"/>
  <c r="X69" i="6"/>
  <c r="X70" i="6"/>
  <c r="X71" i="6"/>
  <c r="X72" i="6"/>
  <c r="X73" i="6"/>
  <c r="X74" i="6"/>
  <c r="X75" i="6"/>
  <c r="X76" i="6"/>
  <c r="X77" i="6"/>
  <c r="X78" i="6"/>
  <c r="X79" i="6"/>
  <c r="X80" i="6"/>
  <c r="X81" i="6"/>
  <c r="X82" i="6"/>
  <c r="X83" i="6"/>
  <c r="X84" i="6"/>
  <c r="X85" i="6"/>
  <c r="X86" i="6"/>
  <c r="X87" i="6"/>
  <c r="X88" i="6"/>
  <c r="X89" i="6"/>
  <c r="X90" i="6"/>
  <c r="X91" i="6"/>
  <c r="X92" i="6"/>
  <c r="X93" i="6"/>
  <c r="X94" i="6"/>
  <c r="X95" i="6"/>
  <c r="X96" i="6"/>
  <c r="X97" i="6"/>
  <c r="X98" i="6"/>
  <c r="X99" i="6"/>
  <c r="X100" i="6"/>
  <c r="X101" i="6"/>
  <c r="X102" i="6"/>
  <c r="X103" i="6"/>
  <c r="X104" i="6"/>
  <c r="X105" i="6"/>
  <c r="X106" i="6"/>
  <c r="X107" i="6"/>
  <c r="X108" i="6"/>
  <c r="X109" i="6"/>
  <c r="X110" i="6"/>
  <c r="X111" i="6"/>
  <c r="X112" i="6"/>
  <c r="X113" i="6"/>
  <c r="X114" i="6"/>
  <c r="X115" i="6"/>
  <c r="X116" i="6"/>
  <c r="X117" i="6"/>
  <c r="X118" i="6"/>
  <c r="X119" i="6"/>
  <c r="X120" i="6"/>
  <c r="X121" i="6"/>
  <c r="X122" i="6"/>
  <c r="X123" i="6"/>
  <c r="X124" i="6"/>
  <c r="X125" i="6"/>
  <c r="X126" i="6"/>
  <c r="X127" i="6"/>
  <c r="X128" i="6"/>
  <c r="X129" i="6"/>
  <c r="X130" i="6"/>
  <c r="X131" i="6"/>
  <c r="X132" i="6"/>
  <c r="X133" i="6"/>
  <c r="X134" i="6"/>
  <c r="X135" i="6"/>
  <c r="X136" i="6"/>
  <c r="X137" i="6"/>
  <c r="X138" i="6"/>
  <c r="X139" i="6"/>
  <c r="X140" i="6"/>
  <c r="X141" i="6"/>
  <c r="X142" i="6"/>
  <c r="X143" i="6"/>
  <c r="X144" i="6"/>
  <c r="X145" i="6"/>
  <c r="X146" i="6"/>
  <c r="X147" i="6"/>
  <c r="X148" i="6"/>
  <c r="X149" i="6"/>
  <c r="X150" i="6"/>
  <c r="X151" i="6"/>
  <c r="X152" i="6"/>
  <c r="X153" i="6"/>
  <c r="X154" i="6"/>
  <c r="X155" i="6"/>
  <c r="X156" i="6"/>
  <c r="X157" i="6"/>
  <c r="X158" i="6"/>
  <c r="X159" i="6"/>
  <c r="X160" i="6"/>
  <c r="X161" i="6"/>
  <c r="X162" i="6"/>
  <c r="X163" i="6"/>
  <c r="X164" i="6"/>
  <c r="X165" i="6"/>
  <c r="X166" i="6"/>
  <c r="X167" i="6"/>
  <c r="X168" i="6"/>
  <c r="X169" i="6"/>
  <c r="X170" i="6"/>
  <c r="X171" i="6"/>
  <c r="X172" i="6"/>
  <c r="X173" i="6"/>
  <c r="X174" i="6"/>
  <c r="X175" i="6"/>
  <c r="X176" i="6"/>
  <c r="X177" i="6"/>
  <c r="X178" i="6"/>
  <c r="X179" i="6"/>
  <c r="X180" i="6"/>
  <c r="X181" i="6"/>
  <c r="X182" i="6"/>
  <c r="X183" i="6"/>
  <c r="X184" i="6"/>
  <c r="X185" i="6"/>
  <c r="X186" i="6"/>
  <c r="X187" i="6"/>
  <c r="X188" i="6"/>
  <c r="X189" i="6"/>
  <c r="X190" i="6"/>
  <c r="X191" i="6"/>
  <c r="X192" i="6"/>
  <c r="X193" i="6"/>
  <c r="X194" i="6"/>
  <c r="X195" i="6"/>
  <c r="X196" i="6"/>
  <c r="X197" i="6"/>
  <c r="X198" i="6"/>
  <c r="X199" i="6"/>
  <c r="X200" i="6"/>
  <c r="X201" i="6"/>
  <c r="X202" i="6"/>
  <c r="X203" i="6"/>
  <c r="X204" i="6"/>
  <c r="X205" i="6"/>
  <c r="X206" i="6"/>
  <c r="X207" i="6"/>
  <c r="X208" i="6"/>
  <c r="X209" i="6"/>
  <c r="X210" i="6"/>
  <c r="X211" i="6"/>
  <c r="X212" i="6"/>
  <c r="X213" i="6"/>
  <c r="X214" i="6"/>
  <c r="X215" i="6"/>
  <c r="X216" i="6"/>
  <c r="X217" i="6"/>
  <c r="X218" i="6"/>
  <c r="X219" i="6"/>
  <c r="X220" i="6"/>
  <c r="X221" i="6"/>
  <c r="X222" i="6"/>
  <c r="X223" i="6"/>
  <c r="X224" i="6"/>
  <c r="X225" i="6"/>
  <c r="X226" i="6"/>
  <c r="X227" i="6"/>
  <c r="X228" i="6"/>
  <c r="X229" i="6"/>
  <c r="X230" i="6"/>
  <c r="X231" i="6"/>
  <c r="X232" i="6"/>
  <c r="X233" i="6"/>
  <c r="X234" i="6"/>
  <c r="X235" i="6"/>
  <c r="X236" i="6"/>
  <c r="X237" i="6"/>
  <c r="X238" i="6"/>
  <c r="X239" i="6"/>
  <c r="X240" i="6"/>
  <c r="X241" i="6"/>
  <c r="X242" i="6"/>
  <c r="X243" i="6"/>
  <c r="X244" i="6"/>
  <c r="X245" i="6"/>
  <c r="X246" i="6"/>
  <c r="X247" i="6"/>
  <c r="X248" i="6"/>
  <c r="X249" i="6"/>
  <c r="X250" i="6"/>
  <c r="X251" i="6"/>
  <c r="X252" i="6"/>
  <c r="X253" i="6"/>
  <c r="X254" i="6"/>
  <c r="X255" i="6"/>
  <c r="X256" i="6"/>
  <c r="X257" i="6"/>
  <c r="X258" i="6"/>
  <c r="X259" i="6"/>
  <c r="X260" i="6"/>
  <c r="X261" i="6"/>
  <c r="X262" i="6"/>
  <c r="X263" i="6"/>
  <c r="X264" i="6"/>
  <c r="X265" i="6"/>
  <c r="X266" i="6"/>
  <c r="X267" i="6"/>
  <c r="X268" i="6"/>
  <c r="X269" i="6"/>
  <c r="X270" i="6"/>
  <c r="X271" i="6"/>
  <c r="X272" i="6"/>
  <c r="X273" i="6"/>
  <c r="X274" i="6"/>
  <c r="X275" i="6"/>
  <c r="X276" i="6"/>
  <c r="X277" i="6"/>
  <c r="X278" i="6"/>
  <c r="X279" i="6"/>
  <c r="X280" i="6"/>
  <c r="X281" i="6"/>
  <c r="X282" i="6"/>
  <c r="X283" i="6"/>
  <c r="X284" i="6"/>
  <c r="X285" i="6"/>
  <c r="X286" i="6"/>
  <c r="X287" i="6"/>
  <c r="X288" i="6"/>
  <c r="X289" i="6"/>
  <c r="X290" i="6"/>
  <c r="X291" i="6"/>
  <c r="X292" i="6"/>
  <c r="X293" i="6"/>
  <c r="X294" i="6"/>
  <c r="X295" i="6"/>
  <c r="X296" i="6"/>
  <c r="X297" i="6"/>
  <c r="X298" i="6"/>
  <c r="X299" i="6"/>
  <c r="X300" i="6"/>
  <c r="X301" i="6"/>
  <c r="X302" i="6"/>
  <c r="X303" i="6"/>
  <c r="X304" i="6"/>
  <c r="X305" i="6"/>
  <c r="X306" i="6"/>
  <c r="X307" i="6"/>
  <c r="X308" i="6"/>
  <c r="X309" i="6"/>
  <c r="X310" i="6"/>
  <c r="X311" i="6"/>
  <c r="X312" i="6"/>
  <c r="X313" i="6"/>
  <c r="X314" i="6"/>
  <c r="X315" i="6"/>
  <c r="X316" i="6"/>
  <c r="X317" i="6"/>
  <c r="X318" i="6"/>
  <c r="X319" i="6"/>
  <c r="X320" i="6"/>
  <c r="X321" i="6"/>
  <c r="X322" i="6"/>
  <c r="X323" i="6"/>
  <c r="X324" i="6"/>
  <c r="X325" i="6"/>
  <c r="X326" i="6"/>
  <c r="X327" i="6"/>
  <c r="X328" i="6"/>
  <c r="X329" i="6"/>
  <c r="X330" i="6"/>
  <c r="X331" i="6"/>
  <c r="X332" i="6"/>
  <c r="X333" i="6"/>
  <c r="X334" i="6"/>
  <c r="X335" i="6"/>
  <c r="X336" i="6"/>
  <c r="X337" i="6"/>
  <c r="X338" i="6"/>
  <c r="X339" i="6"/>
  <c r="X340" i="6"/>
  <c r="X341" i="6"/>
  <c r="X342" i="6"/>
  <c r="X343" i="6"/>
  <c r="X344" i="6"/>
  <c r="X345" i="6"/>
  <c r="X346" i="6"/>
  <c r="X347" i="6"/>
  <c r="X348" i="6"/>
  <c r="X349" i="6"/>
  <c r="X350" i="6"/>
  <c r="X351" i="6"/>
  <c r="X352" i="6"/>
  <c r="X353" i="6"/>
  <c r="X354" i="6"/>
  <c r="X355" i="6"/>
  <c r="X356" i="6"/>
  <c r="X357" i="6"/>
  <c r="X358" i="6"/>
  <c r="X359" i="6"/>
  <c r="X360" i="6"/>
  <c r="X361" i="6"/>
  <c r="X362" i="6"/>
  <c r="X363" i="6"/>
  <c r="X364" i="6"/>
  <c r="X365" i="6"/>
  <c r="X366" i="6"/>
  <c r="X367" i="6"/>
  <c r="X368" i="6"/>
  <c r="X369" i="6"/>
  <c r="X370" i="6"/>
  <c r="X371" i="6"/>
  <c r="X372" i="6"/>
  <c r="X373" i="6"/>
  <c r="X374" i="6"/>
  <c r="X375" i="6"/>
  <c r="X376" i="6"/>
  <c r="X377" i="6"/>
  <c r="X378" i="6"/>
  <c r="X379" i="6"/>
  <c r="X380" i="6"/>
  <c r="X381" i="6"/>
  <c r="X382" i="6"/>
  <c r="X383" i="6"/>
  <c r="X384" i="6"/>
  <c r="X385" i="6"/>
  <c r="X386" i="6"/>
  <c r="X387" i="6"/>
  <c r="X388" i="6"/>
  <c r="X389" i="6"/>
  <c r="X390" i="6"/>
  <c r="X391" i="6"/>
  <c r="X392" i="6"/>
  <c r="X393" i="6"/>
  <c r="X394" i="6"/>
  <c r="X395" i="6"/>
  <c r="X396" i="6"/>
  <c r="X397" i="6"/>
  <c r="X398" i="6"/>
  <c r="X399" i="6"/>
  <c r="X400" i="6"/>
  <c r="X401" i="6"/>
  <c r="X402" i="6"/>
  <c r="X403" i="6"/>
  <c r="X404" i="6"/>
  <c r="X405" i="6"/>
  <c r="X406" i="6"/>
  <c r="X407" i="6"/>
  <c r="X408" i="6"/>
  <c r="X409" i="6"/>
  <c r="X410" i="6"/>
  <c r="X411" i="6"/>
  <c r="X412" i="6"/>
  <c r="X413" i="6"/>
  <c r="X414" i="6"/>
  <c r="X415" i="6"/>
  <c r="X416" i="6"/>
  <c r="X417" i="6"/>
  <c r="X418" i="6"/>
  <c r="X419" i="6"/>
  <c r="X420" i="6"/>
  <c r="X421" i="6"/>
  <c r="X422" i="6"/>
  <c r="X423" i="6"/>
  <c r="X424" i="6"/>
  <c r="X425" i="6"/>
  <c r="X426" i="6"/>
  <c r="X427" i="6"/>
  <c r="X428" i="6"/>
  <c r="X429" i="6"/>
  <c r="X430" i="6"/>
  <c r="X431" i="6"/>
  <c r="X432" i="6"/>
  <c r="X433" i="6"/>
  <c r="X434" i="6"/>
  <c r="X435" i="6"/>
  <c r="X436" i="6"/>
  <c r="X437" i="6"/>
  <c r="X438" i="6"/>
  <c r="X439" i="6"/>
  <c r="X440" i="6"/>
  <c r="X441" i="6"/>
  <c r="X442" i="6"/>
  <c r="X443" i="6"/>
  <c r="X444" i="6"/>
  <c r="X445" i="6"/>
  <c r="X446" i="6"/>
  <c r="X447" i="6"/>
  <c r="X448" i="6"/>
  <c r="X449" i="6"/>
  <c r="X450" i="6"/>
  <c r="X451" i="6"/>
  <c r="X452" i="6"/>
  <c r="X453" i="6"/>
  <c r="X454" i="6"/>
  <c r="X455" i="6"/>
  <c r="X456" i="6"/>
  <c r="X457" i="6"/>
  <c r="X458" i="6"/>
  <c r="X459" i="6"/>
  <c r="X460" i="6"/>
  <c r="X461" i="6"/>
  <c r="X462" i="6"/>
  <c r="X463" i="6"/>
  <c r="X464" i="6"/>
  <c r="X465" i="6"/>
  <c r="X466" i="6"/>
  <c r="X467" i="6"/>
  <c r="X468" i="6"/>
  <c r="X469" i="6"/>
  <c r="X470" i="6"/>
  <c r="X471" i="6"/>
  <c r="X472" i="6"/>
  <c r="X473" i="6"/>
  <c r="X474" i="6"/>
  <c r="X475" i="6"/>
  <c r="X476" i="6"/>
  <c r="X477" i="6"/>
  <c r="X478" i="6"/>
  <c r="X479" i="6"/>
  <c r="X480" i="6"/>
  <c r="X481" i="6"/>
  <c r="X482" i="6"/>
  <c r="X483" i="6"/>
  <c r="X484" i="6"/>
  <c r="X485" i="6"/>
  <c r="X486" i="6"/>
  <c r="X487" i="6"/>
  <c r="X488" i="6"/>
  <c r="X489" i="6"/>
  <c r="X490" i="6"/>
  <c r="X491" i="6"/>
  <c r="X492" i="6"/>
  <c r="X493" i="6"/>
  <c r="X494" i="6"/>
  <c r="X495" i="6"/>
  <c r="X496" i="6"/>
  <c r="X497" i="6"/>
  <c r="X498" i="6"/>
  <c r="X499" i="6"/>
  <c r="X500" i="6"/>
  <c r="X501" i="6"/>
  <c r="X2" i="6"/>
  <c r="Y2" i="6"/>
  <c r="Y3" i="6"/>
  <c r="Y4" i="6"/>
  <c r="Y5" i="6"/>
  <c r="Y6" i="6"/>
  <c r="Y7" i="6"/>
  <c r="Y8" i="6"/>
  <c r="Y9" i="6"/>
  <c r="Y10" i="6"/>
  <c r="Y11" i="6"/>
  <c r="Y12" i="6"/>
  <c r="Y13" i="6"/>
  <c r="Y14" i="6"/>
  <c r="Y15" i="6"/>
  <c r="Y16" i="6"/>
  <c r="Y17" i="6"/>
  <c r="Y18" i="6"/>
  <c r="Y19" i="6"/>
  <c r="Y20" i="6"/>
  <c r="Y21" i="6"/>
  <c r="Y22" i="6"/>
  <c r="Y23" i="6"/>
  <c r="Y24" i="6"/>
  <c r="Y25" i="6"/>
  <c r="Y26" i="6"/>
  <c r="Y27" i="6"/>
  <c r="Y28" i="6"/>
  <c r="Y29" i="6"/>
  <c r="Y30" i="6"/>
  <c r="Y31" i="6"/>
  <c r="Y32" i="6"/>
  <c r="Y33" i="6"/>
  <c r="Y34" i="6"/>
  <c r="Y35" i="6"/>
  <c r="Y36" i="6"/>
  <c r="Y37" i="6"/>
  <c r="Y38" i="6"/>
  <c r="Y39" i="6"/>
  <c r="Y40" i="6"/>
  <c r="Y41" i="6"/>
  <c r="Y42" i="6"/>
  <c r="Y43" i="6"/>
  <c r="Y44" i="6"/>
  <c r="Y45" i="6"/>
  <c r="Y46" i="6"/>
  <c r="Y47" i="6"/>
  <c r="Y48" i="6"/>
  <c r="Y49" i="6"/>
  <c r="Y50" i="6"/>
  <c r="Y51" i="6"/>
  <c r="Y52" i="6"/>
  <c r="Y53" i="6"/>
  <c r="Y54" i="6"/>
  <c r="Y55" i="6"/>
  <c r="Y56" i="6"/>
  <c r="Y57" i="6"/>
  <c r="Y58" i="6"/>
  <c r="Y59" i="6"/>
  <c r="Y60" i="6"/>
  <c r="Y61" i="6"/>
  <c r="Y62" i="6"/>
  <c r="Y63" i="6"/>
  <c r="Y64" i="6"/>
  <c r="Y65" i="6"/>
  <c r="Y66" i="6"/>
  <c r="Y67" i="6"/>
  <c r="Y68" i="6"/>
  <c r="Y69" i="6"/>
  <c r="Y70" i="6"/>
  <c r="Y71" i="6"/>
  <c r="Y72" i="6"/>
  <c r="Y73" i="6"/>
  <c r="Y74" i="6"/>
  <c r="Y75" i="6"/>
  <c r="Y76" i="6"/>
  <c r="Y77" i="6"/>
  <c r="Y78" i="6"/>
  <c r="Y79" i="6"/>
  <c r="Y80" i="6"/>
  <c r="Y81" i="6"/>
  <c r="Y82" i="6"/>
  <c r="Y83" i="6"/>
  <c r="Y84" i="6"/>
  <c r="Y85" i="6"/>
  <c r="Y86" i="6"/>
  <c r="Y87" i="6"/>
  <c r="Y88" i="6"/>
  <c r="Y89" i="6"/>
  <c r="Y90" i="6"/>
  <c r="Y91" i="6"/>
  <c r="Y92" i="6"/>
  <c r="Y93" i="6"/>
  <c r="Y94" i="6"/>
  <c r="Y95" i="6"/>
  <c r="Y96" i="6"/>
  <c r="Y97" i="6"/>
  <c r="Y98" i="6"/>
  <c r="Y99" i="6"/>
  <c r="Y100" i="6"/>
  <c r="Y101" i="6"/>
  <c r="Y102" i="6"/>
  <c r="Y103" i="6"/>
  <c r="Y104" i="6"/>
  <c r="Y105" i="6"/>
  <c r="Y106" i="6"/>
  <c r="Y107" i="6"/>
  <c r="Y108" i="6"/>
  <c r="Y109" i="6"/>
  <c r="Y110" i="6"/>
  <c r="Y111" i="6"/>
  <c r="Y112" i="6"/>
  <c r="Y113" i="6"/>
  <c r="Y114" i="6"/>
  <c r="Y115" i="6"/>
  <c r="Y116" i="6"/>
  <c r="Y117" i="6"/>
  <c r="Y118" i="6"/>
  <c r="Y119" i="6"/>
  <c r="Y120" i="6"/>
  <c r="Y121" i="6"/>
  <c r="Y122" i="6"/>
  <c r="Y123" i="6"/>
  <c r="Y124" i="6"/>
  <c r="Y125" i="6"/>
  <c r="Y126" i="6"/>
  <c r="Y127" i="6"/>
  <c r="Y128" i="6"/>
  <c r="Y129" i="6"/>
  <c r="Y130" i="6"/>
  <c r="Y131" i="6"/>
  <c r="Y132" i="6"/>
  <c r="Y133" i="6"/>
  <c r="Y134" i="6"/>
  <c r="Y135" i="6"/>
  <c r="Y136" i="6"/>
  <c r="Y137" i="6"/>
  <c r="Y138" i="6"/>
  <c r="Y139" i="6"/>
  <c r="Y140" i="6"/>
  <c r="Y141" i="6"/>
  <c r="Y142" i="6"/>
  <c r="Y143" i="6"/>
  <c r="Y144" i="6"/>
  <c r="Y145" i="6"/>
  <c r="Y146" i="6"/>
  <c r="Y147" i="6"/>
  <c r="Y148" i="6"/>
  <c r="Y149" i="6"/>
  <c r="Y150" i="6"/>
  <c r="Y151" i="6"/>
  <c r="Y152" i="6"/>
  <c r="Y153" i="6"/>
  <c r="Y154" i="6"/>
  <c r="Y155" i="6"/>
  <c r="Y156" i="6"/>
  <c r="Y157" i="6"/>
  <c r="Y158" i="6"/>
  <c r="Y159" i="6"/>
  <c r="Y160" i="6"/>
  <c r="Y161" i="6"/>
  <c r="Y162" i="6"/>
  <c r="Y163" i="6"/>
  <c r="Y164" i="6"/>
  <c r="Y165" i="6"/>
  <c r="Y166" i="6"/>
  <c r="Y167" i="6"/>
  <c r="Y168" i="6"/>
  <c r="Y169" i="6"/>
  <c r="Y170" i="6"/>
  <c r="Y171" i="6"/>
  <c r="Y172" i="6"/>
  <c r="Y173" i="6"/>
  <c r="Y174" i="6"/>
  <c r="Y175" i="6"/>
  <c r="Y176" i="6"/>
  <c r="Y177" i="6"/>
  <c r="Y178" i="6"/>
  <c r="Y179" i="6"/>
  <c r="Y180" i="6"/>
  <c r="Y181" i="6"/>
  <c r="Y182" i="6"/>
  <c r="Y183" i="6"/>
  <c r="Y184" i="6"/>
  <c r="Y185" i="6"/>
  <c r="Y186" i="6"/>
  <c r="Y187" i="6"/>
  <c r="Y188" i="6"/>
  <c r="Y189" i="6"/>
  <c r="Y190" i="6"/>
  <c r="Y191" i="6"/>
  <c r="Y192" i="6"/>
  <c r="Y193" i="6"/>
  <c r="Y194" i="6"/>
  <c r="Y195" i="6"/>
  <c r="Y196" i="6"/>
  <c r="Y197" i="6"/>
  <c r="Y198" i="6"/>
  <c r="Y199" i="6"/>
  <c r="Y200" i="6"/>
  <c r="Y201" i="6"/>
  <c r="Y202" i="6"/>
  <c r="Y203" i="6"/>
  <c r="Y204" i="6"/>
  <c r="Y205" i="6"/>
  <c r="Y206" i="6"/>
  <c r="Y207" i="6"/>
  <c r="Y208" i="6"/>
  <c r="Y209" i="6"/>
  <c r="Y210" i="6"/>
  <c r="Y211" i="6"/>
  <c r="Y212" i="6"/>
  <c r="Y213" i="6"/>
  <c r="Y214" i="6"/>
  <c r="Y215" i="6"/>
  <c r="Y216" i="6"/>
  <c r="Y217" i="6"/>
  <c r="Y218" i="6"/>
  <c r="Y219" i="6"/>
  <c r="Y220" i="6"/>
  <c r="Y221" i="6"/>
  <c r="Y222" i="6"/>
  <c r="Y223" i="6"/>
  <c r="Y224" i="6"/>
  <c r="Y225" i="6"/>
  <c r="Y226" i="6"/>
  <c r="Y227" i="6"/>
  <c r="Y228" i="6"/>
  <c r="Y229" i="6"/>
  <c r="Y230" i="6"/>
  <c r="Y231" i="6"/>
  <c r="Y232" i="6"/>
  <c r="Y233" i="6"/>
  <c r="Y234" i="6"/>
  <c r="Y235" i="6"/>
  <c r="Y236" i="6"/>
  <c r="Y237" i="6"/>
  <c r="Y238" i="6"/>
  <c r="Y239" i="6"/>
  <c r="Y240" i="6"/>
  <c r="Y241" i="6"/>
  <c r="Y242" i="6"/>
  <c r="Y243" i="6"/>
  <c r="Y244" i="6"/>
  <c r="Y245" i="6"/>
  <c r="Y246" i="6"/>
  <c r="Y247" i="6"/>
  <c r="Y248" i="6"/>
  <c r="Y249" i="6"/>
  <c r="Y250" i="6"/>
  <c r="Y251" i="6"/>
  <c r="Y252" i="6"/>
  <c r="Y253" i="6"/>
  <c r="Y254" i="6"/>
  <c r="Y255" i="6"/>
  <c r="Y256" i="6"/>
  <c r="Y257" i="6"/>
  <c r="Y258" i="6"/>
  <c r="Y259" i="6"/>
  <c r="Y260" i="6"/>
  <c r="Y261" i="6"/>
  <c r="Y262" i="6"/>
  <c r="Y263" i="6"/>
  <c r="Y264" i="6"/>
  <c r="Y265" i="6"/>
  <c r="Y266" i="6"/>
  <c r="Y267" i="6"/>
  <c r="Y268" i="6"/>
  <c r="Y269" i="6"/>
  <c r="Y270" i="6"/>
  <c r="Y271" i="6"/>
  <c r="Y272" i="6"/>
  <c r="Y273" i="6"/>
  <c r="Y274" i="6"/>
  <c r="Y275" i="6"/>
  <c r="Y276" i="6"/>
  <c r="Y277" i="6"/>
  <c r="Y278" i="6"/>
  <c r="Y279" i="6"/>
  <c r="Y280" i="6"/>
  <c r="Y281" i="6"/>
  <c r="Y282" i="6"/>
  <c r="Y283" i="6"/>
  <c r="Y284" i="6"/>
  <c r="Y285" i="6"/>
  <c r="Y286" i="6"/>
  <c r="Y287" i="6"/>
  <c r="Y288" i="6"/>
  <c r="Y289" i="6"/>
  <c r="Y290" i="6"/>
  <c r="Y291" i="6"/>
  <c r="Y292" i="6"/>
  <c r="Y293" i="6"/>
  <c r="Y294" i="6"/>
  <c r="Y295" i="6"/>
  <c r="Y296" i="6"/>
  <c r="Y297" i="6"/>
  <c r="Y298" i="6"/>
  <c r="Y299" i="6"/>
  <c r="Y300" i="6"/>
  <c r="Y301" i="6"/>
  <c r="Y302" i="6"/>
  <c r="Y303" i="6"/>
  <c r="Y304" i="6"/>
  <c r="Y305" i="6"/>
  <c r="Y306" i="6"/>
  <c r="Y307" i="6"/>
  <c r="Y308" i="6"/>
  <c r="Y309" i="6"/>
  <c r="Y310" i="6"/>
  <c r="Y311" i="6"/>
  <c r="Y312" i="6"/>
  <c r="Y313" i="6"/>
  <c r="Y314" i="6"/>
  <c r="Y315" i="6"/>
  <c r="Y316" i="6"/>
  <c r="Y317" i="6"/>
  <c r="Y318" i="6"/>
  <c r="Y319" i="6"/>
  <c r="Y320" i="6"/>
  <c r="Y321" i="6"/>
  <c r="Y322" i="6"/>
  <c r="Y323" i="6"/>
  <c r="Y324" i="6"/>
  <c r="Y325" i="6"/>
  <c r="Y326" i="6"/>
  <c r="Y327" i="6"/>
  <c r="Y328" i="6"/>
  <c r="Y329" i="6"/>
  <c r="Y330" i="6"/>
  <c r="Y331" i="6"/>
  <c r="Y332" i="6"/>
  <c r="Y333" i="6"/>
  <c r="Y334" i="6"/>
  <c r="Y335" i="6"/>
  <c r="Y336" i="6"/>
  <c r="Y337" i="6"/>
  <c r="Y338" i="6"/>
  <c r="Y339" i="6"/>
  <c r="Y340" i="6"/>
  <c r="Y341" i="6"/>
  <c r="Y342" i="6"/>
  <c r="Y343" i="6"/>
  <c r="Y344" i="6"/>
  <c r="Y345" i="6"/>
  <c r="Y346" i="6"/>
  <c r="Y347" i="6"/>
  <c r="Y348" i="6"/>
  <c r="Y349" i="6"/>
  <c r="Y350" i="6"/>
  <c r="Y351" i="6"/>
  <c r="Y352" i="6"/>
  <c r="Y353" i="6"/>
  <c r="Y354" i="6"/>
  <c r="Y355" i="6"/>
  <c r="Y356" i="6"/>
  <c r="Y357" i="6"/>
  <c r="Y358" i="6"/>
  <c r="Y359" i="6"/>
  <c r="Y360" i="6"/>
  <c r="Y361" i="6"/>
  <c r="Y362" i="6"/>
  <c r="Y363" i="6"/>
  <c r="Y364" i="6"/>
  <c r="Y365" i="6"/>
  <c r="Y366" i="6"/>
  <c r="Y367" i="6"/>
  <c r="Y368" i="6"/>
  <c r="Y369" i="6"/>
  <c r="Y370" i="6"/>
  <c r="Y371" i="6"/>
  <c r="Y372" i="6"/>
  <c r="Y373" i="6"/>
  <c r="Y374" i="6"/>
  <c r="Y375" i="6"/>
  <c r="Y376" i="6"/>
  <c r="Y377" i="6"/>
  <c r="Y378" i="6"/>
  <c r="Y379" i="6"/>
  <c r="Y380" i="6"/>
  <c r="Y381" i="6"/>
  <c r="Y382" i="6"/>
  <c r="Y383" i="6"/>
  <c r="Y384" i="6"/>
  <c r="Y385" i="6"/>
  <c r="Y386" i="6"/>
  <c r="Y387" i="6"/>
  <c r="Y388" i="6"/>
  <c r="Y389" i="6"/>
  <c r="Y390" i="6"/>
  <c r="Y391" i="6"/>
  <c r="Y392" i="6"/>
  <c r="Y393" i="6"/>
  <c r="Y394" i="6"/>
  <c r="Y395" i="6"/>
  <c r="Y396" i="6"/>
  <c r="Y397" i="6"/>
  <c r="Y398" i="6"/>
  <c r="Y399" i="6"/>
  <c r="Y400" i="6"/>
  <c r="Y401" i="6"/>
  <c r="Y402" i="6"/>
  <c r="Y403" i="6"/>
  <c r="Y404" i="6"/>
  <c r="Y405" i="6"/>
  <c r="Y406" i="6"/>
  <c r="Y407" i="6"/>
  <c r="Y408" i="6"/>
  <c r="Y409" i="6"/>
  <c r="Y410" i="6"/>
  <c r="Y411" i="6"/>
  <c r="Y412" i="6"/>
  <c r="Y413" i="6"/>
  <c r="Y414" i="6"/>
  <c r="Y415" i="6"/>
  <c r="Y416" i="6"/>
  <c r="Y417" i="6"/>
  <c r="Y418" i="6"/>
  <c r="Y419" i="6"/>
  <c r="Y420" i="6"/>
  <c r="Y421" i="6"/>
  <c r="Y422" i="6"/>
  <c r="Y423" i="6"/>
  <c r="Y424" i="6"/>
  <c r="Y425" i="6"/>
  <c r="Y426" i="6"/>
  <c r="Y427" i="6"/>
  <c r="Y428" i="6"/>
  <c r="Y429" i="6"/>
  <c r="Y430" i="6"/>
  <c r="Y431" i="6"/>
  <c r="Y432" i="6"/>
  <c r="Y433" i="6"/>
  <c r="Y434" i="6"/>
  <c r="Y435" i="6"/>
  <c r="Y436" i="6"/>
  <c r="Y437" i="6"/>
  <c r="Y438" i="6"/>
  <c r="Y439" i="6"/>
  <c r="Y440" i="6"/>
  <c r="Y441" i="6"/>
  <c r="Y442" i="6"/>
  <c r="Y443" i="6"/>
  <c r="Y444" i="6"/>
  <c r="Y445" i="6"/>
  <c r="Y446" i="6"/>
  <c r="Y447" i="6"/>
  <c r="Y448" i="6"/>
  <c r="Y449" i="6"/>
  <c r="Y450" i="6"/>
  <c r="Y451" i="6"/>
  <c r="Y452" i="6"/>
  <c r="Y453" i="6"/>
  <c r="Y454" i="6"/>
  <c r="Y455" i="6"/>
  <c r="Y456" i="6"/>
  <c r="Y457" i="6"/>
  <c r="Y458" i="6"/>
  <c r="Y459" i="6"/>
  <c r="Y460" i="6"/>
  <c r="Y461" i="6"/>
  <c r="Y462" i="6"/>
  <c r="Y463" i="6"/>
  <c r="Y464" i="6"/>
  <c r="Y465" i="6"/>
  <c r="Y466" i="6"/>
  <c r="Y467" i="6"/>
  <c r="Y468" i="6"/>
  <c r="Y469" i="6"/>
  <c r="Y470" i="6"/>
  <c r="Y471" i="6"/>
  <c r="Y472" i="6"/>
  <c r="Y473" i="6"/>
  <c r="Y474" i="6"/>
  <c r="Y475" i="6"/>
  <c r="Y476" i="6"/>
  <c r="Y477" i="6"/>
  <c r="Y478" i="6"/>
  <c r="Y479" i="6"/>
  <c r="Y480" i="6"/>
  <c r="Y481" i="6"/>
  <c r="Y482" i="6"/>
  <c r="Y483" i="6"/>
  <c r="Y484" i="6"/>
  <c r="Y485" i="6"/>
  <c r="Y486" i="6"/>
  <c r="Y487" i="6"/>
  <c r="Y488" i="6"/>
  <c r="Y489" i="6"/>
  <c r="Y490" i="6"/>
  <c r="Y491" i="6"/>
  <c r="Y492" i="6"/>
  <c r="Y493" i="6"/>
  <c r="Y494" i="6"/>
  <c r="Y495" i="6"/>
  <c r="Y496" i="6"/>
  <c r="Y497" i="6"/>
  <c r="Y498" i="6"/>
  <c r="Y499" i="6"/>
  <c r="Y500" i="6"/>
  <c r="Y501" i="6"/>
  <c r="W2" i="6"/>
  <c r="W3" i="6"/>
  <c r="W4" i="6"/>
  <c r="W5" i="6"/>
  <c r="W6" i="6"/>
  <c r="W7" i="6"/>
  <c r="W8" i="6"/>
  <c r="W9" i="6"/>
  <c r="W10" i="6"/>
  <c r="W11" i="6"/>
  <c r="W12" i="6"/>
  <c r="W13" i="6"/>
  <c r="W14" i="6"/>
  <c r="W15" i="6"/>
  <c r="W16" i="6"/>
  <c r="W17" i="6"/>
  <c r="W18" i="6"/>
  <c r="W19" i="6"/>
  <c r="W20" i="6"/>
  <c r="W21" i="6"/>
  <c r="W22" i="6"/>
  <c r="W23" i="6"/>
  <c r="W24" i="6"/>
  <c r="W25" i="6"/>
  <c r="W26" i="6"/>
  <c r="W27" i="6"/>
  <c r="W28" i="6"/>
  <c r="W29" i="6"/>
  <c r="W30" i="6"/>
  <c r="W31" i="6"/>
  <c r="W32" i="6"/>
  <c r="W33" i="6"/>
  <c r="W34" i="6"/>
  <c r="W35" i="6"/>
  <c r="W36" i="6"/>
  <c r="W37" i="6"/>
  <c r="W38" i="6"/>
  <c r="W39" i="6"/>
  <c r="W40" i="6"/>
  <c r="W41" i="6"/>
  <c r="W42" i="6"/>
  <c r="W43" i="6"/>
  <c r="W44" i="6"/>
  <c r="W45" i="6"/>
  <c r="W46" i="6"/>
  <c r="W47" i="6"/>
  <c r="W48" i="6"/>
  <c r="W49" i="6"/>
  <c r="W50" i="6"/>
  <c r="W51" i="6"/>
  <c r="W52" i="6"/>
  <c r="W53" i="6"/>
  <c r="W54" i="6"/>
  <c r="W55" i="6"/>
  <c r="W56" i="6"/>
  <c r="W57" i="6"/>
  <c r="W58" i="6"/>
  <c r="W59" i="6"/>
  <c r="W60" i="6"/>
  <c r="W61" i="6"/>
  <c r="W62" i="6"/>
  <c r="W63" i="6"/>
  <c r="W64" i="6"/>
  <c r="W65" i="6"/>
  <c r="W66" i="6"/>
  <c r="W67" i="6"/>
  <c r="W68" i="6"/>
  <c r="W69" i="6"/>
  <c r="W70" i="6"/>
  <c r="W71" i="6"/>
  <c r="W72" i="6"/>
  <c r="W73" i="6"/>
  <c r="W74" i="6"/>
  <c r="W75" i="6"/>
  <c r="W76" i="6"/>
  <c r="W77" i="6"/>
  <c r="W78" i="6"/>
  <c r="W79" i="6"/>
  <c r="W80" i="6"/>
  <c r="W81" i="6"/>
  <c r="W82" i="6"/>
  <c r="W83" i="6"/>
  <c r="W84" i="6"/>
  <c r="W85" i="6"/>
  <c r="W86" i="6"/>
  <c r="W87" i="6"/>
  <c r="W88" i="6"/>
  <c r="W89" i="6"/>
  <c r="W90" i="6"/>
  <c r="W91" i="6"/>
  <c r="W92" i="6"/>
  <c r="W93" i="6"/>
  <c r="W94" i="6"/>
  <c r="W95" i="6"/>
  <c r="W96" i="6"/>
  <c r="W97" i="6"/>
  <c r="W98" i="6"/>
  <c r="W99" i="6"/>
  <c r="W100" i="6"/>
  <c r="W101" i="6"/>
  <c r="W102" i="6"/>
  <c r="W103" i="6"/>
  <c r="W104" i="6"/>
  <c r="W105" i="6"/>
  <c r="W106" i="6"/>
  <c r="W107" i="6"/>
  <c r="W108" i="6"/>
  <c r="W109" i="6"/>
  <c r="W110" i="6"/>
  <c r="W111" i="6"/>
  <c r="W112" i="6"/>
  <c r="W113" i="6"/>
  <c r="W114" i="6"/>
  <c r="W115" i="6"/>
  <c r="W116" i="6"/>
  <c r="W117" i="6"/>
  <c r="W118" i="6"/>
  <c r="W119" i="6"/>
  <c r="W120" i="6"/>
  <c r="W121" i="6"/>
  <c r="W122" i="6"/>
  <c r="W123" i="6"/>
  <c r="W124" i="6"/>
  <c r="W125" i="6"/>
  <c r="W126" i="6"/>
  <c r="W127" i="6"/>
  <c r="W128" i="6"/>
  <c r="W129" i="6"/>
  <c r="W130" i="6"/>
  <c r="W131" i="6"/>
  <c r="W132" i="6"/>
  <c r="W133" i="6"/>
  <c r="W134" i="6"/>
  <c r="W135" i="6"/>
  <c r="W136" i="6"/>
  <c r="W137" i="6"/>
  <c r="W138" i="6"/>
  <c r="W139" i="6"/>
  <c r="W140" i="6"/>
  <c r="W141" i="6"/>
  <c r="W142" i="6"/>
  <c r="W143" i="6"/>
  <c r="W144" i="6"/>
  <c r="W145" i="6"/>
  <c r="W146" i="6"/>
  <c r="W147" i="6"/>
  <c r="W148" i="6"/>
  <c r="W149" i="6"/>
  <c r="W150" i="6"/>
  <c r="W151" i="6"/>
  <c r="W152" i="6"/>
  <c r="W153" i="6"/>
  <c r="W154" i="6"/>
  <c r="W155" i="6"/>
  <c r="W156" i="6"/>
  <c r="W157" i="6"/>
  <c r="W158" i="6"/>
  <c r="W159" i="6"/>
  <c r="W160" i="6"/>
  <c r="W161" i="6"/>
  <c r="W162" i="6"/>
  <c r="W163" i="6"/>
  <c r="W164" i="6"/>
  <c r="W165" i="6"/>
  <c r="W166" i="6"/>
  <c r="W167" i="6"/>
  <c r="W168" i="6"/>
  <c r="W169" i="6"/>
  <c r="W170" i="6"/>
  <c r="W171" i="6"/>
  <c r="W172" i="6"/>
  <c r="W173" i="6"/>
  <c r="W174" i="6"/>
  <c r="W175" i="6"/>
  <c r="W176" i="6"/>
  <c r="W177" i="6"/>
  <c r="W178" i="6"/>
  <c r="W179" i="6"/>
  <c r="W180" i="6"/>
  <c r="W181" i="6"/>
  <c r="W182" i="6"/>
  <c r="W183" i="6"/>
  <c r="W184" i="6"/>
  <c r="W185" i="6"/>
  <c r="W186" i="6"/>
  <c r="W187" i="6"/>
  <c r="W188" i="6"/>
  <c r="W189" i="6"/>
  <c r="W190" i="6"/>
  <c r="W191" i="6"/>
  <c r="W192" i="6"/>
  <c r="W193" i="6"/>
  <c r="W194" i="6"/>
  <c r="W195" i="6"/>
  <c r="W196" i="6"/>
  <c r="W197" i="6"/>
  <c r="W198" i="6"/>
  <c r="W199" i="6"/>
  <c r="W200" i="6"/>
  <c r="W201" i="6"/>
  <c r="W202" i="6"/>
  <c r="W203" i="6"/>
  <c r="W204" i="6"/>
  <c r="W205" i="6"/>
  <c r="W206" i="6"/>
  <c r="W207" i="6"/>
  <c r="W208" i="6"/>
  <c r="W209" i="6"/>
  <c r="W210" i="6"/>
  <c r="W211" i="6"/>
  <c r="W212" i="6"/>
  <c r="W213" i="6"/>
  <c r="W214" i="6"/>
  <c r="W215" i="6"/>
  <c r="W216" i="6"/>
  <c r="W217" i="6"/>
  <c r="W218" i="6"/>
  <c r="W219" i="6"/>
  <c r="W220" i="6"/>
  <c r="W221" i="6"/>
  <c r="W222" i="6"/>
  <c r="W223" i="6"/>
  <c r="W224" i="6"/>
  <c r="W225" i="6"/>
  <c r="W226" i="6"/>
  <c r="W227" i="6"/>
  <c r="W228" i="6"/>
  <c r="W229" i="6"/>
  <c r="W230" i="6"/>
  <c r="W231" i="6"/>
  <c r="W232" i="6"/>
  <c r="W233" i="6"/>
  <c r="W234" i="6"/>
  <c r="W235" i="6"/>
  <c r="W236" i="6"/>
  <c r="W237" i="6"/>
  <c r="W238" i="6"/>
  <c r="W239" i="6"/>
  <c r="W240" i="6"/>
  <c r="W241" i="6"/>
  <c r="W242" i="6"/>
  <c r="W243" i="6"/>
  <c r="W244" i="6"/>
  <c r="W245" i="6"/>
  <c r="W246" i="6"/>
  <c r="W247" i="6"/>
  <c r="W248" i="6"/>
  <c r="W249" i="6"/>
  <c r="W250" i="6"/>
  <c r="W251" i="6"/>
  <c r="W252" i="6"/>
  <c r="W253" i="6"/>
  <c r="W254" i="6"/>
  <c r="W255" i="6"/>
  <c r="W256" i="6"/>
  <c r="W257" i="6"/>
  <c r="W258" i="6"/>
  <c r="W259" i="6"/>
  <c r="W260" i="6"/>
  <c r="W261" i="6"/>
  <c r="W262" i="6"/>
  <c r="W263" i="6"/>
  <c r="W264" i="6"/>
  <c r="W265" i="6"/>
  <c r="W266" i="6"/>
  <c r="W267" i="6"/>
  <c r="W268" i="6"/>
  <c r="W269" i="6"/>
  <c r="W270" i="6"/>
  <c r="W271" i="6"/>
  <c r="W272" i="6"/>
  <c r="W273" i="6"/>
  <c r="W274" i="6"/>
  <c r="W275" i="6"/>
  <c r="W276" i="6"/>
  <c r="W277" i="6"/>
  <c r="W278" i="6"/>
  <c r="W279" i="6"/>
  <c r="W280" i="6"/>
  <c r="W281" i="6"/>
  <c r="W282" i="6"/>
  <c r="W283" i="6"/>
  <c r="W284" i="6"/>
  <c r="W285" i="6"/>
  <c r="W286" i="6"/>
  <c r="W287" i="6"/>
  <c r="W288" i="6"/>
  <c r="W289" i="6"/>
  <c r="W290" i="6"/>
  <c r="W291" i="6"/>
  <c r="W292" i="6"/>
  <c r="W293" i="6"/>
  <c r="W294" i="6"/>
  <c r="W295" i="6"/>
  <c r="W296" i="6"/>
  <c r="W297" i="6"/>
  <c r="W298" i="6"/>
  <c r="W299" i="6"/>
  <c r="W300" i="6"/>
  <c r="W301" i="6"/>
  <c r="W302" i="6"/>
  <c r="W303" i="6"/>
  <c r="W304" i="6"/>
  <c r="W305" i="6"/>
  <c r="W306" i="6"/>
  <c r="W307" i="6"/>
  <c r="W308" i="6"/>
  <c r="W309" i="6"/>
  <c r="W310" i="6"/>
  <c r="W311" i="6"/>
  <c r="W312" i="6"/>
  <c r="W313" i="6"/>
  <c r="W314" i="6"/>
  <c r="W315" i="6"/>
  <c r="W316" i="6"/>
  <c r="W317" i="6"/>
  <c r="W318" i="6"/>
  <c r="W319" i="6"/>
  <c r="W320" i="6"/>
  <c r="W321" i="6"/>
  <c r="W322" i="6"/>
  <c r="W323" i="6"/>
  <c r="W324" i="6"/>
  <c r="W325" i="6"/>
  <c r="W326" i="6"/>
  <c r="W327" i="6"/>
  <c r="W328" i="6"/>
  <c r="W329" i="6"/>
  <c r="W330" i="6"/>
  <c r="W331" i="6"/>
  <c r="W332" i="6"/>
  <c r="W333" i="6"/>
  <c r="W334" i="6"/>
  <c r="W335" i="6"/>
  <c r="W336" i="6"/>
  <c r="W337" i="6"/>
  <c r="W338" i="6"/>
  <c r="W339" i="6"/>
  <c r="W340" i="6"/>
  <c r="W341" i="6"/>
  <c r="W342" i="6"/>
  <c r="W343" i="6"/>
  <c r="W344" i="6"/>
  <c r="W345" i="6"/>
  <c r="W346" i="6"/>
  <c r="W347" i="6"/>
  <c r="W348" i="6"/>
  <c r="W349" i="6"/>
  <c r="W350" i="6"/>
  <c r="W351" i="6"/>
  <c r="W352" i="6"/>
  <c r="W353" i="6"/>
  <c r="W354" i="6"/>
  <c r="W355" i="6"/>
  <c r="W356" i="6"/>
  <c r="W357" i="6"/>
  <c r="W358" i="6"/>
  <c r="W359" i="6"/>
  <c r="W360" i="6"/>
  <c r="W361" i="6"/>
  <c r="W362" i="6"/>
  <c r="W363" i="6"/>
  <c r="W364" i="6"/>
  <c r="W365" i="6"/>
  <c r="W366" i="6"/>
  <c r="W367" i="6"/>
  <c r="W368" i="6"/>
  <c r="W369" i="6"/>
  <c r="W370" i="6"/>
  <c r="W371" i="6"/>
  <c r="W372" i="6"/>
  <c r="W373" i="6"/>
  <c r="W374" i="6"/>
  <c r="W375" i="6"/>
  <c r="W376" i="6"/>
  <c r="W377" i="6"/>
  <c r="W378" i="6"/>
  <c r="W379" i="6"/>
  <c r="W380" i="6"/>
  <c r="W381" i="6"/>
  <c r="W382" i="6"/>
  <c r="W383" i="6"/>
  <c r="W384" i="6"/>
  <c r="W385" i="6"/>
  <c r="W386" i="6"/>
  <c r="W387" i="6"/>
  <c r="W388" i="6"/>
  <c r="W389" i="6"/>
  <c r="W390" i="6"/>
  <c r="W391" i="6"/>
  <c r="W392" i="6"/>
  <c r="W393" i="6"/>
  <c r="W394" i="6"/>
  <c r="W395" i="6"/>
  <c r="W396" i="6"/>
  <c r="W397" i="6"/>
  <c r="W398" i="6"/>
  <c r="W399" i="6"/>
  <c r="W400" i="6"/>
  <c r="W401" i="6"/>
  <c r="W402" i="6"/>
  <c r="W403" i="6"/>
  <c r="W404" i="6"/>
  <c r="W405" i="6"/>
  <c r="W406" i="6"/>
  <c r="W407" i="6"/>
  <c r="W408" i="6"/>
  <c r="W409" i="6"/>
  <c r="W410" i="6"/>
  <c r="W411" i="6"/>
  <c r="W412" i="6"/>
  <c r="W413" i="6"/>
  <c r="W414" i="6"/>
  <c r="W415" i="6"/>
  <c r="W416" i="6"/>
  <c r="W417" i="6"/>
  <c r="W418" i="6"/>
  <c r="W419" i="6"/>
  <c r="W420" i="6"/>
  <c r="W421" i="6"/>
  <c r="W422" i="6"/>
  <c r="W423" i="6"/>
  <c r="W424" i="6"/>
  <c r="W425" i="6"/>
  <c r="W426" i="6"/>
  <c r="W427" i="6"/>
  <c r="W428" i="6"/>
  <c r="W429" i="6"/>
  <c r="W430" i="6"/>
  <c r="W431" i="6"/>
  <c r="W432" i="6"/>
  <c r="W433" i="6"/>
  <c r="W434" i="6"/>
  <c r="W435" i="6"/>
  <c r="W436" i="6"/>
  <c r="W437" i="6"/>
  <c r="W438" i="6"/>
  <c r="W439" i="6"/>
  <c r="W440" i="6"/>
  <c r="W441" i="6"/>
  <c r="W442" i="6"/>
  <c r="W443" i="6"/>
  <c r="W444" i="6"/>
  <c r="W445" i="6"/>
  <c r="W446" i="6"/>
  <c r="W447" i="6"/>
  <c r="W448" i="6"/>
  <c r="W449" i="6"/>
  <c r="W450" i="6"/>
  <c r="W451" i="6"/>
  <c r="W452" i="6"/>
  <c r="W453" i="6"/>
  <c r="W454" i="6"/>
  <c r="W455" i="6"/>
  <c r="W456" i="6"/>
  <c r="W457" i="6"/>
  <c r="W458" i="6"/>
  <c r="W459" i="6"/>
  <c r="W460" i="6"/>
  <c r="W461" i="6"/>
  <c r="W462" i="6"/>
  <c r="W463" i="6"/>
  <c r="W464" i="6"/>
  <c r="W465" i="6"/>
  <c r="W466" i="6"/>
  <c r="W467" i="6"/>
  <c r="W468" i="6"/>
  <c r="W469" i="6"/>
  <c r="W470" i="6"/>
  <c r="W471" i="6"/>
  <c r="W472" i="6"/>
  <c r="W473" i="6"/>
  <c r="W474" i="6"/>
  <c r="W475" i="6"/>
  <c r="W476" i="6"/>
  <c r="W477" i="6"/>
  <c r="W478" i="6"/>
  <c r="W479" i="6"/>
  <c r="W480" i="6"/>
  <c r="W481" i="6"/>
  <c r="W482" i="6"/>
  <c r="W483" i="6"/>
  <c r="W484" i="6"/>
  <c r="W485" i="6"/>
  <c r="W486" i="6"/>
  <c r="W487" i="6"/>
  <c r="W488" i="6"/>
  <c r="W489" i="6"/>
  <c r="W490" i="6"/>
  <c r="W491" i="6"/>
  <c r="W492" i="6"/>
  <c r="W493" i="6"/>
  <c r="W494" i="6"/>
  <c r="W495" i="6"/>
  <c r="W496" i="6"/>
  <c r="W497" i="6"/>
  <c r="W498" i="6"/>
  <c r="W499" i="6"/>
  <c r="W500" i="6"/>
  <c r="W501" i="6"/>
  <c r="W3" i="5"/>
  <c r="W4" i="5"/>
  <c r="W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5" i="5"/>
  <c r="W56" i="5"/>
  <c r="W57" i="5"/>
  <c r="W58" i="5"/>
  <c r="W59" i="5"/>
  <c r="W60" i="5"/>
  <c r="W61" i="5"/>
  <c r="W62" i="5"/>
  <c r="W63" i="5"/>
  <c r="W64" i="5"/>
  <c r="W65" i="5"/>
  <c r="W66" i="5"/>
  <c r="W67" i="5"/>
  <c r="W68" i="5"/>
  <c r="W69" i="5"/>
  <c r="W70" i="5"/>
  <c r="W71" i="5"/>
  <c r="W72" i="5"/>
  <c r="W73" i="5"/>
  <c r="W74" i="5"/>
  <c r="W75" i="5"/>
  <c r="W76" i="5"/>
  <c r="W77" i="5"/>
  <c r="W78" i="5"/>
  <c r="W79" i="5"/>
  <c r="W80" i="5"/>
  <c r="W81" i="5"/>
  <c r="W82" i="5"/>
  <c r="W83" i="5"/>
  <c r="W84" i="5"/>
  <c r="W85" i="5"/>
  <c r="W86" i="5"/>
  <c r="W87" i="5"/>
  <c r="W88" i="5"/>
  <c r="W89" i="5"/>
  <c r="W90" i="5"/>
  <c r="W91" i="5"/>
  <c r="W92" i="5"/>
  <c r="W93" i="5"/>
  <c r="W94" i="5"/>
  <c r="W95" i="5"/>
  <c r="W96" i="5"/>
  <c r="W97" i="5"/>
  <c r="W98" i="5"/>
  <c r="W99" i="5"/>
  <c r="W100" i="5"/>
  <c r="W101" i="5"/>
  <c r="W102" i="5"/>
  <c r="W103" i="5"/>
  <c r="W104" i="5"/>
  <c r="W105" i="5"/>
  <c r="W106" i="5"/>
  <c r="W107" i="5"/>
  <c r="W108" i="5"/>
  <c r="W109" i="5"/>
  <c r="W110" i="5"/>
  <c r="W111" i="5"/>
  <c r="W112" i="5"/>
  <c r="W113" i="5"/>
  <c r="W114" i="5"/>
  <c r="W115" i="5"/>
  <c r="W116" i="5"/>
  <c r="W117" i="5"/>
  <c r="W118" i="5"/>
  <c r="W119" i="5"/>
  <c r="W120" i="5"/>
  <c r="W121" i="5"/>
  <c r="W122" i="5"/>
  <c r="W123" i="5"/>
  <c r="W124" i="5"/>
  <c r="W125" i="5"/>
  <c r="W126" i="5"/>
  <c r="W127" i="5"/>
  <c r="W128" i="5"/>
  <c r="W129" i="5"/>
  <c r="W130" i="5"/>
  <c r="W131" i="5"/>
  <c r="W132" i="5"/>
  <c r="W133" i="5"/>
  <c r="W134" i="5"/>
  <c r="W135" i="5"/>
  <c r="W136" i="5"/>
  <c r="W137" i="5"/>
  <c r="W138" i="5"/>
  <c r="W139" i="5"/>
  <c r="W140" i="5"/>
  <c r="W141" i="5"/>
  <c r="W142" i="5"/>
  <c r="W143" i="5"/>
  <c r="W144" i="5"/>
  <c r="W145" i="5"/>
  <c r="W146" i="5"/>
  <c r="W147" i="5"/>
  <c r="W148" i="5"/>
  <c r="W149" i="5"/>
  <c r="W150" i="5"/>
  <c r="W151" i="5"/>
  <c r="W152" i="5"/>
  <c r="W153" i="5"/>
  <c r="W154" i="5"/>
  <c r="W155" i="5"/>
  <c r="W156" i="5"/>
  <c r="W157" i="5"/>
  <c r="W158" i="5"/>
  <c r="W159" i="5"/>
  <c r="W160" i="5"/>
  <c r="W161" i="5"/>
  <c r="W162" i="5"/>
  <c r="W163" i="5"/>
  <c r="W164" i="5"/>
  <c r="W165" i="5"/>
  <c r="W166" i="5"/>
  <c r="W167" i="5"/>
  <c r="W168" i="5"/>
  <c r="W169" i="5"/>
  <c r="W170" i="5"/>
  <c r="W171" i="5"/>
  <c r="W172" i="5"/>
  <c r="W173" i="5"/>
  <c r="W174" i="5"/>
  <c r="W175" i="5"/>
  <c r="W176" i="5"/>
  <c r="W177" i="5"/>
  <c r="W178" i="5"/>
  <c r="W179" i="5"/>
  <c r="W180" i="5"/>
  <c r="W181" i="5"/>
  <c r="W182" i="5"/>
  <c r="W183" i="5"/>
  <c r="W184" i="5"/>
  <c r="W185" i="5"/>
  <c r="W186" i="5"/>
  <c r="W187" i="5"/>
  <c r="W188" i="5"/>
  <c r="W189" i="5"/>
  <c r="W190" i="5"/>
  <c r="W191" i="5"/>
  <c r="W192" i="5"/>
  <c r="W193" i="5"/>
  <c r="W194" i="5"/>
  <c r="W195" i="5"/>
  <c r="W196" i="5"/>
  <c r="W197" i="5"/>
  <c r="W198" i="5"/>
  <c r="W199" i="5"/>
  <c r="W200" i="5"/>
  <c r="W201" i="5"/>
  <c r="W202" i="5"/>
  <c r="W203" i="5"/>
  <c r="W204" i="5"/>
  <c r="W205" i="5"/>
  <c r="W206" i="5"/>
  <c r="W207" i="5"/>
  <c r="W208" i="5"/>
  <c r="W209" i="5"/>
  <c r="W210" i="5"/>
  <c r="W211" i="5"/>
  <c r="W212" i="5"/>
  <c r="W213" i="5"/>
  <c r="W214" i="5"/>
  <c r="W215" i="5"/>
  <c r="W216" i="5"/>
  <c r="W217" i="5"/>
  <c r="W218" i="5"/>
  <c r="W219" i="5"/>
  <c r="W220" i="5"/>
  <c r="W221" i="5"/>
  <c r="W222" i="5"/>
  <c r="W223" i="5"/>
  <c r="W224" i="5"/>
  <c r="W225" i="5"/>
  <c r="W226" i="5"/>
  <c r="W227" i="5"/>
  <c r="W228" i="5"/>
  <c r="W229" i="5"/>
  <c r="W230" i="5"/>
  <c r="W231" i="5"/>
  <c r="W232" i="5"/>
  <c r="W233" i="5"/>
  <c r="W234" i="5"/>
  <c r="W235" i="5"/>
  <c r="W236" i="5"/>
  <c r="W237" i="5"/>
  <c r="W238" i="5"/>
  <c r="W239" i="5"/>
  <c r="W240" i="5"/>
  <c r="W241" i="5"/>
  <c r="W242" i="5"/>
  <c r="W243" i="5"/>
  <c r="W244" i="5"/>
  <c r="W245" i="5"/>
  <c r="W246" i="5"/>
  <c r="W247" i="5"/>
  <c r="W248" i="5"/>
  <c r="W249" i="5"/>
  <c r="W250" i="5"/>
  <c r="W251" i="5"/>
  <c r="W252" i="5"/>
  <c r="W253" i="5"/>
  <c r="W254" i="5"/>
  <c r="W255" i="5"/>
  <c r="W256" i="5"/>
  <c r="W257" i="5"/>
  <c r="W258" i="5"/>
  <c r="W259" i="5"/>
  <c r="W260" i="5"/>
  <c r="W261" i="5"/>
  <c r="W262" i="5"/>
  <c r="W263" i="5"/>
  <c r="W264" i="5"/>
  <c r="W265" i="5"/>
  <c r="W266" i="5"/>
  <c r="W267" i="5"/>
  <c r="W268" i="5"/>
  <c r="W269" i="5"/>
  <c r="W270" i="5"/>
  <c r="W271" i="5"/>
  <c r="W272" i="5"/>
  <c r="W273" i="5"/>
  <c r="W274" i="5"/>
  <c r="W275" i="5"/>
  <c r="W276" i="5"/>
  <c r="W277" i="5"/>
  <c r="W278" i="5"/>
  <c r="W279" i="5"/>
  <c r="W280" i="5"/>
  <c r="W281" i="5"/>
  <c r="W282" i="5"/>
  <c r="W283" i="5"/>
  <c r="W284" i="5"/>
  <c r="W285" i="5"/>
  <c r="W286" i="5"/>
  <c r="W287" i="5"/>
  <c r="W288" i="5"/>
  <c r="W289" i="5"/>
  <c r="W290" i="5"/>
  <c r="W291" i="5"/>
  <c r="W292" i="5"/>
  <c r="W293" i="5"/>
  <c r="W294" i="5"/>
  <c r="W295" i="5"/>
  <c r="W296" i="5"/>
  <c r="W297" i="5"/>
  <c r="W298" i="5"/>
  <c r="W299" i="5"/>
  <c r="W300" i="5"/>
  <c r="W301" i="5"/>
  <c r="W302" i="5"/>
  <c r="W303" i="5"/>
  <c r="W304" i="5"/>
  <c r="W305" i="5"/>
  <c r="W306" i="5"/>
  <c r="W307" i="5"/>
  <c r="W308" i="5"/>
  <c r="W309" i="5"/>
  <c r="W310" i="5"/>
  <c r="W311" i="5"/>
  <c r="W312" i="5"/>
  <c r="W313" i="5"/>
  <c r="W314" i="5"/>
  <c r="W315" i="5"/>
  <c r="W316" i="5"/>
  <c r="W317" i="5"/>
  <c r="W318" i="5"/>
  <c r="W319" i="5"/>
  <c r="W320" i="5"/>
  <c r="W321" i="5"/>
  <c r="W322" i="5"/>
  <c r="W323" i="5"/>
  <c r="W324" i="5"/>
  <c r="W325" i="5"/>
  <c r="W326" i="5"/>
  <c r="W327" i="5"/>
  <c r="W328" i="5"/>
  <c r="W329" i="5"/>
  <c r="W330" i="5"/>
  <c r="W331" i="5"/>
  <c r="W332" i="5"/>
  <c r="W333" i="5"/>
  <c r="W334" i="5"/>
  <c r="W335" i="5"/>
  <c r="W336" i="5"/>
  <c r="W337" i="5"/>
  <c r="W338" i="5"/>
  <c r="W339" i="5"/>
  <c r="W340" i="5"/>
  <c r="W341" i="5"/>
  <c r="W342" i="5"/>
  <c r="W343" i="5"/>
  <c r="W344" i="5"/>
  <c r="W345" i="5"/>
  <c r="W346" i="5"/>
  <c r="W347" i="5"/>
  <c r="W348" i="5"/>
  <c r="W349" i="5"/>
  <c r="W350" i="5"/>
  <c r="W351" i="5"/>
  <c r="W352" i="5"/>
  <c r="W353" i="5"/>
  <c r="W354" i="5"/>
  <c r="W355" i="5"/>
  <c r="W356" i="5"/>
  <c r="W357" i="5"/>
  <c r="W358" i="5"/>
  <c r="W359" i="5"/>
  <c r="W360" i="5"/>
  <c r="W361" i="5"/>
  <c r="W362" i="5"/>
  <c r="W363" i="5"/>
  <c r="W364" i="5"/>
  <c r="W365" i="5"/>
  <c r="W366" i="5"/>
  <c r="W367" i="5"/>
  <c r="W368" i="5"/>
  <c r="W369" i="5"/>
  <c r="W370" i="5"/>
  <c r="W371" i="5"/>
  <c r="W372" i="5"/>
  <c r="W373" i="5"/>
  <c r="W374" i="5"/>
  <c r="W375" i="5"/>
  <c r="W376" i="5"/>
  <c r="W377" i="5"/>
  <c r="W378" i="5"/>
  <c r="W379" i="5"/>
  <c r="W380" i="5"/>
  <c r="W381" i="5"/>
  <c r="W382" i="5"/>
  <c r="W383" i="5"/>
  <c r="W384" i="5"/>
  <c r="W385" i="5"/>
  <c r="W386" i="5"/>
  <c r="W387" i="5"/>
  <c r="W388" i="5"/>
  <c r="W389" i="5"/>
  <c r="W390" i="5"/>
  <c r="W391" i="5"/>
  <c r="W392" i="5"/>
  <c r="W393" i="5"/>
  <c r="W394" i="5"/>
  <c r="W395" i="5"/>
  <c r="W396" i="5"/>
  <c r="W397" i="5"/>
  <c r="W398" i="5"/>
  <c r="W399" i="5"/>
  <c r="W400" i="5"/>
  <c r="W401" i="5"/>
  <c r="W402" i="5"/>
  <c r="W403" i="5"/>
  <c r="W404" i="5"/>
  <c r="W405" i="5"/>
  <c r="W406" i="5"/>
  <c r="W407" i="5"/>
  <c r="W408" i="5"/>
  <c r="W409" i="5"/>
  <c r="W410" i="5"/>
  <c r="W411" i="5"/>
  <c r="W412" i="5"/>
  <c r="W413" i="5"/>
  <c r="W414" i="5"/>
  <c r="W415" i="5"/>
  <c r="W416" i="5"/>
  <c r="W417" i="5"/>
  <c r="W418" i="5"/>
  <c r="W419" i="5"/>
  <c r="W420" i="5"/>
  <c r="W421" i="5"/>
  <c r="W422" i="5"/>
  <c r="W423" i="5"/>
  <c r="W424" i="5"/>
  <c r="W425" i="5"/>
  <c r="W426" i="5"/>
  <c r="W427" i="5"/>
  <c r="W428" i="5"/>
  <c r="W429" i="5"/>
  <c r="W430" i="5"/>
  <c r="W431" i="5"/>
  <c r="W432" i="5"/>
  <c r="W433" i="5"/>
  <c r="W434" i="5"/>
  <c r="W435" i="5"/>
  <c r="W436" i="5"/>
  <c r="W437" i="5"/>
  <c r="W438" i="5"/>
  <c r="W439" i="5"/>
  <c r="W440" i="5"/>
  <c r="W441" i="5"/>
  <c r="W442" i="5"/>
  <c r="W443" i="5"/>
  <c r="W444" i="5"/>
  <c r="W445" i="5"/>
  <c r="W446" i="5"/>
  <c r="W447" i="5"/>
  <c r="W448" i="5"/>
  <c r="W449" i="5"/>
  <c r="W450" i="5"/>
  <c r="W451" i="5"/>
  <c r="W452" i="5"/>
  <c r="W453" i="5"/>
  <c r="W454" i="5"/>
  <c r="W455" i="5"/>
  <c r="W456" i="5"/>
  <c r="W457" i="5"/>
  <c r="W458" i="5"/>
  <c r="W459" i="5"/>
  <c r="W460" i="5"/>
  <c r="W461" i="5"/>
  <c r="W462" i="5"/>
  <c r="W463" i="5"/>
  <c r="W464" i="5"/>
  <c r="W465" i="5"/>
  <c r="W466" i="5"/>
  <c r="W467" i="5"/>
  <c r="W468" i="5"/>
  <c r="W469" i="5"/>
  <c r="W470" i="5"/>
  <c r="W471" i="5"/>
  <c r="W472" i="5"/>
  <c r="W473" i="5"/>
  <c r="W474" i="5"/>
  <c r="W475" i="5"/>
  <c r="W476" i="5"/>
  <c r="W477" i="5"/>
  <c r="W478" i="5"/>
  <c r="W479" i="5"/>
  <c r="W480" i="5"/>
  <c r="W481" i="5"/>
  <c r="W482" i="5"/>
  <c r="W483" i="5"/>
  <c r="W484" i="5"/>
  <c r="W485" i="5"/>
  <c r="W486" i="5"/>
  <c r="W487" i="5"/>
  <c r="W488" i="5"/>
  <c r="W489" i="5"/>
  <c r="W490" i="5"/>
  <c r="W491" i="5"/>
  <c r="W492" i="5"/>
  <c r="W493" i="5"/>
  <c r="W494" i="5"/>
  <c r="W495" i="5"/>
  <c r="W496" i="5"/>
  <c r="W497" i="5"/>
  <c r="W498" i="5"/>
  <c r="W499" i="5"/>
  <c r="W500" i="5"/>
  <c r="W501" i="5"/>
  <c r="W2" i="5"/>
  <c r="W5" i="4" a="1"/>
  <c r="W5" i="4" s="1"/>
  <c r="W6" i="4" a="1"/>
  <c r="W6" i="4" s="1"/>
  <c r="W7" i="4" a="1"/>
  <c r="W7" i="4" s="1"/>
  <c r="W8" i="4" a="1"/>
  <c r="W8" i="4" s="1"/>
  <c r="W9" i="4" a="1"/>
  <c r="W9" i="4" s="1"/>
  <c r="W10" i="4" a="1"/>
  <c r="W10" i="4"/>
  <c r="W11" i="4" a="1"/>
  <c r="W11" i="4" s="1"/>
  <c r="W12" i="4" a="1"/>
  <c r="W12" i="4" s="1"/>
  <c r="W13" i="4" a="1"/>
  <c r="W13" i="4" s="1"/>
  <c r="W14" i="4" a="1"/>
  <c r="W14" i="4" s="1"/>
  <c r="W15" i="4" a="1"/>
  <c r="W15" i="4"/>
  <c r="W16" i="4" a="1"/>
  <c r="W16" i="4" s="1"/>
  <c r="W17" i="4" a="1"/>
  <c r="W17" i="4" s="1"/>
  <c r="W18" i="4" a="1"/>
  <c r="W18" i="4" s="1"/>
  <c r="W19" i="4" a="1"/>
  <c r="W19" i="4" s="1"/>
  <c r="W20" i="4" a="1"/>
  <c r="W20" i="4" s="1"/>
  <c r="W21" i="4" a="1"/>
  <c r="W21" i="4" s="1"/>
  <c r="W22" i="4" a="1"/>
  <c r="W22" i="4" s="1"/>
  <c r="W23" i="4" a="1"/>
  <c r="W23" i="4" s="1"/>
  <c r="W24" i="4" a="1"/>
  <c r="W24" i="4" s="1"/>
  <c r="W25" i="4" a="1"/>
  <c r="W25" i="4" s="1"/>
  <c r="W26" i="4" a="1"/>
  <c r="W26" i="4" s="1"/>
  <c r="W27" i="4" a="1"/>
  <c r="W27" i="4" s="1"/>
  <c r="W28" i="4" a="1"/>
  <c r="W28" i="4" s="1"/>
  <c r="W29" i="4" a="1"/>
  <c r="W29" i="4" s="1"/>
  <c r="W30" i="4" a="1"/>
  <c r="W30" i="4" s="1"/>
  <c r="W31" i="4" a="1"/>
  <c r="W31" i="4" s="1"/>
  <c r="W32" i="4" a="1"/>
  <c r="W32" i="4" s="1"/>
  <c r="W33" i="4" a="1"/>
  <c r="W33" i="4" s="1"/>
  <c r="W34" i="4" a="1"/>
  <c r="W34" i="4" s="1"/>
  <c r="W35" i="4" a="1"/>
  <c r="W35" i="4" s="1"/>
  <c r="W36" i="4" a="1"/>
  <c r="W36" i="4" s="1"/>
  <c r="W37" i="4" a="1"/>
  <c r="W37" i="4" s="1"/>
  <c r="W38" i="4" a="1"/>
  <c r="W38" i="4" s="1"/>
  <c r="W39" i="4" a="1"/>
  <c r="W39" i="4" s="1"/>
  <c r="W40" i="4" a="1"/>
  <c r="W40" i="4" s="1"/>
  <c r="W41" i="4" a="1"/>
  <c r="W41" i="4" s="1"/>
  <c r="W42" i="4" a="1"/>
  <c r="W42" i="4" s="1"/>
  <c r="W43" i="4" a="1"/>
  <c r="W43" i="4" s="1"/>
  <c r="W44" i="4" a="1"/>
  <c r="W44" i="4" s="1"/>
  <c r="W45" i="4" a="1"/>
  <c r="W45" i="4" s="1"/>
  <c r="W46" i="4" a="1"/>
  <c r="W46" i="4" s="1"/>
  <c r="W47" i="4" a="1"/>
  <c r="W47" i="4" s="1"/>
  <c r="W48" i="4" a="1"/>
  <c r="W48" i="4" s="1"/>
  <c r="W49" i="4" a="1"/>
  <c r="W49" i="4" s="1"/>
  <c r="W50" i="4" a="1"/>
  <c r="W50" i="4" s="1"/>
  <c r="W51" i="4" a="1"/>
  <c r="W51" i="4" s="1"/>
  <c r="W52" i="4" a="1"/>
  <c r="W52" i="4" s="1"/>
  <c r="W53" i="4" a="1"/>
  <c r="W53" i="4" s="1"/>
  <c r="W54" i="4" a="1"/>
  <c r="W54" i="4" s="1"/>
  <c r="W55" i="4" a="1"/>
  <c r="W55" i="4" s="1"/>
  <c r="W56" i="4" a="1"/>
  <c r="W56" i="4" s="1"/>
  <c r="W57" i="4" a="1"/>
  <c r="W57" i="4" s="1"/>
  <c r="W58" i="4" a="1"/>
  <c r="W58" i="4" s="1"/>
  <c r="W59" i="4" a="1"/>
  <c r="W59" i="4" s="1"/>
  <c r="W60" i="4" a="1"/>
  <c r="W60" i="4" s="1"/>
  <c r="W61" i="4" a="1"/>
  <c r="W61" i="4" s="1"/>
  <c r="W62" i="4" a="1"/>
  <c r="W62" i="4" s="1"/>
  <c r="W63" i="4" a="1"/>
  <c r="W63" i="4" s="1"/>
  <c r="W64" i="4" a="1"/>
  <c r="W64" i="4" s="1"/>
  <c r="W65" i="4" a="1"/>
  <c r="W65" i="4" s="1"/>
  <c r="W66" i="4" a="1"/>
  <c r="W66" i="4" s="1"/>
  <c r="W67" i="4" a="1"/>
  <c r="W67" i="4" s="1"/>
  <c r="W68" i="4" a="1"/>
  <c r="W68" i="4" s="1"/>
  <c r="W69" i="4" a="1"/>
  <c r="W69" i="4" s="1"/>
  <c r="W70" i="4" a="1"/>
  <c r="W70" i="4" s="1"/>
  <c r="W71" i="4" a="1"/>
  <c r="W71" i="4" s="1"/>
  <c r="W72" i="4" a="1"/>
  <c r="W72" i="4" s="1"/>
  <c r="W73" i="4" a="1"/>
  <c r="W73" i="4" s="1"/>
  <c r="W74" i="4" a="1"/>
  <c r="W74" i="4" s="1"/>
  <c r="W75" i="4" a="1"/>
  <c r="W75" i="4" s="1"/>
  <c r="W76" i="4" a="1"/>
  <c r="W76" i="4" s="1"/>
  <c r="W77" i="4" a="1"/>
  <c r="W77" i="4" s="1"/>
  <c r="W78" i="4" a="1"/>
  <c r="W78" i="4" s="1"/>
  <c r="W79" i="4" a="1"/>
  <c r="W79" i="4" s="1"/>
  <c r="W80" i="4" a="1"/>
  <c r="W80" i="4" s="1"/>
  <c r="W81" i="4" a="1"/>
  <c r="W81" i="4" s="1"/>
  <c r="W82" i="4" a="1"/>
  <c r="W82" i="4" s="1"/>
  <c r="W83" i="4" a="1"/>
  <c r="W83" i="4" s="1"/>
  <c r="W84" i="4" a="1"/>
  <c r="W84" i="4" s="1"/>
  <c r="W85" i="4" a="1"/>
  <c r="W85" i="4" s="1"/>
  <c r="W86" i="4" a="1"/>
  <c r="W86" i="4" s="1"/>
  <c r="W87" i="4" a="1"/>
  <c r="W87" i="4" s="1"/>
  <c r="W88" i="4" a="1"/>
  <c r="W88" i="4" s="1"/>
  <c r="W89" i="4" a="1"/>
  <c r="W89" i="4" s="1"/>
  <c r="W90" i="4" a="1"/>
  <c r="W90" i="4" s="1"/>
  <c r="W91" i="4" a="1"/>
  <c r="W91" i="4" s="1"/>
  <c r="W92" i="4" a="1"/>
  <c r="W92" i="4" s="1"/>
  <c r="W93" i="4" a="1"/>
  <c r="W93" i="4" s="1"/>
  <c r="W94" i="4" a="1"/>
  <c r="W94" i="4" s="1"/>
  <c r="W95" i="4" a="1"/>
  <c r="W95" i="4" s="1"/>
  <c r="W96" i="4" a="1"/>
  <c r="W96" i="4" s="1"/>
  <c r="W97" i="4" a="1"/>
  <c r="W97" i="4" s="1"/>
  <c r="W98" i="4" a="1"/>
  <c r="W98" i="4" s="1"/>
  <c r="W99" i="4" a="1"/>
  <c r="W99" i="4" s="1"/>
  <c r="W100" i="4" a="1"/>
  <c r="W100" i="4" s="1"/>
  <c r="W101" i="4" a="1"/>
  <c r="W101" i="4" s="1"/>
  <c r="W102" i="4" a="1"/>
  <c r="W102" i="4" s="1"/>
  <c r="W103" i="4" a="1"/>
  <c r="W103" i="4" s="1"/>
  <c r="W104" i="4" a="1"/>
  <c r="W104" i="4" s="1"/>
  <c r="W105" i="4" a="1"/>
  <c r="W105" i="4" s="1"/>
  <c r="W106" i="4" a="1"/>
  <c r="W106" i="4" s="1"/>
  <c r="W107" i="4" a="1"/>
  <c r="W107" i="4" s="1"/>
  <c r="W108" i="4" a="1"/>
  <c r="W108" i="4" s="1"/>
  <c r="W109" i="4" a="1"/>
  <c r="W109" i="4" s="1"/>
  <c r="W110" i="4" a="1"/>
  <c r="W110" i="4" s="1"/>
  <c r="W111" i="4" a="1"/>
  <c r="W111" i="4" s="1"/>
  <c r="W112" i="4" a="1"/>
  <c r="W112" i="4" s="1"/>
  <c r="W113" i="4" a="1"/>
  <c r="W113" i="4" s="1"/>
  <c r="W114" i="4" a="1"/>
  <c r="W114" i="4" s="1"/>
  <c r="W115" i="4" a="1"/>
  <c r="W115" i="4" s="1"/>
  <c r="W116" i="4" a="1"/>
  <c r="W116" i="4" s="1"/>
  <c r="W117" i="4" a="1"/>
  <c r="W117" i="4" s="1"/>
  <c r="W118" i="4" a="1"/>
  <c r="W118" i="4" s="1"/>
  <c r="W119" i="4" a="1"/>
  <c r="W119" i="4" s="1"/>
  <c r="W120" i="4" a="1"/>
  <c r="W120" i="4" s="1"/>
  <c r="W121" i="4" a="1"/>
  <c r="W121" i="4" s="1"/>
  <c r="W122" i="4" a="1"/>
  <c r="W122" i="4" s="1"/>
  <c r="W123" i="4" a="1"/>
  <c r="W123" i="4" s="1"/>
  <c r="W124" i="4" a="1"/>
  <c r="W124" i="4" s="1"/>
  <c r="W125" i="4" a="1"/>
  <c r="W125" i="4" s="1"/>
  <c r="W126" i="4" a="1"/>
  <c r="W126" i="4" s="1"/>
  <c r="W127" i="4" a="1"/>
  <c r="W127" i="4" s="1"/>
  <c r="W128" i="4" a="1"/>
  <c r="W128" i="4" s="1"/>
  <c r="W129" i="4" a="1"/>
  <c r="W129" i="4" s="1"/>
  <c r="W130" i="4" a="1"/>
  <c r="W130" i="4" s="1"/>
  <c r="W131" i="4" a="1"/>
  <c r="W131" i="4" s="1"/>
  <c r="W132" i="4" a="1"/>
  <c r="W132" i="4" s="1"/>
  <c r="W133" i="4" a="1"/>
  <c r="W133" i="4" s="1"/>
  <c r="W134" i="4" a="1"/>
  <c r="W134" i="4" s="1"/>
  <c r="W135" i="4" a="1"/>
  <c r="W135" i="4" s="1"/>
  <c r="W136" i="4" a="1"/>
  <c r="W136" i="4" s="1"/>
  <c r="W137" i="4" a="1"/>
  <c r="W137" i="4" s="1"/>
  <c r="W138" i="4" a="1"/>
  <c r="W138" i="4" s="1"/>
  <c r="W139" i="4" a="1"/>
  <c r="W139" i="4" s="1"/>
  <c r="W140" i="4" a="1"/>
  <c r="W140" i="4" s="1"/>
  <c r="W141" i="4" a="1"/>
  <c r="W141" i="4" s="1"/>
  <c r="W142" i="4" a="1"/>
  <c r="W142" i="4" s="1"/>
  <c r="W143" i="4" a="1"/>
  <c r="W143" i="4" s="1"/>
  <c r="W144" i="4" a="1"/>
  <c r="W144" i="4" s="1"/>
  <c r="W145" i="4" a="1"/>
  <c r="W145" i="4" s="1"/>
  <c r="W146" i="4" a="1"/>
  <c r="W146" i="4" s="1"/>
  <c r="W147" i="4" a="1"/>
  <c r="W147" i="4" s="1"/>
  <c r="W148" i="4" a="1"/>
  <c r="W148" i="4" s="1"/>
  <c r="W149" i="4" a="1"/>
  <c r="W149" i="4" s="1"/>
  <c r="W150" i="4" a="1"/>
  <c r="W150" i="4" s="1"/>
  <c r="W151" i="4" a="1"/>
  <c r="W151" i="4" s="1"/>
  <c r="W152" i="4" a="1"/>
  <c r="W152" i="4" s="1"/>
  <c r="W153" i="4" a="1"/>
  <c r="W153" i="4" s="1"/>
  <c r="W154" i="4" a="1"/>
  <c r="W154" i="4" s="1"/>
  <c r="W155" i="4" a="1"/>
  <c r="W155" i="4" s="1"/>
  <c r="W156" i="4" a="1"/>
  <c r="W156" i="4" s="1"/>
  <c r="W157" i="4" a="1"/>
  <c r="W157" i="4" s="1"/>
  <c r="W158" i="4" a="1"/>
  <c r="W158" i="4" s="1"/>
  <c r="W159" i="4" a="1"/>
  <c r="W159" i="4" s="1"/>
  <c r="W160" i="4" a="1"/>
  <c r="W160" i="4" s="1"/>
  <c r="W161" i="4" a="1"/>
  <c r="W161" i="4" s="1"/>
  <c r="W162" i="4" a="1"/>
  <c r="W162" i="4" s="1"/>
  <c r="W163" i="4" a="1"/>
  <c r="W163" i="4" s="1"/>
  <c r="W164" i="4" a="1"/>
  <c r="W164" i="4" s="1"/>
  <c r="W165" i="4" a="1"/>
  <c r="W165" i="4" s="1"/>
  <c r="W166" i="4" a="1"/>
  <c r="W166" i="4" s="1"/>
  <c r="W167" i="4" a="1"/>
  <c r="W167" i="4" s="1"/>
  <c r="W168" i="4" a="1"/>
  <c r="W168" i="4" s="1"/>
  <c r="W169" i="4" a="1"/>
  <c r="W169" i="4" s="1"/>
  <c r="W170" i="4" a="1"/>
  <c r="W170" i="4" s="1"/>
  <c r="W171" i="4" a="1"/>
  <c r="W171" i="4" s="1"/>
  <c r="W172" i="4" a="1"/>
  <c r="W172" i="4" s="1"/>
  <c r="W173" i="4" a="1"/>
  <c r="W173" i="4" s="1"/>
  <c r="W174" i="4" a="1"/>
  <c r="W174" i="4" s="1"/>
  <c r="W175" i="4" a="1"/>
  <c r="W175" i="4" s="1"/>
  <c r="W176" i="4" a="1"/>
  <c r="W176" i="4" s="1"/>
  <c r="W177" i="4" a="1"/>
  <c r="W177" i="4" s="1"/>
  <c r="W178" i="4" a="1"/>
  <c r="W178" i="4" s="1"/>
  <c r="W179" i="4" a="1"/>
  <c r="W179" i="4" s="1"/>
  <c r="W180" i="4" a="1"/>
  <c r="W180" i="4" s="1"/>
  <c r="W181" i="4" a="1"/>
  <c r="W181" i="4" s="1"/>
  <c r="W182" i="4" a="1"/>
  <c r="W182" i="4" s="1"/>
  <c r="W183" i="4" a="1"/>
  <c r="W183" i="4" s="1"/>
  <c r="W184" i="4" a="1"/>
  <c r="W184" i="4" s="1"/>
  <c r="W185" i="4" a="1"/>
  <c r="W185" i="4" s="1"/>
  <c r="W186" i="4" a="1"/>
  <c r="W186" i="4" s="1"/>
  <c r="W187" i="4" a="1"/>
  <c r="W187" i="4" s="1"/>
  <c r="W188" i="4" a="1"/>
  <c r="W188" i="4" s="1"/>
  <c r="W189" i="4" a="1"/>
  <c r="W189" i="4" s="1"/>
  <c r="W190" i="4" a="1"/>
  <c r="W190" i="4" s="1"/>
  <c r="W191" i="4" a="1"/>
  <c r="W191" i="4" s="1"/>
  <c r="W192" i="4" a="1"/>
  <c r="W192" i="4" s="1"/>
  <c r="W193" i="4" a="1"/>
  <c r="W193" i="4" s="1"/>
  <c r="W194" i="4" a="1"/>
  <c r="W194" i="4" s="1"/>
  <c r="W195" i="4" a="1"/>
  <c r="W195" i="4" s="1"/>
  <c r="W196" i="4" a="1"/>
  <c r="W196" i="4" s="1"/>
  <c r="W197" i="4" a="1"/>
  <c r="W197" i="4" s="1"/>
  <c r="W198" i="4" a="1"/>
  <c r="W198" i="4" s="1"/>
  <c r="W199" i="4" a="1"/>
  <c r="W199" i="4" s="1"/>
  <c r="W200" i="4" a="1"/>
  <c r="W200" i="4" s="1"/>
  <c r="W201" i="4" a="1"/>
  <c r="W201" i="4" s="1"/>
  <c r="W202" i="4" a="1"/>
  <c r="W202" i="4" s="1"/>
  <c r="W203" i="4" a="1"/>
  <c r="W203" i="4" s="1"/>
  <c r="W204" i="4" a="1"/>
  <c r="W204" i="4" s="1"/>
  <c r="W205" i="4" a="1"/>
  <c r="W205" i="4" s="1"/>
  <c r="W206" i="4" a="1"/>
  <c r="W206" i="4" s="1"/>
  <c r="W207" i="4" a="1"/>
  <c r="W207" i="4" s="1"/>
  <c r="W208" i="4" a="1"/>
  <c r="W208" i="4" s="1"/>
  <c r="W209" i="4" a="1"/>
  <c r="W209" i="4" s="1"/>
  <c r="W210" i="4" a="1"/>
  <c r="W210" i="4" s="1"/>
  <c r="W211" i="4" a="1"/>
  <c r="W211" i="4" s="1"/>
  <c r="W212" i="4" a="1"/>
  <c r="W212" i="4" s="1"/>
  <c r="W213" i="4" a="1"/>
  <c r="W213" i="4" s="1"/>
  <c r="W214" i="4" a="1"/>
  <c r="W214" i="4" s="1"/>
  <c r="W215" i="4" a="1"/>
  <c r="W215" i="4" s="1"/>
  <c r="W216" i="4" a="1"/>
  <c r="W216" i="4" s="1"/>
  <c r="W217" i="4" a="1"/>
  <c r="W217" i="4" s="1"/>
  <c r="W218" i="4" a="1"/>
  <c r="W218" i="4" s="1"/>
  <c r="W219" i="4" a="1"/>
  <c r="W219" i="4" s="1"/>
  <c r="W220" i="4" a="1"/>
  <c r="W220" i="4" s="1"/>
  <c r="W221" i="4" a="1"/>
  <c r="W221" i="4" s="1"/>
  <c r="W222" i="4" a="1"/>
  <c r="W222" i="4" s="1"/>
  <c r="W223" i="4" a="1"/>
  <c r="W223" i="4" s="1"/>
  <c r="W224" i="4" a="1"/>
  <c r="W224" i="4" s="1"/>
  <c r="W225" i="4" a="1"/>
  <c r="W225" i="4" s="1"/>
  <c r="W226" i="4" a="1"/>
  <c r="W226" i="4" s="1"/>
  <c r="W227" i="4" a="1"/>
  <c r="W227" i="4" s="1"/>
  <c r="W228" i="4" a="1"/>
  <c r="W228" i="4" s="1"/>
  <c r="W229" i="4" a="1"/>
  <c r="W229" i="4" s="1"/>
  <c r="W230" i="4" a="1"/>
  <c r="W230" i="4" s="1"/>
  <c r="W231" i="4" a="1"/>
  <c r="W231" i="4" s="1"/>
  <c r="W232" i="4" a="1"/>
  <c r="W232" i="4" s="1"/>
  <c r="W233" i="4" a="1"/>
  <c r="W233" i="4" s="1"/>
  <c r="W234" i="4" a="1"/>
  <c r="W234" i="4" s="1"/>
  <c r="W235" i="4" a="1"/>
  <c r="W235" i="4" s="1"/>
  <c r="W236" i="4" a="1"/>
  <c r="W236" i="4" s="1"/>
  <c r="W237" i="4" a="1"/>
  <c r="W237" i="4" s="1"/>
  <c r="W238" i="4" a="1"/>
  <c r="W238" i="4" s="1"/>
  <c r="W239" i="4" a="1"/>
  <c r="W239" i="4" s="1"/>
  <c r="W240" i="4" a="1"/>
  <c r="W240" i="4" s="1"/>
  <c r="W241" i="4" a="1"/>
  <c r="W241" i="4" s="1"/>
  <c r="W242" i="4" a="1"/>
  <c r="W242" i="4" s="1"/>
  <c r="W243" i="4" a="1"/>
  <c r="W243" i="4" s="1"/>
  <c r="W244" i="4" a="1"/>
  <c r="W244" i="4" s="1"/>
  <c r="W245" i="4" a="1"/>
  <c r="W245" i="4" s="1"/>
  <c r="W246" i="4" a="1"/>
  <c r="W246" i="4" s="1"/>
  <c r="W247" i="4" a="1"/>
  <c r="W247" i="4" s="1"/>
  <c r="W248" i="4" a="1"/>
  <c r="W248" i="4" s="1"/>
  <c r="W249" i="4" a="1"/>
  <c r="W249" i="4" s="1"/>
  <c r="W250" i="4" a="1"/>
  <c r="W250" i="4" s="1"/>
  <c r="W251" i="4" a="1"/>
  <c r="W251" i="4" s="1"/>
  <c r="W252" i="4" a="1"/>
  <c r="W252" i="4" s="1"/>
  <c r="W253" i="4" a="1"/>
  <c r="W253" i="4" s="1"/>
  <c r="W254" i="4" a="1"/>
  <c r="W254" i="4" s="1"/>
  <c r="W255" i="4" a="1"/>
  <c r="W255" i="4" s="1"/>
  <c r="W256" i="4" a="1"/>
  <c r="W256" i="4" s="1"/>
  <c r="W257" i="4" a="1"/>
  <c r="W257" i="4" s="1"/>
  <c r="W258" i="4" a="1"/>
  <c r="W258" i="4" s="1"/>
  <c r="W259" i="4" a="1"/>
  <c r="W259" i="4" s="1"/>
  <c r="W260" i="4" a="1"/>
  <c r="W260" i="4" s="1"/>
  <c r="W261" i="4" a="1"/>
  <c r="W261" i="4" s="1"/>
  <c r="W262" i="4" a="1"/>
  <c r="W262" i="4" s="1"/>
  <c r="W263" i="4" a="1"/>
  <c r="W263" i="4" s="1"/>
  <c r="W264" i="4" a="1"/>
  <c r="W264" i="4" s="1"/>
  <c r="W265" i="4" a="1"/>
  <c r="W265" i="4" s="1"/>
  <c r="W266" i="4" a="1"/>
  <c r="W266" i="4" s="1"/>
  <c r="W267" i="4" a="1"/>
  <c r="W267" i="4" s="1"/>
  <c r="W268" i="4" a="1"/>
  <c r="W268" i="4" s="1"/>
  <c r="W269" i="4" a="1"/>
  <c r="W269" i="4" s="1"/>
  <c r="W270" i="4" a="1"/>
  <c r="W270" i="4" s="1"/>
  <c r="W271" i="4" a="1"/>
  <c r="W271" i="4" s="1"/>
  <c r="W272" i="4" a="1"/>
  <c r="W272" i="4" s="1"/>
  <c r="W273" i="4" a="1"/>
  <c r="W273" i="4" s="1"/>
  <c r="W274" i="4" a="1"/>
  <c r="W274" i="4" s="1"/>
  <c r="W275" i="4" a="1"/>
  <c r="W275" i="4" s="1"/>
  <c r="W276" i="4" a="1"/>
  <c r="W276" i="4" s="1"/>
  <c r="W277" i="4" a="1"/>
  <c r="W277" i="4" s="1"/>
  <c r="W278" i="4" a="1"/>
  <c r="W278" i="4" s="1"/>
  <c r="W279" i="4" a="1"/>
  <c r="W279" i="4" s="1"/>
  <c r="W280" i="4" a="1"/>
  <c r="W280" i="4" s="1"/>
  <c r="W281" i="4" a="1"/>
  <c r="W281" i="4" s="1"/>
  <c r="W282" i="4" a="1"/>
  <c r="W282" i="4" s="1"/>
  <c r="W283" i="4" a="1"/>
  <c r="W283" i="4" s="1"/>
  <c r="W284" i="4" a="1"/>
  <c r="W284" i="4" s="1"/>
  <c r="W285" i="4" a="1"/>
  <c r="W285" i="4" s="1"/>
  <c r="W286" i="4" a="1"/>
  <c r="W286" i="4" s="1"/>
  <c r="W287" i="4" a="1"/>
  <c r="W287" i="4" s="1"/>
  <c r="W288" i="4" a="1"/>
  <c r="W288" i="4" s="1"/>
  <c r="W289" i="4" a="1"/>
  <c r="W289" i="4" s="1"/>
  <c r="W290" i="4" a="1"/>
  <c r="W290" i="4" s="1"/>
  <c r="W291" i="4" a="1"/>
  <c r="W291" i="4" s="1"/>
  <c r="W292" i="4" a="1"/>
  <c r="W292" i="4" s="1"/>
  <c r="W293" i="4" a="1"/>
  <c r="W293" i="4" s="1"/>
  <c r="W294" i="4" a="1"/>
  <c r="W294" i="4" s="1"/>
  <c r="W295" i="4" a="1"/>
  <c r="W295" i="4" s="1"/>
  <c r="W296" i="4" a="1"/>
  <c r="W296" i="4" s="1"/>
  <c r="W297" i="4" a="1"/>
  <c r="W297" i="4" s="1"/>
  <c r="W298" i="4" a="1"/>
  <c r="W298" i="4" s="1"/>
  <c r="W299" i="4" a="1"/>
  <c r="W299" i="4" s="1"/>
  <c r="W300" i="4" a="1"/>
  <c r="W300" i="4" s="1"/>
  <c r="W301" i="4" a="1"/>
  <c r="W301" i="4" s="1"/>
  <c r="W302" i="4" a="1"/>
  <c r="W302" i="4" s="1"/>
  <c r="W303" i="4" a="1"/>
  <c r="W303" i="4" s="1"/>
  <c r="W304" i="4" a="1"/>
  <c r="W304" i="4" s="1"/>
  <c r="W305" i="4" a="1"/>
  <c r="W305" i="4" s="1"/>
  <c r="W306" i="4" a="1"/>
  <c r="W306" i="4" s="1"/>
  <c r="W307" i="4" a="1"/>
  <c r="W307" i="4" s="1"/>
  <c r="W308" i="4" a="1"/>
  <c r="W308" i="4" s="1"/>
  <c r="W309" i="4" a="1"/>
  <c r="W309" i="4" s="1"/>
  <c r="W310" i="4" a="1"/>
  <c r="W310" i="4" s="1"/>
  <c r="W311" i="4" a="1"/>
  <c r="W311" i="4" s="1"/>
  <c r="W312" i="4" a="1"/>
  <c r="W312" i="4" s="1"/>
  <c r="W313" i="4" a="1"/>
  <c r="W313" i="4" s="1"/>
  <c r="W314" i="4" a="1"/>
  <c r="W314" i="4" s="1"/>
  <c r="W315" i="4" a="1"/>
  <c r="W315" i="4" s="1"/>
  <c r="W316" i="4" a="1"/>
  <c r="W316" i="4" s="1"/>
  <c r="W317" i="4" a="1"/>
  <c r="W317" i="4" s="1"/>
  <c r="W318" i="4" a="1"/>
  <c r="W318" i="4" s="1"/>
  <c r="W319" i="4" a="1"/>
  <c r="W319" i="4" s="1"/>
  <c r="W320" i="4" a="1"/>
  <c r="W320" i="4" s="1"/>
  <c r="W321" i="4" a="1"/>
  <c r="W321" i="4" s="1"/>
  <c r="W322" i="4" a="1"/>
  <c r="W322" i="4" s="1"/>
  <c r="W323" i="4" a="1"/>
  <c r="W323" i="4" s="1"/>
  <c r="W324" i="4" a="1"/>
  <c r="W324" i="4" s="1"/>
  <c r="W325" i="4" a="1"/>
  <c r="W325" i="4" s="1"/>
  <c r="W326" i="4" a="1"/>
  <c r="W326" i="4" s="1"/>
  <c r="W327" i="4" a="1"/>
  <c r="W327" i="4" s="1"/>
  <c r="W328" i="4" a="1"/>
  <c r="W328" i="4" s="1"/>
  <c r="W329" i="4" a="1"/>
  <c r="W329" i="4" s="1"/>
  <c r="W330" i="4" a="1"/>
  <c r="W330" i="4" s="1"/>
  <c r="W331" i="4" a="1"/>
  <c r="W331" i="4" s="1"/>
  <c r="W332" i="4" a="1"/>
  <c r="W332" i="4" s="1"/>
  <c r="W333" i="4" a="1"/>
  <c r="W333" i="4" s="1"/>
  <c r="W334" i="4" a="1"/>
  <c r="W334" i="4" s="1"/>
  <c r="W335" i="4" a="1"/>
  <c r="W335" i="4" s="1"/>
  <c r="W336" i="4" a="1"/>
  <c r="W336" i="4" s="1"/>
  <c r="W337" i="4" a="1"/>
  <c r="W337" i="4" s="1"/>
  <c r="W338" i="4" a="1"/>
  <c r="W338" i="4" s="1"/>
  <c r="W339" i="4" a="1"/>
  <c r="W339" i="4" s="1"/>
  <c r="W340" i="4" a="1"/>
  <c r="W340" i="4" s="1"/>
  <c r="W341" i="4" a="1"/>
  <c r="W341" i="4" s="1"/>
  <c r="W342" i="4" a="1"/>
  <c r="W342" i="4" s="1"/>
  <c r="W343" i="4" a="1"/>
  <c r="W343" i="4" s="1"/>
  <c r="W344" i="4" a="1"/>
  <c r="W344" i="4" s="1"/>
  <c r="W345" i="4" a="1"/>
  <c r="W345" i="4" s="1"/>
  <c r="W346" i="4" a="1"/>
  <c r="W346" i="4" s="1"/>
  <c r="W347" i="4" a="1"/>
  <c r="W347" i="4" s="1"/>
  <c r="W348" i="4" a="1"/>
  <c r="W348" i="4" s="1"/>
  <c r="W349" i="4" a="1"/>
  <c r="W349" i="4" s="1"/>
  <c r="W350" i="4" a="1"/>
  <c r="W350" i="4" s="1"/>
  <c r="W351" i="4" a="1"/>
  <c r="W351" i="4" s="1"/>
  <c r="W352" i="4" a="1"/>
  <c r="W352" i="4" s="1"/>
  <c r="W353" i="4" a="1"/>
  <c r="W353" i="4" s="1"/>
  <c r="W354" i="4" a="1"/>
  <c r="W354" i="4" s="1"/>
  <c r="W355" i="4" a="1"/>
  <c r="W355" i="4" s="1"/>
  <c r="W356" i="4" a="1"/>
  <c r="W356" i="4" s="1"/>
  <c r="W357" i="4" a="1"/>
  <c r="W357" i="4" s="1"/>
  <c r="W358" i="4" a="1"/>
  <c r="W358" i="4" s="1"/>
  <c r="W359" i="4" a="1"/>
  <c r="W359" i="4" s="1"/>
  <c r="W360" i="4" a="1"/>
  <c r="W360" i="4" s="1"/>
  <c r="W361" i="4" a="1"/>
  <c r="W361" i="4" s="1"/>
  <c r="W362" i="4" a="1"/>
  <c r="W362" i="4" s="1"/>
  <c r="W363" i="4" a="1"/>
  <c r="W363" i="4" s="1"/>
  <c r="W364" i="4" a="1"/>
  <c r="W364" i="4" s="1"/>
  <c r="W365" i="4" a="1"/>
  <c r="W365" i="4" s="1"/>
  <c r="W366" i="4" a="1"/>
  <c r="W366" i="4" s="1"/>
  <c r="W367" i="4" a="1"/>
  <c r="W367" i="4" s="1"/>
  <c r="W368" i="4" a="1"/>
  <c r="W368" i="4" s="1"/>
  <c r="W369" i="4" a="1"/>
  <c r="W369" i="4" s="1"/>
  <c r="W370" i="4" a="1"/>
  <c r="W370" i="4" s="1"/>
  <c r="W371" i="4" a="1"/>
  <c r="W371" i="4" s="1"/>
  <c r="W372" i="4" a="1"/>
  <c r="W372" i="4" s="1"/>
  <c r="W373" i="4" a="1"/>
  <c r="W373" i="4" s="1"/>
  <c r="W374" i="4" a="1"/>
  <c r="W374" i="4" s="1"/>
  <c r="W375" i="4" a="1"/>
  <c r="W375" i="4" s="1"/>
  <c r="W376" i="4" a="1"/>
  <c r="W376" i="4" s="1"/>
  <c r="W377" i="4" a="1"/>
  <c r="W377" i="4" s="1"/>
  <c r="W378" i="4" a="1"/>
  <c r="W378" i="4" s="1"/>
  <c r="W379" i="4" a="1"/>
  <c r="W379" i="4" s="1"/>
  <c r="W380" i="4" a="1"/>
  <c r="W380" i="4" s="1"/>
  <c r="W381" i="4" a="1"/>
  <c r="W381" i="4" s="1"/>
  <c r="W382" i="4" a="1"/>
  <c r="W382" i="4" s="1"/>
  <c r="W383" i="4" a="1"/>
  <c r="W383" i="4" s="1"/>
  <c r="W384" i="4" a="1"/>
  <c r="W384" i="4" s="1"/>
  <c r="W385" i="4" a="1"/>
  <c r="W385" i="4" s="1"/>
  <c r="W386" i="4" a="1"/>
  <c r="W386" i="4" s="1"/>
  <c r="W387" i="4" a="1"/>
  <c r="W387" i="4" s="1"/>
  <c r="W388" i="4" a="1"/>
  <c r="W388" i="4" s="1"/>
  <c r="W389" i="4" a="1"/>
  <c r="W389" i="4" s="1"/>
  <c r="W390" i="4" a="1"/>
  <c r="W390" i="4" s="1"/>
  <c r="W391" i="4" a="1"/>
  <c r="W391" i="4" s="1"/>
  <c r="W392" i="4" a="1"/>
  <c r="W392" i="4" s="1"/>
  <c r="W393" i="4" a="1"/>
  <c r="W393" i="4" s="1"/>
  <c r="W394" i="4" a="1"/>
  <c r="W394" i="4" s="1"/>
  <c r="W395" i="4" a="1"/>
  <c r="W395" i="4" s="1"/>
  <c r="W396" i="4" a="1"/>
  <c r="W396" i="4" s="1"/>
  <c r="W397" i="4" a="1"/>
  <c r="W397" i="4" s="1"/>
  <c r="W398" i="4" a="1"/>
  <c r="W398" i="4" s="1"/>
  <c r="W399" i="4" a="1"/>
  <c r="W399" i="4" s="1"/>
  <c r="W400" i="4" a="1"/>
  <c r="W400" i="4" s="1"/>
  <c r="W401" i="4" a="1"/>
  <c r="W401" i="4" s="1"/>
  <c r="W402" i="4" a="1"/>
  <c r="W402" i="4" s="1"/>
  <c r="W403" i="4" a="1"/>
  <c r="W403" i="4" s="1"/>
  <c r="W404" i="4" a="1"/>
  <c r="W404" i="4" s="1"/>
  <c r="W405" i="4" a="1"/>
  <c r="W405" i="4" s="1"/>
  <c r="W406" i="4" a="1"/>
  <c r="W406" i="4" s="1"/>
  <c r="W407" i="4" a="1"/>
  <c r="W407" i="4" s="1"/>
  <c r="W408" i="4" a="1"/>
  <c r="W408" i="4" s="1"/>
  <c r="W409" i="4" a="1"/>
  <c r="W409" i="4" s="1"/>
  <c r="W410" i="4" a="1"/>
  <c r="W410" i="4" s="1"/>
  <c r="W411" i="4" a="1"/>
  <c r="W411" i="4" s="1"/>
  <c r="W412" i="4" a="1"/>
  <c r="W412" i="4" s="1"/>
  <c r="W413" i="4" a="1"/>
  <c r="W413" i="4" s="1"/>
  <c r="W414" i="4" a="1"/>
  <c r="W414" i="4" s="1"/>
  <c r="W415" i="4" a="1"/>
  <c r="W415" i="4" s="1"/>
  <c r="W416" i="4" a="1"/>
  <c r="W416" i="4" s="1"/>
  <c r="W417" i="4" a="1"/>
  <c r="W417" i="4" s="1"/>
  <c r="W418" i="4" a="1"/>
  <c r="W418" i="4" s="1"/>
  <c r="W419" i="4" a="1"/>
  <c r="W419" i="4" s="1"/>
  <c r="W420" i="4" a="1"/>
  <c r="W420" i="4" s="1"/>
  <c r="W421" i="4" a="1"/>
  <c r="W421" i="4"/>
  <c r="W422" i="4" a="1"/>
  <c r="W422" i="4" s="1"/>
  <c r="W423" i="4" a="1"/>
  <c r="W423" i="4" s="1"/>
  <c r="W424" i="4" a="1"/>
  <c r="W424" i="4" s="1"/>
  <c r="W425" i="4" a="1"/>
  <c r="W425" i="4" s="1"/>
  <c r="W426" i="4" a="1"/>
  <c r="W426" i="4" s="1"/>
  <c r="W427" i="4" a="1"/>
  <c r="W427" i="4" s="1"/>
  <c r="W428" i="4" a="1"/>
  <c r="W428" i="4"/>
  <c r="W429" i="4" a="1"/>
  <c r="W429" i="4" s="1"/>
  <c r="W430" i="4" a="1"/>
  <c r="W430" i="4" s="1"/>
  <c r="W431" i="4" a="1"/>
  <c r="W431" i="4" s="1"/>
  <c r="W432" i="4" a="1"/>
  <c r="W432" i="4" s="1"/>
  <c r="W433" i="4" a="1"/>
  <c r="W433" i="4" s="1"/>
  <c r="W434" i="4" a="1"/>
  <c r="W434" i="4" s="1"/>
  <c r="W435" i="4" a="1"/>
  <c r="W435" i="4" s="1"/>
  <c r="W436" i="4" a="1"/>
  <c r="W436" i="4" s="1"/>
  <c r="W437" i="4" a="1"/>
  <c r="W437" i="4" s="1"/>
  <c r="W438" i="4" a="1"/>
  <c r="W438" i="4" s="1"/>
  <c r="W439" i="4" a="1"/>
  <c r="W439" i="4" s="1"/>
  <c r="W440" i="4" a="1"/>
  <c r="W440" i="4" s="1"/>
  <c r="W441" i="4" a="1"/>
  <c r="W441" i="4" s="1"/>
  <c r="W442" i="4" a="1"/>
  <c r="W442" i="4" s="1"/>
  <c r="W443" i="4" a="1"/>
  <c r="W443" i="4" s="1"/>
  <c r="W444" i="4" a="1"/>
  <c r="W444" i="4" s="1"/>
  <c r="W445" i="4" a="1"/>
  <c r="W445" i="4" s="1"/>
  <c r="W446" i="4" a="1"/>
  <c r="W446" i="4" s="1"/>
  <c r="W447" i="4" a="1"/>
  <c r="W447" i="4" s="1"/>
  <c r="W448" i="4" a="1"/>
  <c r="W448" i="4" s="1"/>
  <c r="W449" i="4" a="1"/>
  <c r="W449" i="4" s="1"/>
  <c r="W450" i="4" a="1"/>
  <c r="W450" i="4" s="1"/>
  <c r="W451" i="4" a="1"/>
  <c r="W451" i="4" s="1"/>
  <c r="W452" i="4" a="1"/>
  <c r="W452" i="4" s="1"/>
  <c r="W453" i="4" a="1"/>
  <c r="W453" i="4" s="1"/>
  <c r="W454" i="4" a="1"/>
  <c r="W454" i="4" s="1"/>
  <c r="W455" i="4" a="1"/>
  <c r="W455" i="4" s="1"/>
  <c r="W456" i="4" a="1"/>
  <c r="W456" i="4" s="1"/>
  <c r="W457" i="4" a="1"/>
  <c r="W457" i="4" s="1"/>
  <c r="W458" i="4" a="1"/>
  <c r="W458" i="4" s="1"/>
  <c r="W459" i="4" a="1"/>
  <c r="W459" i="4" s="1"/>
  <c r="W460" i="4" a="1"/>
  <c r="W460" i="4" s="1"/>
  <c r="W461" i="4" a="1"/>
  <c r="W461" i="4" s="1"/>
  <c r="W462" i="4" a="1"/>
  <c r="W462" i="4" s="1"/>
  <c r="W463" i="4" a="1"/>
  <c r="W463" i="4" s="1"/>
  <c r="W464" i="4" a="1"/>
  <c r="W464" i="4" s="1"/>
  <c r="W465" i="4" a="1"/>
  <c r="W465" i="4" s="1"/>
  <c r="W466" i="4" a="1"/>
  <c r="W466" i="4" s="1"/>
  <c r="W467" i="4" a="1"/>
  <c r="W467" i="4" s="1"/>
  <c r="W468" i="4" a="1"/>
  <c r="W468" i="4" s="1"/>
  <c r="W469" i="4" a="1"/>
  <c r="W469" i="4" s="1"/>
  <c r="W470" i="4" a="1"/>
  <c r="W470" i="4" s="1"/>
  <c r="W471" i="4" a="1"/>
  <c r="W471" i="4" s="1"/>
  <c r="W472" i="4" a="1"/>
  <c r="W472" i="4" s="1"/>
  <c r="W473" i="4" a="1"/>
  <c r="W473" i="4" s="1"/>
  <c r="W474" i="4" a="1"/>
  <c r="W474" i="4" s="1"/>
  <c r="W475" i="4" a="1"/>
  <c r="W475" i="4" s="1"/>
  <c r="W476" i="4" a="1"/>
  <c r="W476" i="4" s="1"/>
  <c r="W477" i="4" a="1"/>
  <c r="W477" i="4" s="1"/>
  <c r="W478" i="4" a="1"/>
  <c r="W478" i="4" s="1"/>
  <c r="W479" i="4" a="1"/>
  <c r="W479" i="4" s="1"/>
  <c r="W480" i="4" a="1"/>
  <c r="W480" i="4" s="1"/>
  <c r="W481" i="4" a="1"/>
  <c r="W481" i="4" s="1"/>
  <c r="W482" i="4" a="1"/>
  <c r="W482" i="4" s="1"/>
  <c r="W483" i="4" a="1"/>
  <c r="W483" i="4" s="1"/>
  <c r="W484" i="4" a="1"/>
  <c r="W484" i="4" s="1"/>
  <c r="W485" i="4" a="1"/>
  <c r="W485" i="4" s="1"/>
  <c r="W486" i="4" a="1"/>
  <c r="W486" i="4" s="1"/>
  <c r="W487" i="4" a="1"/>
  <c r="W487" i="4" s="1"/>
  <c r="W488" i="4" a="1"/>
  <c r="W488" i="4" s="1"/>
  <c r="W489" i="4" a="1"/>
  <c r="W489" i="4" s="1"/>
  <c r="W490" i="4" a="1"/>
  <c r="W490" i="4" s="1"/>
  <c r="W491" i="4" a="1"/>
  <c r="W491" i="4" s="1"/>
  <c r="W492" i="4" a="1"/>
  <c r="W492" i="4" s="1"/>
  <c r="W493" i="4" a="1"/>
  <c r="W493" i="4" s="1"/>
  <c r="W494" i="4" a="1"/>
  <c r="W494" i="4" s="1"/>
  <c r="W495" i="4" a="1"/>
  <c r="W495" i="4" s="1"/>
  <c r="W496" i="4" a="1"/>
  <c r="W496" i="4" s="1"/>
  <c r="W497" i="4" a="1"/>
  <c r="W497" i="4" s="1"/>
  <c r="W498" i="4" a="1"/>
  <c r="W498" i="4" s="1"/>
  <c r="W499" i="4" a="1"/>
  <c r="W499" i="4" s="1"/>
  <c r="W500" i="4" a="1"/>
  <c r="W500" i="4" s="1"/>
  <c r="W501" i="4" a="1"/>
  <c r="W501" i="4" s="1"/>
  <c r="W4" i="4" a="1"/>
  <c r="W4" i="4" s="1"/>
  <c r="W2" i="4" a="1"/>
  <c r="W2" i="4" s="1"/>
  <c r="W3" i="4" a="1"/>
  <c r="W3"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<sst xmlns="http://schemas.openxmlformats.org/spreadsheetml/2006/main" count="38792" uniqueCount="2183">
  <si>
    <t>Order_ID</t>
  </si>
  <si>
    <t>Customer_ID</t>
  </si>
  <si>
    <t>Product_ID</t>
  </si>
  <si>
    <t>Order_Date</t>
  </si>
  <si>
    <t>Delivery_Date</t>
  </si>
  <si>
    <t>Customer_Name</t>
  </si>
  <si>
    <t>Gender</t>
  </si>
  <si>
    <t>DOB</t>
  </si>
  <si>
    <t>City</t>
  </si>
  <si>
    <t>Region</t>
  </si>
  <si>
    <t>Category</t>
  </si>
  <si>
    <t>Product_Name</t>
  </si>
  <si>
    <t>Quantity</t>
  </si>
  <si>
    <t>Unit_Price</t>
  </si>
  <si>
    <t>Discount_%</t>
  </si>
  <si>
    <t>Sales</t>
  </si>
  <si>
    <t>Rating</t>
  </si>
  <si>
    <t>Payment_Mode</t>
  </si>
  <si>
    <t>Salesperson</t>
  </si>
  <si>
    <t>Email</t>
  </si>
  <si>
    <t>Phone</t>
  </si>
  <si>
    <t>Order_Status</t>
  </si>
  <si>
    <t>ORD10001</t>
  </si>
  <si>
    <t>C008</t>
  </si>
  <si>
    <t>P202</t>
  </si>
  <si>
    <t>18/09/2025</t>
  </si>
  <si>
    <t>22/09/2025</t>
  </si>
  <si>
    <t>Kavya Nair</t>
  </si>
  <si>
    <t>Female</t>
  </si>
  <si>
    <t>01/08/1976</t>
  </si>
  <si>
    <t>Hyderabad</t>
  </si>
  <si>
    <t>South</t>
  </si>
  <si>
    <t>Home Appliances</t>
  </si>
  <si>
    <t>Iron</t>
  </si>
  <si>
    <t>Cash</t>
  </si>
  <si>
    <t>Ritika</t>
  </si>
  <si>
    <t>KAvya.nair@company.com</t>
  </si>
  <si>
    <t>9431429797</t>
  </si>
  <si>
    <t>Completed</t>
  </si>
  <si>
    <t>ORD10002</t>
  </si>
  <si>
    <t>P104</t>
  </si>
  <si>
    <t>27/04/2025</t>
  </si>
  <si>
    <t>04/05/2025</t>
  </si>
  <si>
    <t>16/10/2000</t>
  </si>
  <si>
    <t>Delhi</t>
  </si>
  <si>
    <t>North</t>
  </si>
  <si>
    <t>Electronics</t>
  </si>
  <si>
    <t>Monitor</t>
  </si>
  <si>
    <t>NetBanking</t>
  </si>
  <si>
    <t>Rahul</t>
  </si>
  <si>
    <t>kavya.nair@company.com</t>
  </si>
  <si>
    <t>9129865339</t>
  </si>
  <si>
    <t>ORD10003</t>
  </si>
  <si>
    <t>C010</t>
  </si>
  <si>
    <t>P101</t>
  </si>
  <si>
    <t>03/09/2025</t>
  </si>
  <si>
    <t>14/09/2025</t>
  </si>
  <si>
    <t>pooja      shah</t>
  </si>
  <si>
    <t>16/09/1994</t>
  </si>
  <si>
    <t>Bengaluru</t>
  </si>
  <si>
    <t>Laptop</t>
  </si>
  <si>
    <t>Aisha</t>
  </si>
  <si>
    <t>pooja.shah@company.com</t>
  </si>
  <si>
    <t>9380975626</t>
  </si>
  <si>
    <t>Pending</t>
  </si>
  <si>
    <t>21/03/2026</t>
  </si>
  <si>
    <t>02/04/2026</t>
  </si>
  <si>
    <t>07/03/2004</t>
  </si>
  <si>
    <t>9600261125</t>
  </si>
  <si>
    <t>Cancelled</t>
  </si>
  <si>
    <t>ORD10005</t>
  </si>
  <si>
    <t>C009</t>
  </si>
  <si>
    <t>P103</t>
  </si>
  <si>
    <t>27/09/2025</t>
  </si>
  <si>
    <t>07/10/2025</t>
  </si>
  <si>
    <t>Mohit     Verma</t>
  </si>
  <si>
    <t>Male</t>
  </si>
  <si>
    <t>13/04/1976</t>
  </si>
  <si>
    <t>Keyboard</t>
  </si>
  <si>
    <t>Card</t>
  </si>
  <si>
    <t>mohit.verma@company.com</t>
  </si>
  <si>
    <t>9724635978</t>
  </si>
  <si>
    <t>ORD10006</t>
  </si>
  <si>
    <t>C007</t>
  </si>
  <si>
    <t>04/01/2026</t>
  </si>
  <si>
    <t>12/01/2026</t>
  </si>
  <si>
    <t>arjun Rao</t>
  </si>
  <si>
    <t>07/02/1988</t>
  </si>
  <si>
    <t>UPI</t>
  </si>
  <si>
    <t>arjun.rao@company.com</t>
  </si>
  <si>
    <t>9780584905</t>
  </si>
  <si>
    <t>ORD10007</t>
  </si>
  <si>
    <t>P201</t>
  </si>
  <si>
    <t>31/02/2025</t>
  </si>
  <si>
    <t>25/02/2026</t>
  </si>
  <si>
    <t>Kavya      Nair</t>
  </si>
  <si>
    <t>20/03/2003</t>
  </si>
  <si>
    <t>Mixer</t>
  </si>
  <si>
    <t>9958252176</t>
  </si>
  <si>
    <t>ORD10008</t>
  </si>
  <si>
    <t>C002</t>
  </si>
  <si>
    <t>13/04/2025</t>
  </si>
  <si>
    <t>19/04/2025</t>
  </si>
  <si>
    <t>Priya Patel</t>
  </si>
  <si>
    <t>07/03/1995</t>
  </si>
  <si>
    <t>Mumbai</t>
  </si>
  <si>
    <t>West</t>
  </si>
  <si>
    <t>priYa.patel@company.com</t>
  </si>
  <si>
    <t>9705521654</t>
  </si>
  <si>
    <t>ORD10009</t>
  </si>
  <si>
    <t>31/01/2026</t>
  </si>
  <si>
    <t>02/02/2026</t>
  </si>
  <si>
    <t>kavya Nair</t>
  </si>
  <si>
    <t>06/04/1997</t>
  </si>
  <si>
    <t>Pune</t>
  </si>
  <si>
    <t>Neha</t>
  </si>
  <si>
    <t>9588041011</t>
  </si>
  <si>
    <t>ORD10010</t>
  </si>
  <si>
    <t>P301</t>
  </si>
  <si>
    <t>25/03/2025</t>
  </si>
  <si>
    <t>27/03/2025</t>
  </si>
  <si>
    <t>07/01/1990</t>
  </si>
  <si>
    <t>Stationery</t>
  </si>
  <si>
    <t>Notebook</t>
  </si>
  <si>
    <t>PRiya.patel@company.com</t>
  </si>
  <si>
    <t>9340540608</t>
  </si>
  <si>
    <t>ORD10011</t>
  </si>
  <si>
    <t>C003</t>
  </si>
  <si>
    <t>19/09/2025</t>
  </si>
  <si>
    <t>23/09/2025</t>
  </si>
  <si>
    <t xml:space="preserve">               Rohit Singh</t>
  </si>
  <si>
    <t>10/05/1982</t>
  </si>
  <si>
    <t>rohit.singh@company.com</t>
  </si>
  <si>
    <t>9521710321</t>
  </si>
  <si>
    <t>ORD10012</t>
  </si>
  <si>
    <t>08/03/2025</t>
  </si>
  <si>
    <t>15/03/2025</t>
  </si>
  <si>
    <t>23/01/1982</t>
  </si>
  <si>
    <t>Ahmedabad</t>
  </si>
  <si>
    <t>9123535241</t>
  </si>
  <si>
    <t>ORD10013</t>
  </si>
  <si>
    <t>10/01/2025</t>
  </si>
  <si>
    <t>15/01/2025</t>
  </si>
  <si>
    <t>06/07/1992</t>
  </si>
  <si>
    <t>priya.patel@company.com</t>
  </si>
  <si>
    <t>9367316892</t>
  </si>
  <si>
    <t>ORD10014</t>
  </si>
  <si>
    <t>09/03/2025</t>
  </si>
  <si>
    <t>13/03/2025</t>
  </si>
  <si>
    <t>rohit Singh</t>
  </si>
  <si>
    <t>19/03/2002</t>
  </si>
  <si>
    <t>Karan</t>
  </si>
  <si>
    <t>rOhit.singh@company.com</t>
  </si>
  <si>
    <t>9778489803</t>
  </si>
  <si>
    <t>ORD10015</t>
  </si>
  <si>
    <t>26/07/2025</t>
  </si>
  <si>
    <t>07/08/2025</t>
  </si>
  <si>
    <t xml:space="preserve">    Kavya nair</t>
  </si>
  <si>
    <t>17/01/2001</t>
  </si>
  <si>
    <t>9582960180</t>
  </si>
  <si>
    <t>ORD10016</t>
  </si>
  <si>
    <t>08/04/2026</t>
  </si>
  <si>
    <t>11/04/2026</t>
  </si>
  <si>
    <t>Pooja Shah</t>
  </si>
  <si>
    <t>11/04/2002</t>
  </si>
  <si>
    <t>pooja.shahcompany.com</t>
  </si>
  <si>
    <t>9611394005</t>
  </si>
  <si>
    <t>ORD10017</t>
  </si>
  <si>
    <t>C004</t>
  </si>
  <si>
    <t>P203</t>
  </si>
  <si>
    <t>22/02/2026</t>
  </si>
  <si>
    <t>03/03/2026</t>
  </si>
  <si>
    <t xml:space="preserve">  Amit Sharma </t>
  </si>
  <si>
    <t>16/01/2002</t>
  </si>
  <si>
    <t>Microwave</t>
  </si>
  <si>
    <t>anita.gupta@company.com</t>
  </si>
  <si>
    <t>9692599404</t>
  </si>
  <si>
    <t>ORD10018</t>
  </si>
  <si>
    <t>28/02/2026</t>
  </si>
  <si>
    <t>05/03/2026</t>
  </si>
  <si>
    <t>Arjun Rao</t>
  </si>
  <si>
    <t>09/10/1989</t>
  </si>
  <si>
    <t>9426119622</t>
  </si>
  <si>
    <t>ORD10019</t>
  </si>
  <si>
    <t>P102</t>
  </si>
  <si>
    <t>01/12/2025</t>
  </si>
  <si>
    <t>04/12/2025</t>
  </si>
  <si>
    <t>arjun rao</t>
  </si>
  <si>
    <t>28/10/1991</t>
  </si>
  <si>
    <t>Mouse</t>
  </si>
  <si>
    <t>arjun.Rao@company.com</t>
  </si>
  <si>
    <t>9184436009</t>
  </si>
  <si>
    <t>ORD10020</t>
  </si>
  <si>
    <t>25/06/2025</t>
  </si>
  <si>
    <t>03/07/2025</t>
  </si>
  <si>
    <t>01/03/1990</t>
  </si>
  <si>
    <t>9263774934</t>
  </si>
  <si>
    <t>ORD10021</t>
  </si>
  <si>
    <t>26/04/2025</t>
  </si>
  <si>
    <t>05/05/2025</t>
  </si>
  <si>
    <t>Rohit Singh</t>
  </si>
  <si>
    <t>18/07/2002</t>
  </si>
  <si>
    <t>electronics</t>
  </si>
  <si>
    <t>9473159572</t>
  </si>
  <si>
    <t>ORD10022</t>
  </si>
  <si>
    <t>03/01/2025</t>
  </si>
  <si>
    <t>08/01/2025</t>
  </si>
  <si>
    <t>15/12/2004</t>
  </si>
  <si>
    <t>9660493688</t>
  </si>
  <si>
    <t>ORD10023</t>
  </si>
  <si>
    <t>30/04/2025</t>
  </si>
  <si>
    <t>04/07/1984</t>
  </si>
  <si>
    <t>Jaipur</t>
  </si>
  <si>
    <t>9513325819</t>
  </si>
  <si>
    <t>ORD10024</t>
  </si>
  <si>
    <t>22/12/2025</t>
  </si>
  <si>
    <t>01/01/2026</t>
  </si>
  <si>
    <t>Mohit Verma</t>
  </si>
  <si>
    <t>25/02/1978</t>
  </si>
  <si>
    <t>9641063242</t>
  </si>
  <si>
    <t>ORD10025</t>
  </si>
  <si>
    <t>C005</t>
  </si>
  <si>
    <t>P302</t>
  </si>
  <si>
    <t>09/04/2026</t>
  </si>
  <si>
    <t>20/04/2026</t>
  </si>
  <si>
    <t>Vikas Mehta</t>
  </si>
  <si>
    <t>03/08/1991</t>
  </si>
  <si>
    <t>Pen</t>
  </si>
  <si>
    <t>vikas.mehta@company.com</t>
  </si>
  <si>
    <t>9277372518</t>
  </si>
  <si>
    <t>ORD10026</t>
  </si>
  <si>
    <t>24/06/2025</t>
  </si>
  <si>
    <t>02/07/2025</t>
  </si>
  <si>
    <t>11/12/1977</t>
  </si>
  <si>
    <t>9193154372</t>
  </si>
  <si>
    <t>ORD10027</t>
  </si>
  <si>
    <t>22/05/2025</t>
  </si>
  <si>
    <t>25/05/2025</t>
  </si>
  <si>
    <t>08/02/1992</t>
  </si>
  <si>
    <t>9400073244</t>
  </si>
  <si>
    <t>ORD10028</t>
  </si>
  <si>
    <t>13/03/2026</t>
  </si>
  <si>
    <t>20/03/2026</t>
  </si>
  <si>
    <t>05/06/2004</t>
  </si>
  <si>
    <t>9771556720</t>
  </si>
  <si>
    <t>ORD10029</t>
  </si>
  <si>
    <t>08/09/2025</t>
  </si>
  <si>
    <t>20/09/2025</t>
  </si>
  <si>
    <t>11/08/2001</t>
  </si>
  <si>
    <t>9127480734</t>
  </si>
  <si>
    <t>ORD10030</t>
  </si>
  <si>
    <t>C006</t>
  </si>
  <si>
    <t>11/01/2026</t>
  </si>
  <si>
    <t>16/01/2026</t>
  </si>
  <si>
    <t>Sneha Joshi</t>
  </si>
  <si>
    <t>04/04/1981</t>
  </si>
  <si>
    <t>sneha.joshi@company.com</t>
  </si>
  <si>
    <t>9512997042</t>
  </si>
  <si>
    <t>ORD10031</t>
  </si>
  <si>
    <t>P303</t>
  </si>
  <si>
    <t>16/06/2025</t>
  </si>
  <si>
    <t>26/06/2025</t>
  </si>
  <si>
    <t>02/07/1996</t>
  </si>
  <si>
    <t>Marker</t>
  </si>
  <si>
    <t>9372748661</t>
  </si>
  <si>
    <t>ORD10032</t>
  </si>
  <si>
    <t>01/07/2025</t>
  </si>
  <si>
    <t>13/07/2025</t>
  </si>
  <si>
    <t>Priya    Patel</t>
  </si>
  <si>
    <t>15/11/1976</t>
  </si>
  <si>
    <t>9570437805</t>
  </si>
  <si>
    <t>ORD10033</t>
  </si>
  <si>
    <t>07/03/2025</t>
  </si>
  <si>
    <t>28/10/1988</t>
  </si>
  <si>
    <t>9310669113</t>
  </si>
  <si>
    <t>ORD10034</t>
  </si>
  <si>
    <t>04/07/2025</t>
  </si>
  <si>
    <t>23/06/2004</t>
  </si>
  <si>
    <t>wrongmail</t>
  </si>
  <si>
    <t>9437132894</t>
  </si>
  <si>
    <t>ORD10035</t>
  </si>
  <si>
    <t>09/10/2025</t>
  </si>
  <si>
    <t>19/10/2025</t>
  </si>
  <si>
    <t>22/04/1996</t>
  </si>
  <si>
    <t>9762437243</t>
  </si>
  <si>
    <t>ORD10036</t>
  </si>
  <si>
    <t>19/11/2025</t>
  </si>
  <si>
    <t>26/11/2025</t>
  </si>
  <si>
    <t>07/07/1979</t>
  </si>
  <si>
    <t>9149046970</t>
  </si>
  <si>
    <t>ORD10037</t>
  </si>
  <si>
    <t>05/11/2025</t>
  </si>
  <si>
    <t>14/11/2025</t>
  </si>
  <si>
    <t>27/09/1980</t>
  </si>
  <si>
    <t>Kolkata</t>
  </si>
  <si>
    <t>East</t>
  </si>
  <si>
    <t>9869182901</t>
  </si>
  <si>
    <t>ORD10038</t>
  </si>
  <si>
    <t>08/03/2026</t>
  </si>
  <si>
    <t>21/06/1980</t>
  </si>
  <si>
    <t>9283578533</t>
  </si>
  <si>
    <t>ORD10039</t>
  </si>
  <si>
    <t>13/02/2025</t>
  </si>
  <si>
    <t>19/02/2025</t>
  </si>
  <si>
    <t>17/06/1979</t>
  </si>
  <si>
    <t xml:space="preserve">1200 </t>
  </si>
  <si>
    <t>9963005771</t>
  </si>
  <si>
    <t>ORD10040</t>
  </si>
  <si>
    <t>05/10/2025</t>
  </si>
  <si>
    <t>15/10/2025</t>
  </si>
  <si>
    <t>18/06/1992</t>
  </si>
  <si>
    <t>9484632635</t>
  </si>
  <si>
    <t>ORD10041</t>
  </si>
  <si>
    <t>10/02/2026</t>
  </si>
  <si>
    <t>12/02/2026</t>
  </si>
  <si>
    <t>06/06/1994</t>
  </si>
  <si>
    <t>9276319484</t>
  </si>
  <si>
    <t>ORD10042</t>
  </si>
  <si>
    <t>04/06/2025</t>
  </si>
  <si>
    <t>22/09/1988</t>
  </si>
  <si>
    <t>9619034852</t>
  </si>
  <si>
    <t>ORD10043</t>
  </si>
  <si>
    <t>08/02/2026</t>
  </si>
  <si>
    <t>14/02/2026</t>
  </si>
  <si>
    <t>14/07/2001</t>
  </si>
  <si>
    <t>9636416962</t>
  </si>
  <si>
    <t>ORD10044</t>
  </si>
  <si>
    <t>C001</t>
  </si>
  <si>
    <t>30/03/2025</t>
  </si>
  <si>
    <t>31/03/2025</t>
  </si>
  <si>
    <t>amit Sharma</t>
  </si>
  <si>
    <t>09/08/1991</t>
  </si>
  <si>
    <t>amit.sharma@company.com</t>
  </si>
  <si>
    <t>9357133880</t>
  </si>
  <si>
    <t>ORD10045</t>
  </si>
  <si>
    <t>25/04/2025</t>
  </si>
  <si>
    <t>28/04/2025</t>
  </si>
  <si>
    <t>21/10/1988</t>
  </si>
  <si>
    <t>9575210324</t>
  </si>
  <si>
    <t>ORD10046</t>
  </si>
  <si>
    <t>13/10/2025</t>
  </si>
  <si>
    <t>23/10/2025</t>
  </si>
  <si>
    <t>19/11/2002</t>
  </si>
  <si>
    <t>9276080204</t>
  </si>
  <si>
    <t>ORD10047</t>
  </si>
  <si>
    <t>11/10/2025</t>
  </si>
  <si>
    <t>14/10/2025</t>
  </si>
  <si>
    <t>06/07/2000</t>
  </si>
  <si>
    <t>sneha.joshicompany.com</t>
  </si>
  <si>
    <t>9856624471</t>
  </si>
  <si>
    <t>ORD10048</t>
  </si>
  <si>
    <t>27/11/2025</t>
  </si>
  <si>
    <t>03/12/2025</t>
  </si>
  <si>
    <t>26/11/1998</t>
  </si>
  <si>
    <t>9238141322</t>
  </si>
  <si>
    <t>ORD10049</t>
  </si>
  <si>
    <t>19/04/2026</t>
  </si>
  <si>
    <t>03/06/1996</t>
  </si>
  <si>
    <t>9890380030</t>
  </si>
  <si>
    <t>ORD10050</t>
  </si>
  <si>
    <t>21/04/2026</t>
  </si>
  <si>
    <t>Anita Gupta</t>
  </si>
  <si>
    <t>15/03/1987</t>
  </si>
  <si>
    <t>9495893170</t>
  </si>
  <si>
    <t>ORD10051</t>
  </si>
  <si>
    <t>28/03/2025</t>
  </si>
  <si>
    <t>07/04/2025</t>
  </si>
  <si>
    <t>POoja Shah</t>
  </si>
  <si>
    <t>20/02/1979</t>
  </si>
  <si>
    <t>9485166307</t>
  </si>
  <si>
    <t>ORD10052</t>
  </si>
  <si>
    <t>25/08/2025</t>
  </si>
  <si>
    <t>28/08/2025</t>
  </si>
  <si>
    <t>09/08/2000</t>
  </si>
  <si>
    <t>9924709648</t>
  </si>
  <si>
    <t>ORD10053</t>
  </si>
  <si>
    <t>19/08/2025</t>
  </si>
  <si>
    <t>23/08/2025</t>
  </si>
  <si>
    <t>17/01/1976</t>
  </si>
  <si>
    <t>9350554626</t>
  </si>
  <si>
    <t>ORD10054</t>
  </si>
  <si>
    <t>27/07/2025</t>
  </si>
  <si>
    <t>05/08/2025</t>
  </si>
  <si>
    <t>04/04/1975</t>
  </si>
  <si>
    <t>9743295580</t>
  </si>
  <si>
    <t>ORD10055</t>
  </si>
  <si>
    <t>21/02/2025</t>
  </si>
  <si>
    <t>26/02/2025</t>
  </si>
  <si>
    <t>RoHit Singh</t>
  </si>
  <si>
    <t>11/12/1976</t>
  </si>
  <si>
    <t>9822926495</t>
  </si>
  <si>
    <t>ORD10056</t>
  </si>
  <si>
    <t>10/08/2025</t>
  </si>
  <si>
    <t>11/08/2025</t>
  </si>
  <si>
    <t>Amit Sharma</t>
  </si>
  <si>
    <t>03/12/1979</t>
  </si>
  <si>
    <t>9518298190</t>
  </si>
  <si>
    <t>ORD10057</t>
  </si>
  <si>
    <t>24/03/2026</t>
  </si>
  <si>
    <t>30/03/2026</t>
  </si>
  <si>
    <t>27/12/1978</t>
  </si>
  <si>
    <t>amit.sharmcompany.com</t>
  </si>
  <si>
    <t>9366223547</t>
  </si>
  <si>
    <t>ORD10058</t>
  </si>
  <si>
    <t>19/03/2026</t>
  </si>
  <si>
    <t>15/04/1975</t>
  </si>
  <si>
    <t>9701988524</t>
  </si>
  <si>
    <t>ORD10059</t>
  </si>
  <si>
    <t>15/06/2025</t>
  </si>
  <si>
    <t>19/12/1988</t>
  </si>
  <si>
    <t>9836327649</t>
  </si>
  <si>
    <t>completed</t>
  </si>
  <si>
    <t>ORD10060</t>
  </si>
  <si>
    <t>05/03/2025</t>
  </si>
  <si>
    <t>06/03/2025</t>
  </si>
  <si>
    <t>07/03/1979</t>
  </si>
  <si>
    <t>Vikas.mehta@company.com</t>
  </si>
  <si>
    <t>9261800516</t>
  </si>
  <si>
    <t>ORD10061</t>
  </si>
  <si>
    <t>17/12/2003</t>
  </si>
  <si>
    <t>9950802015</t>
  </si>
  <si>
    <t>ORD10062</t>
  </si>
  <si>
    <t>16/08/2025</t>
  </si>
  <si>
    <t>05/04/1984</t>
  </si>
  <si>
    <t>9595183767</t>
  </si>
  <si>
    <t>ORD10063</t>
  </si>
  <si>
    <t>13/05/2026</t>
  </si>
  <si>
    <t>20/05/2026</t>
  </si>
  <si>
    <t>13/04/1996</t>
  </si>
  <si>
    <t>9560201307</t>
  </si>
  <si>
    <t>ORD10064</t>
  </si>
  <si>
    <t>01/03/2025</t>
  </si>
  <si>
    <t>08/09/2003</t>
  </si>
  <si>
    <t>9826484650</t>
  </si>
  <si>
    <t>ORD10065</t>
  </si>
  <si>
    <t>09/02/2025</t>
  </si>
  <si>
    <t>12/02/2025</t>
  </si>
  <si>
    <t>24/09/1992</t>
  </si>
  <si>
    <t>9219978007</t>
  </si>
  <si>
    <t>ORD10066</t>
  </si>
  <si>
    <t>09/01/2026</t>
  </si>
  <si>
    <t>10/01/2026</t>
  </si>
  <si>
    <t>19/09/1986</t>
  </si>
  <si>
    <t>9662063276</t>
  </si>
  <si>
    <t>ORD10067</t>
  </si>
  <si>
    <t>01/09/2025</t>
  </si>
  <si>
    <t>05/09/2025</t>
  </si>
  <si>
    <t>28/05/1985</t>
  </si>
  <si>
    <t>9190393639</t>
  </si>
  <si>
    <t>ORD10068</t>
  </si>
  <si>
    <t>09/02/2026</t>
  </si>
  <si>
    <t>27/08/1979</t>
  </si>
  <si>
    <t>9106328582</t>
  </si>
  <si>
    <t>ORD10069</t>
  </si>
  <si>
    <t>14/12/2025</t>
  </si>
  <si>
    <t>19/12/2025</t>
  </si>
  <si>
    <t>22/12/1976</t>
  </si>
  <si>
    <t>9264401015</t>
  </si>
  <si>
    <t>ORD10070</t>
  </si>
  <si>
    <t>10/04/2025</t>
  </si>
  <si>
    <t>05/02/2000</t>
  </si>
  <si>
    <t>9959237375</t>
  </si>
  <si>
    <t>ORD10071</t>
  </si>
  <si>
    <t>24/12/2025</t>
  </si>
  <si>
    <t>03/01/2026</t>
  </si>
  <si>
    <t>24/02/1987</t>
  </si>
  <si>
    <t>Anita.gupta@company.com</t>
  </si>
  <si>
    <t>9561836580</t>
  </si>
  <si>
    <t>ORD10072</t>
  </si>
  <si>
    <t>30/08/2025</t>
  </si>
  <si>
    <t>24/07/1984</t>
  </si>
  <si>
    <t>9512666401</t>
  </si>
  <si>
    <t>ORD10073</t>
  </si>
  <si>
    <t>13/12/2025</t>
  </si>
  <si>
    <t>23/12/2025</t>
  </si>
  <si>
    <t>22/09/1981</t>
  </si>
  <si>
    <t>9808988530</t>
  </si>
  <si>
    <t>ORD10074</t>
  </si>
  <si>
    <t>04/02/2026</t>
  </si>
  <si>
    <t>16/02/2026</t>
  </si>
  <si>
    <t>20/06/1980</t>
  </si>
  <si>
    <t>9286410494</t>
  </si>
  <si>
    <t>ORD10075</t>
  </si>
  <si>
    <t>26/01/2026</t>
  </si>
  <si>
    <t>28/01/2026</t>
  </si>
  <si>
    <t>02/11/1982</t>
  </si>
  <si>
    <t>9311555196</t>
  </si>
  <si>
    <t>ORD10076</t>
  </si>
  <si>
    <t>27/06/2025</t>
  </si>
  <si>
    <t>07/07/2025</t>
  </si>
  <si>
    <t>10/01/1980</t>
  </si>
  <si>
    <t>9101810266</t>
  </si>
  <si>
    <t>ORD10077</t>
  </si>
  <si>
    <t>17/03/2026</t>
  </si>
  <si>
    <t>27/04/1981</t>
  </si>
  <si>
    <t>9464556593</t>
  </si>
  <si>
    <t>ORD10078</t>
  </si>
  <si>
    <t>09/06/2025</t>
  </si>
  <si>
    <t>18/06/2025</t>
  </si>
  <si>
    <t>12/03/1985</t>
  </si>
  <si>
    <t>9338278358</t>
  </si>
  <si>
    <t>ORD10079</t>
  </si>
  <si>
    <t>15/11/2025</t>
  </si>
  <si>
    <t>16/11/2025</t>
  </si>
  <si>
    <t>15/03/1999</t>
  </si>
  <si>
    <t>9621410770</t>
  </si>
  <si>
    <t>ORD10080</t>
  </si>
  <si>
    <t>06/11/2025</t>
  </si>
  <si>
    <t>10/11/2025</t>
  </si>
  <si>
    <t>07/07/1983</t>
  </si>
  <si>
    <t>9981333189</t>
  </si>
  <si>
    <t>ORD10081</t>
  </si>
  <si>
    <t>01/01/2025</t>
  </si>
  <si>
    <t>07/01/2025</t>
  </si>
  <si>
    <t>06/03/1989</t>
  </si>
  <si>
    <t>9723450355</t>
  </si>
  <si>
    <t>ORD10082</t>
  </si>
  <si>
    <t>25/04/2026</t>
  </si>
  <si>
    <t>03/05/2026</t>
  </si>
  <si>
    <t>20/06/1982</t>
  </si>
  <si>
    <t>9886243907</t>
  </si>
  <si>
    <t>ORD10083</t>
  </si>
  <si>
    <t>23/06/2001</t>
  </si>
  <si>
    <t>9473931904</t>
  </si>
  <si>
    <t>ORD10084</t>
  </si>
  <si>
    <t>18/03/2025</t>
  </si>
  <si>
    <t>21/03/2025</t>
  </si>
  <si>
    <t>19/07/1983</t>
  </si>
  <si>
    <t>9287159610</t>
  </si>
  <si>
    <t>ORD10085</t>
  </si>
  <si>
    <t>30/10/2025</t>
  </si>
  <si>
    <t>31/10/2025</t>
  </si>
  <si>
    <t>24/03/1993</t>
  </si>
  <si>
    <t>9876513858</t>
  </si>
  <si>
    <t>ORD10086</t>
  </si>
  <si>
    <t>11/11/2025</t>
  </si>
  <si>
    <t>10/05/1995</t>
  </si>
  <si>
    <t>9237400853</t>
  </si>
  <si>
    <t>ORD10087</t>
  </si>
  <si>
    <t>18/04/2025</t>
  </si>
  <si>
    <t>15/02/2001</t>
  </si>
  <si>
    <t>9599597595</t>
  </si>
  <si>
    <t>ORD10088</t>
  </si>
  <si>
    <t>16/03/2026</t>
  </si>
  <si>
    <t>26/03/2026</t>
  </si>
  <si>
    <t>14/08/1999</t>
  </si>
  <si>
    <t>9230007509</t>
  </si>
  <si>
    <t>ORD10089</t>
  </si>
  <si>
    <t>15/09/2025</t>
  </si>
  <si>
    <t>24/09/2025</t>
  </si>
  <si>
    <t>20/03/2002</t>
  </si>
  <si>
    <t>north</t>
  </si>
  <si>
    <t>9823428025</t>
  </si>
  <si>
    <t>ORD10090</t>
  </si>
  <si>
    <t>11/03/2026</t>
  </si>
  <si>
    <t>13/06/1992</t>
  </si>
  <si>
    <t>9505048912</t>
  </si>
  <si>
    <t>ORD10091</t>
  </si>
  <si>
    <t>20/08/2025</t>
  </si>
  <si>
    <t>18/06/1996</t>
  </si>
  <si>
    <t>9508068393</t>
  </si>
  <si>
    <t>ORD10092</t>
  </si>
  <si>
    <t>13/08/2025</t>
  </si>
  <si>
    <t>14/08/2025</t>
  </si>
  <si>
    <t>08/11/1982</t>
  </si>
  <si>
    <t>9785807771</t>
  </si>
  <si>
    <t>ORD10093</t>
  </si>
  <si>
    <t>16/03/2025</t>
  </si>
  <si>
    <t>20/03/2025</t>
  </si>
  <si>
    <t>25/06/1984</t>
  </si>
  <si>
    <t>9215250979</t>
  </si>
  <si>
    <t>ORD10094</t>
  </si>
  <si>
    <t>04/09/2025</t>
  </si>
  <si>
    <t>10/09/2025</t>
  </si>
  <si>
    <t>21/06/1994</t>
  </si>
  <si>
    <t>9845884906</t>
  </si>
  <si>
    <t>ORD10095</t>
  </si>
  <si>
    <t>12/04/2025</t>
  </si>
  <si>
    <t>15/04/2025</t>
  </si>
  <si>
    <t>17/10/1990</t>
  </si>
  <si>
    <t>9393097397</t>
  </si>
  <si>
    <t>ORD10096</t>
  </si>
  <si>
    <t>04/05/2026</t>
  </si>
  <si>
    <t>07/05/2026</t>
  </si>
  <si>
    <t>28/01/1987</t>
  </si>
  <si>
    <t>9958032109</t>
  </si>
  <si>
    <t>ORD10097</t>
  </si>
  <si>
    <t>18/01/2026</t>
  </si>
  <si>
    <t>27/01/2026</t>
  </si>
  <si>
    <t>21/09/1983</t>
  </si>
  <si>
    <t>9755082957</t>
  </si>
  <si>
    <t>ORD10098</t>
  </si>
  <si>
    <t>14/03/2026</t>
  </si>
  <si>
    <t>04/04/1989</t>
  </si>
  <si>
    <t>9872235856</t>
  </si>
  <si>
    <t>ORD10099</t>
  </si>
  <si>
    <t>09/05/2025</t>
  </si>
  <si>
    <t>11/05/2025</t>
  </si>
  <si>
    <t>25/09/1987</t>
  </si>
  <si>
    <t>9335138816</t>
  </si>
  <si>
    <t>ORD10100</t>
  </si>
  <si>
    <t>10/05/2026</t>
  </si>
  <si>
    <t>07/08/1982</t>
  </si>
  <si>
    <t>9750365609</t>
  </si>
  <si>
    <t>ORD10101</t>
  </si>
  <si>
    <t>21/04/2025</t>
  </si>
  <si>
    <t>29/04/2025</t>
  </si>
  <si>
    <t>17/07/1986</t>
  </si>
  <si>
    <t>9736812737</t>
  </si>
  <si>
    <t>ORD10102</t>
  </si>
  <si>
    <t>11/12/2025</t>
  </si>
  <si>
    <t>20/12/2025</t>
  </si>
  <si>
    <t>06/04/1987</t>
  </si>
  <si>
    <t>9271420931</t>
  </si>
  <si>
    <t>ORD10103</t>
  </si>
  <si>
    <t>15/05/2026</t>
  </si>
  <si>
    <t>25/02/2004</t>
  </si>
  <si>
    <t>9781411370</t>
  </si>
  <si>
    <t>ORD10104</t>
  </si>
  <si>
    <t>13/01/2025</t>
  </si>
  <si>
    <t>20/01/2025</t>
  </si>
  <si>
    <t>24/04/2001</t>
  </si>
  <si>
    <t>9584152818</t>
  </si>
  <si>
    <t>ORD10105</t>
  </si>
  <si>
    <t>17/03/2025</t>
  </si>
  <si>
    <t>01/07/1996</t>
  </si>
  <si>
    <t>9507986836</t>
  </si>
  <si>
    <t>ORD10106</t>
  </si>
  <si>
    <t>25/02/2025</t>
  </si>
  <si>
    <t>06/02/1979</t>
  </si>
  <si>
    <t>9518249687</t>
  </si>
  <si>
    <t>ORD10107</t>
  </si>
  <si>
    <t>27/02/2025</t>
  </si>
  <si>
    <t>12/12/1985</t>
  </si>
  <si>
    <t>9179328207</t>
  </si>
  <si>
    <t>ORD10108</t>
  </si>
  <si>
    <t>18/03/2026</t>
  </si>
  <si>
    <t>28/01/1992</t>
  </si>
  <si>
    <t>9778490728</t>
  </si>
  <si>
    <t>ORD10109</t>
  </si>
  <si>
    <t>10/07/2025</t>
  </si>
  <si>
    <t>12/07/2025</t>
  </si>
  <si>
    <t>05/07/1993</t>
  </si>
  <si>
    <t>9223058722</t>
  </si>
  <si>
    <t>ORD10110</t>
  </si>
  <si>
    <t>18/11/2025</t>
  </si>
  <si>
    <t>13/09/1977</t>
  </si>
  <si>
    <t>9999889465</t>
  </si>
  <si>
    <t>ORD10111</t>
  </si>
  <si>
    <t>11/10/1985</t>
  </si>
  <si>
    <t>9489687402</t>
  </si>
  <si>
    <t>ORD10112</t>
  </si>
  <si>
    <t>09/04/2025</t>
  </si>
  <si>
    <t>02/10/2001</t>
  </si>
  <si>
    <t>9236963301</t>
  </si>
  <si>
    <t>ORD10113</t>
  </si>
  <si>
    <t>03/04/2026</t>
  </si>
  <si>
    <t>10/04/2026</t>
  </si>
  <si>
    <t>08/04/1986</t>
  </si>
  <si>
    <t>9653594592</t>
  </si>
  <si>
    <t>ORD10114</t>
  </si>
  <si>
    <t>28/10/2025</t>
  </si>
  <si>
    <t>21/07/1990</t>
  </si>
  <si>
    <t>9781970426</t>
  </si>
  <si>
    <t>ORD10115</t>
  </si>
  <si>
    <t>03/04/2025</t>
  </si>
  <si>
    <t>14/04/2025</t>
  </si>
  <si>
    <t>11/04/1994</t>
  </si>
  <si>
    <t>9862165194</t>
  </si>
  <si>
    <t>ORD10116</t>
  </si>
  <si>
    <t>04/05/1992</t>
  </si>
  <si>
    <t>9661280388</t>
  </si>
  <si>
    <t>ORD10117</t>
  </si>
  <si>
    <t>24/08/2025</t>
  </si>
  <si>
    <t>31/08/2025</t>
  </si>
  <si>
    <t>13/05/1980</t>
  </si>
  <si>
    <t>9896985355</t>
  </si>
  <si>
    <t>ORD10118</t>
  </si>
  <si>
    <t>31/05/2025</t>
  </si>
  <si>
    <t>11/06/2025</t>
  </si>
  <si>
    <t>07/09/1995</t>
  </si>
  <si>
    <t>9807154421</t>
  </si>
  <si>
    <t>ORD10119</t>
  </si>
  <si>
    <t>30/05/2025</t>
  </si>
  <si>
    <t>02/06/2025</t>
  </si>
  <si>
    <t>08/03/1988</t>
  </si>
  <si>
    <t>Ten</t>
  </si>
  <si>
    <t>9919834000</t>
  </si>
  <si>
    <t>ORD10120</t>
  </si>
  <si>
    <t>07/07/1989</t>
  </si>
  <si>
    <t>9739798818</t>
  </si>
  <si>
    <t>ORD10121</t>
  </si>
  <si>
    <t>16/12/2025</t>
  </si>
  <si>
    <t>11/11/1993</t>
  </si>
  <si>
    <t>9208625306</t>
  </si>
  <si>
    <t>ORD10122</t>
  </si>
  <si>
    <t>01/02/2000</t>
  </si>
  <si>
    <t>9970178536</t>
  </si>
  <si>
    <t>ORD10123</t>
  </si>
  <si>
    <t>22/06/1986</t>
  </si>
  <si>
    <t>9633745195</t>
  </si>
  <si>
    <t>ORD10124</t>
  </si>
  <si>
    <t>20/10/2025</t>
  </si>
  <si>
    <t>26/10/2025</t>
  </si>
  <si>
    <t>16/02/1986</t>
  </si>
  <si>
    <t>9922102053</t>
  </si>
  <si>
    <t>ORD10125</t>
  </si>
  <si>
    <t>21/05/2025</t>
  </si>
  <si>
    <t>18/09/1991</t>
  </si>
  <si>
    <t>9135963930</t>
  </si>
  <si>
    <t>ORD10126</t>
  </si>
  <si>
    <t>02/01/2026</t>
  </si>
  <si>
    <t>06/01/2026</t>
  </si>
  <si>
    <t>04/01/1981</t>
  </si>
  <si>
    <t>9429405275</t>
  </si>
  <si>
    <t>ORD10127</t>
  </si>
  <si>
    <t>26/04/2026</t>
  </si>
  <si>
    <t>12/10/2004</t>
  </si>
  <si>
    <t>9521757571</t>
  </si>
  <si>
    <t>ORD10128</t>
  </si>
  <si>
    <t>04/08/2025</t>
  </si>
  <si>
    <t>25/03/1984</t>
  </si>
  <si>
    <t>9467375455</t>
  </si>
  <si>
    <t>ORD10129</t>
  </si>
  <si>
    <t>18/08/2025</t>
  </si>
  <si>
    <t>09/09/1982</t>
  </si>
  <si>
    <t>9838809695</t>
  </si>
  <si>
    <t>ORD10130</t>
  </si>
  <si>
    <t>15/02/1993</t>
  </si>
  <si>
    <t>9296609782</t>
  </si>
  <si>
    <t>ORD10131</t>
  </si>
  <si>
    <t>27/04/2026</t>
  </si>
  <si>
    <t>30/04/2026</t>
  </si>
  <si>
    <t>08/04/2003</t>
  </si>
  <si>
    <t>9848259992</t>
  </si>
  <si>
    <t>ORD10132</t>
  </si>
  <si>
    <t>17/02/2026</t>
  </si>
  <si>
    <t>20/10/1989</t>
  </si>
  <si>
    <t>9254082295</t>
  </si>
  <si>
    <t>ORD10133</t>
  </si>
  <si>
    <t>04/04/2026</t>
  </si>
  <si>
    <t>15/09/1995</t>
  </si>
  <si>
    <t>9687923860</t>
  </si>
  <si>
    <t>ORD10134</t>
  </si>
  <si>
    <t>07/04/1994</t>
  </si>
  <si>
    <t>9426459149</t>
  </si>
  <si>
    <t>ORD10135</t>
  </si>
  <si>
    <t>02/10/2003</t>
  </si>
  <si>
    <t>9155925975</t>
  </si>
  <si>
    <t>ORD10136</t>
  </si>
  <si>
    <t>08/06/2025</t>
  </si>
  <si>
    <t>10/06/2025</t>
  </si>
  <si>
    <t>14/07/1997</t>
  </si>
  <si>
    <t>9945247701</t>
  </si>
  <si>
    <t>ORD10137</t>
  </si>
  <si>
    <t>25/07/2025</t>
  </si>
  <si>
    <t>01/08/2025</t>
  </si>
  <si>
    <t>09/08/1979</t>
  </si>
  <si>
    <t>9597378398</t>
  </si>
  <si>
    <t>ORD10138</t>
  </si>
  <si>
    <t>16/01/2025</t>
  </si>
  <si>
    <t>21/01/2025</t>
  </si>
  <si>
    <t>20/10/2002</t>
  </si>
  <si>
    <t>9343963736</t>
  </si>
  <si>
    <t>ORD10139</t>
  </si>
  <si>
    <t>04/02/2025</t>
  </si>
  <si>
    <t>05/02/2025</t>
  </si>
  <si>
    <t>24/07/1985</t>
  </si>
  <si>
    <t>9548742147</t>
  </si>
  <si>
    <t>ORD10140</t>
  </si>
  <si>
    <t>22/01/2025</t>
  </si>
  <si>
    <t>30/01/2025</t>
  </si>
  <si>
    <t>23/08/1988</t>
  </si>
  <si>
    <t>9912945471</t>
  </si>
  <si>
    <t>ORD10141</t>
  </si>
  <si>
    <t>11/04/2025</t>
  </si>
  <si>
    <t>09/01/1979</t>
  </si>
  <si>
    <t>9912630684</t>
  </si>
  <si>
    <t>ORD10142</t>
  </si>
  <si>
    <t>14/07/2025</t>
  </si>
  <si>
    <t>25/08/1986</t>
  </si>
  <si>
    <t>9114017237</t>
  </si>
  <si>
    <t>ORD10143</t>
  </si>
  <si>
    <t>29/01/2025</t>
  </si>
  <si>
    <t>01/04/1977</t>
  </si>
  <si>
    <t>9872471236</t>
  </si>
  <si>
    <t>ORD10144</t>
  </si>
  <si>
    <t>17/12/2025</t>
  </si>
  <si>
    <t>18/12/2025</t>
  </si>
  <si>
    <t>04/08/1983</t>
  </si>
  <si>
    <t>9461383824</t>
  </si>
  <si>
    <t>ORD10145</t>
  </si>
  <si>
    <t>10/10/2025</t>
  </si>
  <si>
    <t>21/10/2025</t>
  </si>
  <si>
    <t>07/04/1978</t>
  </si>
  <si>
    <t>9243407457</t>
  </si>
  <si>
    <t>ORD10146</t>
  </si>
  <si>
    <t>07/03/2026</t>
  </si>
  <si>
    <t>10/03/2026</t>
  </si>
  <si>
    <t>04/03/1983</t>
  </si>
  <si>
    <t>9418672379</t>
  </si>
  <si>
    <t>ORD10147</t>
  </si>
  <si>
    <t>27/10/1987</t>
  </si>
  <si>
    <t>9222733065</t>
  </si>
  <si>
    <t>ORD10148</t>
  </si>
  <si>
    <t>19/04/2003</t>
  </si>
  <si>
    <t>9684246902</t>
  </si>
  <si>
    <t>14/02/2002</t>
  </si>
  <si>
    <t>9989580228</t>
  </si>
  <si>
    <t>ORD10150</t>
  </si>
  <si>
    <t>05/07/1975</t>
  </si>
  <si>
    <t>9110269572</t>
  </si>
  <si>
    <t>ORD10151</t>
  </si>
  <si>
    <t>05/03/1992</t>
  </si>
  <si>
    <t>9745972422</t>
  </si>
  <si>
    <t>ORD10152</t>
  </si>
  <si>
    <t>29/11/2025</t>
  </si>
  <si>
    <t>07/12/2025</t>
  </si>
  <si>
    <t>03/06/1998</t>
  </si>
  <si>
    <t>9123712257</t>
  </si>
  <si>
    <t>ORD10153</t>
  </si>
  <si>
    <t>19/07/2025</t>
  </si>
  <si>
    <t>28/09/1996</t>
  </si>
  <si>
    <t>9665525431</t>
  </si>
  <si>
    <t>ORD10154</t>
  </si>
  <si>
    <t>23/03/2025</t>
  </si>
  <si>
    <t>15/12/1995</t>
  </si>
  <si>
    <t>9682415134</t>
  </si>
  <si>
    <t>ORD10155</t>
  </si>
  <si>
    <t>22/07/2025</t>
  </si>
  <si>
    <t>23/07/2025</t>
  </si>
  <si>
    <t>24/07/1976</t>
  </si>
  <si>
    <t>9808223872</t>
  </si>
  <si>
    <t>ORD10156</t>
  </si>
  <si>
    <t>21/07/2025</t>
  </si>
  <si>
    <t>24/07/2025</t>
  </si>
  <si>
    <t>22/06/1984</t>
  </si>
  <si>
    <t>9193549730</t>
  </si>
  <si>
    <t>ORD10157</t>
  </si>
  <si>
    <t>29/07/2025</t>
  </si>
  <si>
    <t>06/08/1998</t>
  </si>
  <si>
    <t>9520617130</t>
  </si>
  <si>
    <t>ORD10158</t>
  </si>
  <si>
    <t>18/06/2001</t>
  </si>
  <si>
    <t>9264578122</t>
  </si>
  <si>
    <t>ORD10159</t>
  </si>
  <si>
    <t>23/05/2026</t>
  </si>
  <si>
    <t>11/09/1999</t>
  </si>
  <si>
    <t>9275071213</t>
  </si>
  <si>
    <t>ORD10160</t>
  </si>
  <si>
    <t>07/12/1995</t>
  </si>
  <si>
    <t>9715222543</t>
  </si>
  <si>
    <t>ORD10161</t>
  </si>
  <si>
    <t>Amit    Sharma</t>
  </si>
  <si>
    <t>22/07/1999</t>
  </si>
  <si>
    <t>9942010833</t>
  </si>
  <si>
    <t>ORD10162</t>
  </si>
  <si>
    <t>14/11/2000</t>
  </si>
  <si>
    <t>9347718932</t>
  </si>
  <si>
    <t>ORD10163</t>
  </si>
  <si>
    <t>17/09/2025</t>
  </si>
  <si>
    <t>24/07/2002</t>
  </si>
  <si>
    <t>9274808844</t>
  </si>
  <si>
    <t>ORD10164</t>
  </si>
  <si>
    <t>04/11/2025</t>
  </si>
  <si>
    <t>13/11/2025</t>
  </si>
  <si>
    <t>25/02/2002</t>
  </si>
  <si>
    <t>9798996063</t>
  </si>
  <si>
    <t>ORD10165</t>
  </si>
  <si>
    <t>16/07/1980</t>
  </si>
  <si>
    <t>9145200936</t>
  </si>
  <si>
    <t>ORD10166</t>
  </si>
  <si>
    <t>19/06/2025</t>
  </si>
  <si>
    <t>25/05/1996</t>
  </si>
  <si>
    <t>9697654418</t>
  </si>
  <si>
    <t>ORD10167</t>
  </si>
  <si>
    <t>26/03/2025</t>
  </si>
  <si>
    <t>06/04/2025</t>
  </si>
  <si>
    <t>11/05/1986</t>
  </si>
  <si>
    <t>9457923119</t>
  </si>
  <si>
    <t>ORD10168</t>
  </si>
  <si>
    <t>06/07/2025</t>
  </si>
  <si>
    <t>25/05/1989</t>
  </si>
  <si>
    <t>9236111271</t>
  </si>
  <si>
    <t>ORD10169</t>
  </si>
  <si>
    <t>25/08/1989</t>
  </si>
  <si>
    <t>9402569141</t>
  </si>
  <si>
    <t>ORD10170</t>
  </si>
  <si>
    <t>20/05/1997</t>
  </si>
  <si>
    <t>9138184056</t>
  </si>
  <si>
    <t>ORD10171</t>
  </si>
  <si>
    <t>01/04/2026</t>
  </si>
  <si>
    <t>07/04/2026</t>
  </si>
  <si>
    <t>03/05/1987</t>
  </si>
  <si>
    <t>9609598700</t>
  </si>
  <si>
    <t>ORD10172</t>
  </si>
  <si>
    <t>29/10/2025</t>
  </si>
  <si>
    <t>02/12/2002</t>
  </si>
  <si>
    <t>9385894399</t>
  </si>
  <si>
    <t>ORD10173</t>
  </si>
  <si>
    <t>06/02/2025</t>
  </si>
  <si>
    <t>17/02/2025</t>
  </si>
  <si>
    <t>25/05/1986</t>
  </si>
  <si>
    <t>9329448011</t>
  </si>
  <si>
    <t>ORD10174</t>
  </si>
  <si>
    <t xml:space="preserve">       Vikas Mehta</t>
  </si>
  <si>
    <t>22/02/1986</t>
  </si>
  <si>
    <t>vikas.mehtacompany.com</t>
  </si>
  <si>
    <t>9889544104</t>
  </si>
  <si>
    <t>ORD10175</t>
  </si>
  <si>
    <t>14/03/2025</t>
  </si>
  <si>
    <t>07/04/1988</t>
  </si>
  <si>
    <t>9101861045</t>
  </si>
  <si>
    <t>ORD10176</t>
  </si>
  <si>
    <t>16/07/2025</t>
  </si>
  <si>
    <t>27/06/1993</t>
  </si>
  <si>
    <t>9364712105</t>
  </si>
  <si>
    <t>ORD10177</t>
  </si>
  <si>
    <t>02/12/2025</t>
  </si>
  <si>
    <t>Sneha      Joshi</t>
  </si>
  <si>
    <t>18/06/2004</t>
  </si>
  <si>
    <t>9950206376</t>
  </si>
  <si>
    <t>ORD10178</t>
  </si>
  <si>
    <t>21/02/2026</t>
  </si>
  <si>
    <t>09/09/1993</t>
  </si>
  <si>
    <t>9235822094</t>
  </si>
  <si>
    <t>ORD10179</t>
  </si>
  <si>
    <t>09/11/2025</t>
  </si>
  <si>
    <t>Priya  Patel</t>
  </si>
  <si>
    <t>13/09/2001</t>
  </si>
  <si>
    <t>9311021344</t>
  </si>
  <si>
    <t>ORD10180</t>
  </si>
  <si>
    <t>07/02/2025</t>
  </si>
  <si>
    <t>15/11/1981</t>
  </si>
  <si>
    <t>9891358505</t>
  </si>
  <si>
    <t>ORD10181</t>
  </si>
  <si>
    <t>26/05/2025</t>
  </si>
  <si>
    <t>12/09/1980</t>
  </si>
  <si>
    <t>9910085332</t>
  </si>
  <si>
    <t>ORD10182</t>
  </si>
  <si>
    <t>04/10/2025</t>
  </si>
  <si>
    <t>06/10/2025</t>
  </si>
  <si>
    <t>9756908023</t>
  </si>
  <si>
    <t>ORD10183</t>
  </si>
  <si>
    <t>15/05/2025</t>
  </si>
  <si>
    <t>19/02/1988</t>
  </si>
  <si>
    <t>9645913247</t>
  </si>
  <si>
    <t>ORD10184</t>
  </si>
  <si>
    <t>14/06/2025</t>
  </si>
  <si>
    <t>23/06/2025</t>
  </si>
  <si>
    <t>03/12/1981</t>
  </si>
  <si>
    <t>9806914795</t>
  </si>
  <si>
    <t>ORD10185</t>
  </si>
  <si>
    <t>22/04/2025</t>
  </si>
  <si>
    <t>11/02/1984</t>
  </si>
  <si>
    <t>9276222829</t>
  </si>
  <si>
    <t>ORD10186</t>
  </si>
  <si>
    <t>24/01/2025</t>
  </si>
  <si>
    <t>07/12/1991</t>
  </si>
  <si>
    <t>9533835528</t>
  </si>
  <si>
    <t>ORD10187</t>
  </si>
  <si>
    <t>26/12/2025</t>
  </si>
  <si>
    <t>21/02/1976</t>
  </si>
  <si>
    <t>9654885820</t>
  </si>
  <si>
    <t>ORD10188</t>
  </si>
  <si>
    <t>28/06/2025</t>
  </si>
  <si>
    <t>28/08/1975</t>
  </si>
  <si>
    <t>9456029544</t>
  </si>
  <si>
    <t>ORD10189</t>
  </si>
  <si>
    <t>12/05/2026</t>
  </si>
  <si>
    <t>22/05/2026</t>
  </si>
  <si>
    <t>05/12/1987</t>
  </si>
  <si>
    <t>9914571493</t>
  </si>
  <si>
    <t>ORD10190</t>
  </si>
  <si>
    <t>26/08/2004</t>
  </si>
  <si>
    <t>9270726986</t>
  </si>
  <si>
    <t>ORD10191</t>
  </si>
  <si>
    <t>16/01/1994</t>
  </si>
  <si>
    <t>9570080664</t>
  </si>
  <si>
    <t>ORD10192</t>
  </si>
  <si>
    <t>20/11/2025</t>
  </si>
  <si>
    <t>28/10/2003</t>
  </si>
  <si>
    <t>9109009524</t>
  </si>
  <si>
    <t>ORD10193</t>
  </si>
  <si>
    <t>16/05/2000</t>
  </si>
  <si>
    <t>9701276770</t>
  </si>
  <si>
    <t>ORD10194</t>
  </si>
  <si>
    <t>16/02/2025</t>
  </si>
  <si>
    <t>18/02/2025</t>
  </si>
  <si>
    <t>04/07/1989</t>
  </si>
  <si>
    <t>9298278507</t>
  </si>
  <si>
    <t>ORD10195</t>
  </si>
  <si>
    <t>09/03/1998</t>
  </si>
  <si>
    <t>9895908093</t>
  </si>
  <si>
    <t>ORD10196</t>
  </si>
  <si>
    <t>21/05/1988</t>
  </si>
  <si>
    <t>9734108795</t>
  </si>
  <si>
    <t>ORD10197</t>
  </si>
  <si>
    <t>14/01/2026</t>
  </si>
  <si>
    <t>18/07/1994</t>
  </si>
  <si>
    <t>9799597413</t>
  </si>
  <si>
    <t>ORD10198</t>
  </si>
  <si>
    <t>15/11/1977</t>
  </si>
  <si>
    <t>9688987266</t>
  </si>
  <si>
    <t>ORD10199</t>
  </si>
  <si>
    <t>15/04/2026</t>
  </si>
  <si>
    <t>22/09/1982</t>
  </si>
  <si>
    <t>Stationary</t>
  </si>
  <si>
    <t>9867169037</t>
  </si>
  <si>
    <t>ORD10200</t>
  </si>
  <si>
    <t>20/02/2025</t>
  </si>
  <si>
    <t>14/09/1994</t>
  </si>
  <si>
    <t>9485547425</t>
  </si>
  <si>
    <t>ORD10201</t>
  </si>
  <si>
    <t>02/12/1995</t>
  </si>
  <si>
    <t>9889733076</t>
  </si>
  <si>
    <t>ORD10202</t>
  </si>
  <si>
    <t>24/05/2025</t>
  </si>
  <si>
    <t>27/05/2025</t>
  </si>
  <si>
    <t>10/07/1985</t>
  </si>
  <si>
    <t>9145434449</t>
  </si>
  <si>
    <t>ORD10203</t>
  </si>
  <si>
    <t>25/03/2001</t>
  </si>
  <si>
    <t>9598942148</t>
  </si>
  <si>
    <t>ORD10204</t>
  </si>
  <si>
    <t>09/03/2026</t>
  </si>
  <si>
    <t>9599252705</t>
  </si>
  <si>
    <t>ORD10205</t>
  </si>
  <si>
    <t>14/01/2003</t>
  </si>
  <si>
    <t>9626843681</t>
  </si>
  <si>
    <t>ORD10206</t>
  </si>
  <si>
    <t>12/03/2025</t>
  </si>
  <si>
    <t>02/10/1980</t>
  </si>
  <si>
    <t>9934933215</t>
  </si>
  <si>
    <t>ORD10207</t>
  </si>
  <si>
    <t>06/04/2026</t>
  </si>
  <si>
    <t>24/10/1990</t>
  </si>
  <si>
    <t>9508025585</t>
  </si>
  <si>
    <t>ORD10208</t>
  </si>
  <si>
    <t>17/01/2026</t>
  </si>
  <si>
    <t>20/01/2026</t>
  </si>
  <si>
    <t>24/09/1977</t>
  </si>
  <si>
    <t>9364681052</t>
  </si>
  <si>
    <t>ORD10209</t>
  </si>
  <si>
    <t>24/11/2025</t>
  </si>
  <si>
    <t>02/10/1996</t>
  </si>
  <si>
    <t>9117102884</t>
  </si>
  <si>
    <t>ORD10210</t>
  </si>
  <si>
    <t>21/09/2025</t>
  </si>
  <si>
    <t>17/05/1976</t>
  </si>
  <si>
    <t>9819453185</t>
  </si>
  <si>
    <t>ORD10211</t>
  </si>
  <si>
    <t>27/12/2025</t>
  </si>
  <si>
    <t>09/12/1987</t>
  </si>
  <si>
    <t>9511806701</t>
  </si>
  <si>
    <t>ORD10212</t>
  </si>
  <si>
    <t>16/07/1990</t>
  </si>
  <si>
    <t>9875249891</t>
  </si>
  <si>
    <t>ORD10213</t>
  </si>
  <si>
    <t>9438232503</t>
  </si>
  <si>
    <t>ORD10214</t>
  </si>
  <si>
    <t>22/04/2026</t>
  </si>
  <si>
    <t>26/12/1977</t>
  </si>
  <si>
    <t>9449953754</t>
  </si>
  <si>
    <t>ORD10215</t>
  </si>
  <si>
    <t>06/03/2026</t>
  </si>
  <si>
    <t>04/06/1995</t>
  </si>
  <si>
    <t>9833801891</t>
  </si>
  <si>
    <t>ORD10216</t>
  </si>
  <si>
    <t>28/02/2025</t>
  </si>
  <si>
    <t>16/11/1983</t>
  </si>
  <si>
    <t>9183949273</t>
  </si>
  <si>
    <t>ORD10217</t>
  </si>
  <si>
    <t>07/11/2025</t>
  </si>
  <si>
    <t>10/10/1985</t>
  </si>
  <si>
    <t>9168257367</t>
  </si>
  <si>
    <t>ORD10218</t>
  </si>
  <si>
    <t>30/01/2026</t>
  </si>
  <si>
    <t>07/01/2002</t>
  </si>
  <si>
    <t>9580903210</t>
  </si>
  <si>
    <t>ORD10219</t>
  </si>
  <si>
    <t>29/04/2026</t>
  </si>
  <si>
    <t>18/07/1999</t>
  </si>
  <si>
    <t>9602152945</t>
  </si>
  <si>
    <t>ORD10220</t>
  </si>
  <si>
    <t>18/05/2025</t>
  </si>
  <si>
    <t>20/05/2025</t>
  </si>
  <si>
    <t>02/09/1990</t>
  </si>
  <si>
    <t>9646917552</t>
  </si>
  <si>
    <t>ORD10221</t>
  </si>
  <si>
    <t>28/03/2026</t>
  </si>
  <si>
    <t>02/08/1992</t>
  </si>
  <si>
    <t>9127548552</t>
  </si>
  <si>
    <t>ORD10222</t>
  </si>
  <si>
    <t>19/01/2026</t>
  </si>
  <si>
    <t>09/02/1980</t>
  </si>
  <si>
    <t>9712805603</t>
  </si>
  <si>
    <t>ORD10223</t>
  </si>
  <si>
    <t>02/05/2026</t>
  </si>
  <si>
    <t>18/02/1989</t>
  </si>
  <si>
    <t>9798313682</t>
  </si>
  <si>
    <t>ORD10224</t>
  </si>
  <si>
    <t>02/11/2025</t>
  </si>
  <si>
    <t>10/09/1993</t>
  </si>
  <si>
    <t>9642822397</t>
  </si>
  <si>
    <t>ORD10225</t>
  </si>
  <si>
    <t>20/07/2025</t>
  </si>
  <si>
    <t>17/11/1981</t>
  </si>
  <si>
    <t>9490067655</t>
  </si>
  <si>
    <t>ORD10226</t>
  </si>
  <si>
    <t>24/02/2025</t>
  </si>
  <si>
    <t>24/08/2003</t>
  </si>
  <si>
    <t>9389792144</t>
  </si>
  <si>
    <t>ORD10227</t>
  </si>
  <si>
    <t>20/04/2025</t>
  </si>
  <si>
    <t>01/05/2025</t>
  </si>
  <si>
    <t>19/07/1985</t>
  </si>
  <si>
    <t>9736113863</t>
  </si>
  <si>
    <t>ORD10228</t>
  </si>
  <si>
    <t>05/06/2025</t>
  </si>
  <si>
    <t>13/06/2025</t>
  </si>
  <si>
    <t>10/05/1994</t>
  </si>
  <si>
    <t>9324634732</t>
  </si>
  <si>
    <t>ORD10229</t>
  </si>
  <si>
    <t>23/05/2025</t>
  </si>
  <si>
    <t>23/03/1993</t>
  </si>
  <si>
    <t>9529968110</t>
  </si>
  <si>
    <t>ORD10230</t>
  </si>
  <si>
    <t>24/01/2026</t>
  </si>
  <si>
    <t>13/06/1979</t>
  </si>
  <si>
    <t>9102417647</t>
  </si>
  <si>
    <t>ORD10231</t>
  </si>
  <si>
    <t>24/01/1991</t>
  </si>
  <si>
    <t>9630302865</t>
  </si>
  <si>
    <t>ORD10232</t>
  </si>
  <si>
    <t>22/02/2004</t>
  </si>
  <si>
    <t>9465353780</t>
  </si>
  <si>
    <t>ORD10233</t>
  </si>
  <si>
    <t>25/04/1977</t>
  </si>
  <si>
    <t>9837426414</t>
  </si>
  <si>
    <t>ORD10234</t>
  </si>
  <si>
    <t>20/02/2026</t>
  </si>
  <si>
    <t>04/03/2026</t>
  </si>
  <si>
    <t>22/07/1994</t>
  </si>
  <si>
    <t>9249918272</t>
  </si>
  <si>
    <t>ORD10235</t>
  </si>
  <si>
    <t>11/11/1979</t>
  </si>
  <si>
    <t>9265580582</t>
  </si>
  <si>
    <t>ORD10236</t>
  </si>
  <si>
    <t>09/07/2025</t>
  </si>
  <si>
    <t>27/05/1995</t>
  </si>
  <si>
    <t>9751049833</t>
  </si>
  <si>
    <t>ORD10237</t>
  </si>
  <si>
    <t>08/02/2025</t>
  </si>
  <si>
    <t>18/06/1998</t>
  </si>
  <si>
    <t>9741671507</t>
  </si>
  <si>
    <t>ORD10238</t>
  </si>
  <si>
    <t>04/03/2025</t>
  </si>
  <si>
    <t>21/01/1983</t>
  </si>
  <si>
    <t>9367541035</t>
  </si>
  <si>
    <t>ORD10239</t>
  </si>
  <si>
    <t>06/02/2026</t>
  </si>
  <si>
    <t>03/03/1978</t>
  </si>
  <si>
    <t>9323696971</t>
  </si>
  <si>
    <t>ORD10240</t>
  </si>
  <si>
    <t>08/01/2026</t>
  </si>
  <si>
    <t>24/06/1997</t>
  </si>
  <si>
    <t>9786384529</t>
  </si>
  <si>
    <t>ORD10241</t>
  </si>
  <si>
    <t>25/08/1976</t>
  </si>
  <si>
    <t>9444900541</t>
  </si>
  <si>
    <t>ORD10242</t>
  </si>
  <si>
    <t>12/09/2025</t>
  </si>
  <si>
    <t>04/04/1996</t>
  </si>
  <si>
    <t>9108024911</t>
  </si>
  <si>
    <t>ORD10243</t>
  </si>
  <si>
    <t>13/01/2026</t>
  </si>
  <si>
    <t>09/10/2001</t>
  </si>
  <si>
    <t>9897181325</t>
  </si>
  <si>
    <t>ORD10244</t>
  </si>
  <si>
    <t>16/05/2026</t>
  </si>
  <si>
    <t>19/05/2026</t>
  </si>
  <si>
    <t>11/04/1995</t>
  </si>
  <si>
    <t>9554719621</t>
  </si>
  <si>
    <t>ORD10245</t>
  </si>
  <si>
    <t>04/05/2000</t>
  </si>
  <si>
    <t>9815899217</t>
  </si>
  <si>
    <t>ORD10246</t>
  </si>
  <si>
    <t>01/06/2025</t>
  </si>
  <si>
    <t>01/03/2002</t>
  </si>
  <si>
    <t>9308497039</t>
  </si>
  <si>
    <t>ORD10247</t>
  </si>
  <si>
    <t>27/05/1975</t>
  </si>
  <si>
    <t>9882054354</t>
  </si>
  <si>
    <t>ORD10248</t>
  </si>
  <si>
    <t>02/12/1988</t>
  </si>
  <si>
    <t>9193016830</t>
  </si>
  <si>
    <t>ORD10249</t>
  </si>
  <si>
    <t>28/12/2025</t>
  </si>
  <si>
    <t>05/01/2026</t>
  </si>
  <si>
    <t>06/12/1984</t>
  </si>
  <si>
    <t>Crypto</t>
  </si>
  <si>
    <t>9921470418</t>
  </si>
  <si>
    <t>ORD10250</t>
  </si>
  <si>
    <t>17/05/2025</t>
  </si>
  <si>
    <t>01/05/1990</t>
  </si>
  <si>
    <t>9686979026</t>
  </si>
  <si>
    <t>ORD10251</t>
  </si>
  <si>
    <t>09/02/1988</t>
  </si>
  <si>
    <t>9569007422</t>
  </si>
  <si>
    <t>ORD10252</t>
  </si>
  <si>
    <t>28/03/1982</t>
  </si>
  <si>
    <t>9180820441</t>
  </si>
  <si>
    <t>ORD10253</t>
  </si>
  <si>
    <t>15/12/2025</t>
  </si>
  <si>
    <t>28/12/1976</t>
  </si>
  <si>
    <t>9769075826</t>
  </si>
  <si>
    <t>ORD10254</t>
  </si>
  <si>
    <t>03/08/2003</t>
  </si>
  <si>
    <t>9467916296</t>
  </si>
  <si>
    <t>ORD10255</t>
  </si>
  <si>
    <t>01/10/2025</t>
  </si>
  <si>
    <t>06/05/1986</t>
  </si>
  <si>
    <t>9477052923</t>
  </si>
  <si>
    <t>ORD10256</t>
  </si>
  <si>
    <t>03/11/2025</t>
  </si>
  <si>
    <t>04/02/1989</t>
  </si>
  <si>
    <t>9184311420</t>
  </si>
  <si>
    <t>ORD10257</t>
  </si>
  <si>
    <t>08/02/1980</t>
  </si>
  <si>
    <t>9630913127</t>
  </si>
  <si>
    <t>ORD10258</t>
  </si>
  <si>
    <t>13/01/1985</t>
  </si>
  <si>
    <t>9997515828</t>
  </si>
  <si>
    <t>ORD10259</t>
  </si>
  <si>
    <t>24/07/1979</t>
  </si>
  <si>
    <t>9394291182</t>
  </si>
  <si>
    <t>ORD10260</t>
  </si>
  <si>
    <t>09/05/2026</t>
  </si>
  <si>
    <t>03/08/1993</t>
  </si>
  <si>
    <t>9616853220</t>
  </si>
  <si>
    <t>ORD10261</t>
  </si>
  <si>
    <t>30/07/2025</t>
  </si>
  <si>
    <t>23/08/1975</t>
  </si>
  <si>
    <t>9147552626</t>
  </si>
  <si>
    <t>ORD10262</t>
  </si>
  <si>
    <t>23/04/1978</t>
  </si>
  <si>
    <t>9724197033</t>
  </si>
  <si>
    <t>ORD10263</t>
  </si>
  <si>
    <t>08/07/2025</t>
  </si>
  <si>
    <t>25/09/2003</t>
  </si>
  <si>
    <t>9130666128</t>
  </si>
  <si>
    <t>ORD10264</t>
  </si>
  <si>
    <t>12/12/2025</t>
  </si>
  <si>
    <t>09/04/2002</t>
  </si>
  <si>
    <t>9866567601</t>
  </si>
  <si>
    <t>ORD10265</t>
  </si>
  <si>
    <t>24/09/1985</t>
  </si>
  <si>
    <t>9477282450</t>
  </si>
  <si>
    <t>ORD10266</t>
  </si>
  <si>
    <t>12/12/1984</t>
  </si>
  <si>
    <t>9857621478</t>
  </si>
  <si>
    <t>ORD10267</t>
  </si>
  <si>
    <t>03/05/2025</t>
  </si>
  <si>
    <t>20/07/1984</t>
  </si>
  <si>
    <t>9753869055</t>
  </si>
  <si>
    <t>ORD10268</t>
  </si>
  <si>
    <t>09/01/2025</t>
  </si>
  <si>
    <t>12/01/2025</t>
  </si>
  <si>
    <t>15/03/1988</t>
  </si>
  <si>
    <t>9663266204</t>
  </si>
  <si>
    <t>ORD10269</t>
  </si>
  <si>
    <t>27/05/1987</t>
  </si>
  <si>
    <t>9675208616</t>
  </si>
  <si>
    <t>ORD10270</t>
  </si>
  <si>
    <t>25/10/1988</t>
  </si>
  <si>
    <t>9618393586</t>
  </si>
  <si>
    <t>ORD10271</t>
  </si>
  <si>
    <t>17/04/2025</t>
  </si>
  <si>
    <t>12/12/1990</t>
  </si>
  <si>
    <t>9137027840</t>
  </si>
  <si>
    <t>ORD10272</t>
  </si>
  <si>
    <t>09/08/2025</t>
  </si>
  <si>
    <t>23/02/1981</t>
  </si>
  <si>
    <t>9362758134</t>
  </si>
  <si>
    <t>ORD10273</t>
  </si>
  <si>
    <t>16/04/2026</t>
  </si>
  <si>
    <t>03/04/1985</t>
  </si>
  <si>
    <t>9648541985</t>
  </si>
  <si>
    <t>ORD10274</t>
  </si>
  <si>
    <t>22/06/2025</t>
  </si>
  <si>
    <t>06/08/1976</t>
  </si>
  <si>
    <t>9175002781</t>
  </si>
  <si>
    <t>ORD10275</t>
  </si>
  <si>
    <t>19/05/2025</t>
  </si>
  <si>
    <t>13/05/1978</t>
  </si>
  <si>
    <t>9786241263</t>
  </si>
  <si>
    <t>ORD10276</t>
  </si>
  <si>
    <t>29/03/2025</t>
  </si>
  <si>
    <t>19/08/1998</t>
  </si>
  <si>
    <t>9691078176</t>
  </si>
  <si>
    <t>ORD10277</t>
  </si>
  <si>
    <t>18/02/2026</t>
  </si>
  <si>
    <t>20/10/1975</t>
  </si>
  <si>
    <t>9336679085</t>
  </si>
  <si>
    <t>ORD10278</t>
  </si>
  <si>
    <t>21/01/2026</t>
  </si>
  <si>
    <t>29/01/2026</t>
  </si>
  <si>
    <t>28/09/1975</t>
  </si>
  <si>
    <t>9497351043</t>
  </si>
  <si>
    <t>ORD10279</t>
  </si>
  <si>
    <t>29/09/2025</t>
  </si>
  <si>
    <t>23/09/2002</t>
  </si>
  <si>
    <t>9357038998</t>
  </si>
  <si>
    <t>ORD10280</t>
  </si>
  <si>
    <t>30/06/2025</t>
  </si>
  <si>
    <t>17/06/1988</t>
  </si>
  <si>
    <t>9986371291</t>
  </si>
  <si>
    <t>ORD10281</t>
  </si>
  <si>
    <t>12/05/2025</t>
  </si>
  <si>
    <t>16/05/2025</t>
  </si>
  <si>
    <t>02/02/1991</t>
  </si>
  <si>
    <t>9397839191</t>
  </si>
  <si>
    <t>ORD10282</t>
  </si>
  <si>
    <t>06/09/2025</t>
  </si>
  <si>
    <t>09/08/1978</t>
  </si>
  <si>
    <t>9162975843</t>
  </si>
  <si>
    <t>ORD10283</t>
  </si>
  <si>
    <t>23/04/2025</t>
  </si>
  <si>
    <t>02/02/1994</t>
  </si>
  <si>
    <t>9237616558</t>
  </si>
  <si>
    <t>ORD10284</t>
  </si>
  <si>
    <t>27/02/2026</t>
  </si>
  <si>
    <t>28/03/1995</t>
  </si>
  <si>
    <t>9935063989</t>
  </si>
  <si>
    <t>ORD10285</t>
  </si>
  <si>
    <t>12/03/1992</t>
  </si>
  <si>
    <t>9167376169</t>
  </si>
  <si>
    <t>ORD10286</t>
  </si>
  <si>
    <t>30/09/2025</t>
  </si>
  <si>
    <t>23/01/1981</t>
  </si>
  <si>
    <t>9231845497</t>
  </si>
  <si>
    <t>ORD10287</t>
  </si>
  <si>
    <t>08/05/2026</t>
  </si>
  <si>
    <t>11/05/2026</t>
  </si>
  <si>
    <t>28/09/1984</t>
  </si>
  <si>
    <t>9409415805</t>
  </si>
  <si>
    <t>ORD10288</t>
  </si>
  <si>
    <t>06/11/1975</t>
  </si>
  <si>
    <t>priya.patecompany.com</t>
  </si>
  <si>
    <t>9240800508</t>
  </si>
  <si>
    <t>ORD10289</t>
  </si>
  <si>
    <t>26/06/1995</t>
  </si>
  <si>
    <t>9764609936</t>
  </si>
  <si>
    <t>ORD10290</t>
  </si>
  <si>
    <t>21/11/1979</t>
  </si>
  <si>
    <t>9362733217</t>
  </si>
  <si>
    <t>ORD10291</t>
  </si>
  <si>
    <t>9270466205</t>
  </si>
  <si>
    <t>ORD10292</t>
  </si>
  <si>
    <t>01/04/2025</t>
  </si>
  <si>
    <t>08/02/2001</t>
  </si>
  <si>
    <t>9571436865</t>
  </si>
  <si>
    <t>ORD10293</t>
  </si>
  <si>
    <t>14/12/1989</t>
  </si>
  <si>
    <t>Pooja.shah@company.com</t>
  </si>
  <si>
    <t>9307011171</t>
  </si>
  <si>
    <t>ORD10294</t>
  </si>
  <si>
    <t>13/02/2026</t>
  </si>
  <si>
    <t>24/02/2026</t>
  </si>
  <si>
    <t>15/12/1988</t>
  </si>
  <si>
    <t>9922380435</t>
  </si>
  <si>
    <t>ORD10295</t>
  </si>
  <si>
    <t>11/02/2025</t>
  </si>
  <si>
    <t>14/02/2025</t>
  </si>
  <si>
    <t>20/10/1990</t>
  </si>
  <si>
    <t>9463618792</t>
  </si>
  <si>
    <t>ORD10296</t>
  </si>
  <si>
    <t>17/01/2025</t>
  </si>
  <si>
    <t>27/01/2025</t>
  </si>
  <si>
    <t>08/09/1978</t>
  </si>
  <si>
    <t>9954973200</t>
  </si>
  <si>
    <t>ORD10297</t>
  </si>
  <si>
    <t>09/02/1978</t>
  </si>
  <si>
    <t>9383199236</t>
  </si>
  <si>
    <t>ORD10298</t>
  </si>
  <si>
    <t>03/01/2004</t>
  </si>
  <si>
    <t>9482699727</t>
  </si>
  <si>
    <t>ORD10299</t>
  </si>
  <si>
    <t>17/10/2025</t>
  </si>
  <si>
    <t>02/05/1992</t>
  </si>
  <si>
    <t>9332473934</t>
  </si>
  <si>
    <t>ORD10300</t>
  </si>
  <si>
    <t>26/01/2003</t>
  </si>
  <si>
    <t>9647657382</t>
  </si>
  <si>
    <t>ORD10301</t>
  </si>
  <si>
    <t>20/05/1987</t>
  </si>
  <si>
    <t>9736797776</t>
  </si>
  <si>
    <t>ORD10302</t>
  </si>
  <si>
    <t>07/09/1975</t>
  </si>
  <si>
    <t>9745773533</t>
  </si>
  <si>
    <t>ORD10303</t>
  </si>
  <si>
    <t>10/08/1980</t>
  </si>
  <si>
    <t>9246715757</t>
  </si>
  <si>
    <t>ORD10304</t>
  </si>
  <si>
    <t>23/04/2026</t>
  </si>
  <si>
    <t>07/04/1989</t>
  </si>
  <si>
    <t>9904065774</t>
  </si>
  <si>
    <t>ORD10305</t>
  </si>
  <si>
    <t>02/03/2025</t>
  </si>
  <si>
    <t>20/08/1998</t>
  </si>
  <si>
    <t>9652985385</t>
  </si>
  <si>
    <t>ORD10306</t>
  </si>
  <si>
    <t>03/04/2001</t>
  </si>
  <si>
    <t>9427001508</t>
  </si>
  <si>
    <t>ORD10307</t>
  </si>
  <si>
    <t>9666803655</t>
  </si>
  <si>
    <t>ORD10308</t>
  </si>
  <si>
    <t>9134878547</t>
  </si>
  <si>
    <t>ORD10309</t>
  </si>
  <si>
    <t>04/09/1986</t>
  </si>
  <si>
    <t>9253593557</t>
  </si>
  <si>
    <t>ORD10310</t>
  </si>
  <si>
    <t>14/08/1989</t>
  </si>
  <si>
    <t>9183094051</t>
  </si>
  <si>
    <t>ORD10311</t>
  </si>
  <si>
    <t>16/10/2025</t>
  </si>
  <si>
    <t>02/03/1991</t>
  </si>
  <si>
    <t>9293147620</t>
  </si>
  <si>
    <t>ORD10312</t>
  </si>
  <si>
    <t>28/04/2026</t>
  </si>
  <si>
    <t>13/08/1989</t>
  </si>
  <si>
    <t>9755583734</t>
  </si>
  <si>
    <t>ORD10313</t>
  </si>
  <si>
    <t>02/02/2003</t>
  </si>
  <si>
    <t>9186592813</t>
  </si>
  <si>
    <t>ORD10314</t>
  </si>
  <si>
    <t>08/05/2025</t>
  </si>
  <si>
    <t>16/11/1995</t>
  </si>
  <si>
    <t>9203482008</t>
  </si>
  <si>
    <t>ORD10315</t>
  </si>
  <si>
    <t>24/11/1989</t>
  </si>
  <si>
    <t>9829888777</t>
  </si>
  <si>
    <t>ORD10316</t>
  </si>
  <si>
    <t>30/12/2025</t>
  </si>
  <si>
    <t>20/04/1988</t>
  </si>
  <si>
    <t>9566101317</t>
  </si>
  <si>
    <t>ORD10317</t>
  </si>
  <si>
    <t>02/11/1978</t>
  </si>
  <si>
    <t>9706240823</t>
  </si>
  <si>
    <t>ORD10318</t>
  </si>
  <si>
    <t>08/11/2025</t>
  </si>
  <si>
    <t>13/12/1989</t>
  </si>
  <si>
    <t>9259943760</t>
  </si>
  <si>
    <t>ORD10319</t>
  </si>
  <si>
    <t>08/01/1995</t>
  </si>
  <si>
    <t>9527326977</t>
  </si>
  <si>
    <t>ORD10320</t>
  </si>
  <si>
    <t>23/10/1994</t>
  </si>
  <si>
    <t>9886970990</t>
  </si>
  <si>
    <t>ORD10321</t>
  </si>
  <si>
    <t>10/03/2025</t>
  </si>
  <si>
    <t>21/05/1996</t>
  </si>
  <si>
    <t>9106930369</t>
  </si>
  <si>
    <t>ORD10322</t>
  </si>
  <si>
    <t>03/06/2025</t>
  </si>
  <si>
    <t>26/05/1982</t>
  </si>
  <si>
    <t>9342009114</t>
  </si>
  <si>
    <t>ORD10323</t>
  </si>
  <si>
    <t>22/11/2001</t>
  </si>
  <si>
    <t>9992739960</t>
  </si>
  <si>
    <t>ORD10324</t>
  </si>
  <si>
    <t>26/02/1989</t>
  </si>
  <si>
    <t>9241987748</t>
  </si>
  <si>
    <t>ORD10325</t>
  </si>
  <si>
    <t>10/12/2025</t>
  </si>
  <si>
    <t>21/12/2025</t>
  </si>
  <si>
    <t>18/08/1985</t>
  </si>
  <si>
    <t>9571990711</t>
  </si>
  <si>
    <t>ORD10326</t>
  </si>
  <si>
    <t>12/03/2026</t>
  </si>
  <si>
    <t>03/01/1980</t>
  </si>
  <si>
    <t>9219231183</t>
  </si>
  <si>
    <t>ORD10327</t>
  </si>
  <si>
    <t>25/11/2025</t>
  </si>
  <si>
    <t>28/11/2025</t>
  </si>
  <si>
    <t>08/01/1978</t>
  </si>
  <si>
    <t>9847386174</t>
  </si>
  <si>
    <t>ORD10328</t>
  </si>
  <si>
    <t>05/08/1992</t>
  </si>
  <si>
    <t>9941274924</t>
  </si>
  <si>
    <t>ORD10329</t>
  </si>
  <si>
    <t>28/12/2004</t>
  </si>
  <si>
    <t>9950650508</t>
  </si>
  <si>
    <t>ORD10330</t>
  </si>
  <si>
    <t>07/01/2003</t>
  </si>
  <si>
    <t>9464035549</t>
  </si>
  <si>
    <t>ORD10331</t>
  </si>
  <si>
    <t>09/03/1993</t>
  </si>
  <si>
    <t>9142334315</t>
  </si>
  <si>
    <t>ORD10332</t>
  </si>
  <si>
    <t>26/08/2025</t>
  </si>
  <si>
    <t>07/09/2025</t>
  </si>
  <si>
    <t>03/06/1993</t>
  </si>
  <si>
    <t>9123961962</t>
  </si>
  <si>
    <t>ORD10333</t>
  </si>
  <si>
    <t>05/04/2025</t>
  </si>
  <si>
    <t>08/04/2025</t>
  </si>
  <si>
    <t>10/12/1999</t>
  </si>
  <si>
    <t>9741953402</t>
  </si>
  <si>
    <t>ORD10334</t>
  </si>
  <si>
    <t>06/06/1976</t>
  </si>
  <si>
    <t>9404733633</t>
  </si>
  <si>
    <t>ORD10335</t>
  </si>
  <si>
    <t>27/10/1984</t>
  </si>
  <si>
    <t>9297492337</t>
  </si>
  <si>
    <t>ORD10336</t>
  </si>
  <si>
    <t>28/02/1975</t>
  </si>
  <si>
    <t>9350338928</t>
  </si>
  <si>
    <t>ORD10337</t>
  </si>
  <si>
    <t>19/10/1993</t>
  </si>
  <si>
    <t>9933894798</t>
  </si>
  <si>
    <t>ORD10338</t>
  </si>
  <si>
    <t>25/10/1983</t>
  </si>
  <si>
    <t>9705218824</t>
  </si>
  <si>
    <t>ORD10339</t>
  </si>
  <si>
    <t>10/02/2025</t>
  </si>
  <si>
    <t>08/01/1983</t>
  </si>
  <si>
    <t>9229164453</t>
  </si>
  <si>
    <t>ORD10340</t>
  </si>
  <si>
    <t>28/07/2025</t>
  </si>
  <si>
    <t>14/12/1983</t>
  </si>
  <si>
    <t>9219806176</t>
  </si>
  <si>
    <t>ORD10341</t>
  </si>
  <si>
    <t>26/09/1983</t>
  </si>
  <si>
    <t>9630210250</t>
  </si>
  <si>
    <t>ORD10342</t>
  </si>
  <si>
    <t>06/12/2025</t>
  </si>
  <si>
    <t>23/05/1975</t>
  </si>
  <si>
    <t>9583354052</t>
  </si>
  <si>
    <t>ORD10343</t>
  </si>
  <si>
    <t>09/11/1994</t>
  </si>
  <si>
    <t>9242534507</t>
  </si>
  <si>
    <t>ORD10344</t>
  </si>
  <si>
    <t>02/08/2025</t>
  </si>
  <si>
    <t>17/12/1987</t>
  </si>
  <si>
    <t>9291239150</t>
  </si>
  <si>
    <t>ORD10345</t>
  </si>
  <si>
    <t>17/08/2025</t>
  </si>
  <si>
    <t>19/06/1975</t>
  </si>
  <si>
    <t>9550820904</t>
  </si>
  <si>
    <t>ORD10346</t>
  </si>
  <si>
    <t>09/01/1977</t>
  </si>
  <si>
    <t>9294486423</t>
  </si>
  <si>
    <t>ORD10347</t>
  </si>
  <si>
    <t>20/09/1993</t>
  </si>
  <si>
    <t>9260258621</t>
  </si>
  <si>
    <t>ORD10348</t>
  </si>
  <si>
    <t>05/03/1997</t>
  </si>
  <si>
    <t>9697433584</t>
  </si>
  <si>
    <t>ORD10349</t>
  </si>
  <si>
    <t>P999</t>
  </si>
  <si>
    <t>10/07/2002</t>
  </si>
  <si>
    <t>9837969758</t>
  </si>
  <si>
    <t>ORD10350</t>
  </si>
  <si>
    <t>05/12/2025</t>
  </si>
  <si>
    <t>18/04/1984</t>
  </si>
  <si>
    <t>9209736419</t>
  </si>
  <si>
    <t>ORD10351</t>
  </si>
  <si>
    <t>01/07/2003</t>
  </si>
  <si>
    <t>9645907237</t>
  </si>
  <si>
    <t>ORD10352</t>
  </si>
  <si>
    <t>18/07/2025</t>
  </si>
  <si>
    <t>25/10/1992</t>
  </si>
  <si>
    <t>9566149945</t>
  </si>
  <si>
    <t>ORD10353</t>
  </si>
  <si>
    <t>05/08/1988</t>
  </si>
  <si>
    <t>9935018068</t>
  </si>
  <si>
    <t>ORD10354</t>
  </si>
  <si>
    <t>24/06/1987</t>
  </si>
  <si>
    <t>9171794652</t>
  </si>
  <si>
    <t>ORD10355</t>
  </si>
  <si>
    <t>25/09/2025</t>
  </si>
  <si>
    <t>19/10/1989</t>
  </si>
  <si>
    <t>9671497416</t>
  </si>
  <si>
    <t>ORD10356</t>
  </si>
  <si>
    <t>22/05/1992</t>
  </si>
  <si>
    <t>9810433484</t>
  </si>
  <si>
    <t>ORD10357</t>
  </si>
  <si>
    <t>\</t>
  </si>
  <si>
    <t>10/11/1989</t>
  </si>
  <si>
    <t>9990243436</t>
  </si>
  <si>
    <t>ORD10358</t>
  </si>
  <si>
    <t>03/09/1980</t>
  </si>
  <si>
    <t>9396678031</t>
  </si>
  <si>
    <t>ORD10359</t>
  </si>
  <si>
    <t>06/03/1979</t>
  </si>
  <si>
    <t>9818591245</t>
  </si>
  <si>
    <t>ORD10360</t>
  </si>
  <si>
    <t>04/09/1996</t>
  </si>
  <si>
    <t>9505550047</t>
  </si>
  <si>
    <t>ORD10361</t>
  </si>
  <si>
    <t>18/05/2026</t>
  </si>
  <si>
    <t>14/03/1999</t>
  </si>
  <si>
    <t>9469828772</t>
  </si>
  <si>
    <t>ORD10362</t>
  </si>
  <si>
    <t>03/10/1984</t>
  </si>
  <si>
    <t>9885092680</t>
  </si>
  <si>
    <t>ORD10363</t>
  </si>
  <si>
    <t>23/01/2026</t>
  </si>
  <si>
    <t>09/07/1984</t>
  </si>
  <si>
    <t>9362319457</t>
  </si>
  <si>
    <t>ORD10364</t>
  </si>
  <si>
    <t>10/03/1989</t>
  </si>
  <si>
    <t>9223945130</t>
  </si>
  <si>
    <t>ORD10365</t>
  </si>
  <si>
    <t>07/05/2025</t>
  </si>
  <si>
    <t>19/04/1985</t>
  </si>
  <si>
    <t>9910804926</t>
  </si>
  <si>
    <t>ORD10366</t>
  </si>
  <si>
    <t>03/02/2025</t>
  </si>
  <si>
    <t>13/08/2003</t>
  </si>
  <si>
    <t>9274269744</t>
  </si>
  <si>
    <t>ORD10367</t>
  </si>
  <si>
    <t>11/09/1983</t>
  </si>
  <si>
    <t>9223196101</t>
  </si>
  <si>
    <t>ORD10368</t>
  </si>
  <si>
    <t>11/06/1976</t>
  </si>
  <si>
    <t>9888477457</t>
  </si>
  <si>
    <t>ORD10369</t>
  </si>
  <si>
    <t>05/04/2026</t>
  </si>
  <si>
    <t>04/01/1987</t>
  </si>
  <si>
    <t>9435947486</t>
  </si>
  <si>
    <t>ORD10370</t>
  </si>
  <si>
    <t>02/02/2025</t>
  </si>
  <si>
    <t>14/05/1992</t>
  </si>
  <si>
    <t>9411668831</t>
  </si>
  <si>
    <t>ORD10371</t>
  </si>
  <si>
    <t>08/10/2025</t>
  </si>
  <si>
    <t>03/05/1989</t>
  </si>
  <si>
    <t>9523682403</t>
  </si>
  <si>
    <t>ORD10372</t>
  </si>
  <si>
    <t>12/06/2025</t>
  </si>
  <si>
    <t>17/06/2025</t>
  </si>
  <si>
    <t>19/12/1990</t>
  </si>
  <si>
    <t>9652936744</t>
  </si>
  <si>
    <t>ORD10373</t>
  </si>
  <si>
    <t>09/07/1995</t>
  </si>
  <si>
    <t>9726464733</t>
  </si>
  <si>
    <t>ORD10374</t>
  </si>
  <si>
    <t>01/11/2025</t>
  </si>
  <si>
    <t>23/12/1998</t>
  </si>
  <si>
    <t>9273520544</t>
  </si>
  <si>
    <t>ORD10375</t>
  </si>
  <si>
    <t>31/01/2025</t>
  </si>
  <si>
    <t>23/12/1979</t>
  </si>
  <si>
    <t>9374259988</t>
  </si>
  <si>
    <t>ORD10376</t>
  </si>
  <si>
    <t>15/12/1975</t>
  </si>
  <si>
    <t>9538129419</t>
  </si>
  <si>
    <t>ORD10377</t>
  </si>
  <si>
    <t>17/05/1993</t>
  </si>
  <si>
    <t>9382815686</t>
  </si>
  <si>
    <t>ORD10378</t>
  </si>
  <si>
    <t>17/09/1976</t>
  </si>
  <si>
    <t>9450746157</t>
  </si>
  <si>
    <t>ORD10379</t>
  </si>
  <si>
    <t>03/10/2025</t>
  </si>
  <si>
    <t>22/12/1996</t>
  </si>
  <si>
    <t>9349012570</t>
  </si>
  <si>
    <t>ORD10380</t>
  </si>
  <si>
    <t>25/12/1995</t>
  </si>
  <si>
    <t>9442163790</t>
  </si>
  <si>
    <t>ORD10381</t>
  </si>
  <si>
    <t>23/06/1985</t>
  </si>
  <si>
    <t>9953329223</t>
  </si>
  <si>
    <t>ORD10382</t>
  </si>
  <si>
    <t>14/05/2025</t>
  </si>
  <si>
    <t>10/02/1984</t>
  </si>
  <si>
    <t>9202321359</t>
  </si>
  <si>
    <t>ORD10383</t>
  </si>
  <si>
    <t>Rohit      Singh</t>
  </si>
  <si>
    <t>02/04/2002</t>
  </si>
  <si>
    <t>9812564160</t>
  </si>
  <si>
    <t>ORD10384</t>
  </si>
  <si>
    <t>17/07/2003</t>
  </si>
  <si>
    <t>9688458222</t>
  </si>
  <si>
    <t>ORD10385</t>
  </si>
  <si>
    <t>19/02/2026</t>
  </si>
  <si>
    <t>23/02/2026</t>
  </si>
  <si>
    <t>06/10/1991</t>
  </si>
  <si>
    <t>9634473337</t>
  </si>
  <si>
    <t>ORD10386</t>
  </si>
  <si>
    <t>05/01/1984</t>
  </si>
  <si>
    <t>9608737026</t>
  </si>
  <si>
    <t>ORD10387</t>
  </si>
  <si>
    <t>24/10/2025</t>
  </si>
  <si>
    <t>12/03/1975</t>
  </si>
  <si>
    <t>9804498139</t>
  </si>
  <si>
    <t>ORD10388</t>
  </si>
  <si>
    <t>25/01/2026</t>
  </si>
  <si>
    <t>15/03/1983</t>
  </si>
  <si>
    <t>9798643580</t>
  </si>
  <si>
    <t>ORD10389</t>
  </si>
  <si>
    <t>25/01/2025</t>
  </si>
  <si>
    <t>28/01/2025</t>
  </si>
  <si>
    <t>20/04/1976</t>
  </si>
  <si>
    <t>9809823278</t>
  </si>
  <si>
    <t>ORD10390</t>
  </si>
  <si>
    <t>11/02/1986</t>
  </si>
  <si>
    <t>9177767854</t>
  </si>
  <si>
    <t>ORD10391</t>
  </si>
  <si>
    <t>20/06/2025</t>
  </si>
  <si>
    <t>21/06/2025</t>
  </si>
  <si>
    <t>21/03/1978</t>
  </si>
  <si>
    <t>9643440006</t>
  </si>
  <si>
    <t>ORD10392</t>
  </si>
  <si>
    <t>28/05/2025</t>
  </si>
  <si>
    <t>06/06/2025</t>
  </si>
  <si>
    <t>12/07/1996</t>
  </si>
  <si>
    <t>9673698825</t>
  </si>
  <si>
    <t>ORD10393</t>
  </si>
  <si>
    <t>02/12/1992</t>
  </si>
  <si>
    <t>9706238784</t>
  </si>
  <si>
    <t>ORD10394</t>
  </si>
  <si>
    <t>23/03/1996</t>
  </si>
  <si>
    <t>9132959877</t>
  </si>
  <si>
    <t>ORD10395</t>
  </si>
  <si>
    <t>26/02/2026</t>
  </si>
  <si>
    <t>23/06/1994</t>
  </si>
  <si>
    <t>9295011645</t>
  </si>
  <si>
    <t>ORD10396</t>
  </si>
  <si>
    <t>03/08/2025</t>
  </si>
  <si>
    <t>15/08/2025</t>
  </si>
  <si>
    <t>02/02/1980</t>
  </si>
  <si>
    <t>9677606427</t>
  </si>
  <si>
    <t>ORD10397</t>
  </si>
  <si>
    <t>18/01/2025</t>
  </si>
  <si>
    <t>24/08/1990</t>
  </si>
  <si>
    <t>9161631566</t>
  </si>
  <si>
    <t>ORD10398</t>
  </si>
  <si>
    <t>10/12/1978</t>
  </si>
  <si>
    <t>9136906750</t>
  </si>
  <si>
    <t>ORD10399</t>
  </si>
  <si>
    <t>01/09/1979</t>
  </si>
  <si>
    <t>9485286324</t>
  </si>
  <si>
    <t>ORD10400</t>
  </si>
  <si>
    <t>13/05/2025</t>
  </si>
  <si>
    <t>08/04/2001</t>
  </si>
  <si>
    <t>9414633966</t>
  </si>
  <si>
    <t>ORD10401</t>
  </si>
  <si>
    <t>01/01/1983</t>
  </si>
  <si>
    <t>9833735234</t>
  </si>
  <si>
    <t>ORD10402</t>
  </si>
  <si>
    <t>09/08/1989</t>
  </si>
  <si>
    <t>9523689108</t>
  </si>
  <si>
    <t>ORD10403</t>
  </si>
  <si>
    <t>22/10/1993</t>
  </si>
  <si>
    <t>9812909831</t>
  </si>
  <si>
    <t>ORD10404</t>
  </si>
  <si>
    <t>12/10/2025</t>
  </si>
  <si>
    <t>05/05/2000</t>
  </si>
  <si>
    <t>9106290987</t>
  </si>
  <si>
    <t>ORD10405</t>
  </si>
  <si>
    <t>01/02/2026</t>
  </si>
  <si>
    <t>18/02/1984</t>
  </si>
  <si>
    <t>9767727724</t>
  </si>
  <si>
    <t>ORD10406</t>
  </si>
  <si>
    <t>13/06/1991</t>
  </si>
  <si>
    <t>9865401727</t>
  </si>
  <si>
    <t>ORD10407</t>
  </si>
  <si>
    <t>19/05/1996</t>
  </si>
  <si>
    <t>9603848571</t>
  </si>
  <si>
    <t>ORD10408</t>
  </si>
  <si>
    <t>23/05/1992</t>
  </si>
  <si>
    <t>9101231789</t>
  </si>
  <si>
    <t>ORD10409</t>
  </si>
  <si>
    <t>15/06/1988</t>
  </si>
  <si>
    <t>9485017802</t>
  </si>
  <si>
    <t>ORD10410</t>
  </si>
  <si>
    <t>22/07/1993</t>
  </si>
  <si>
    <t>9815464650</t>
  </si>
  <si>
    <t>ORD10411</t>
  </si>
  <si>
    <t>17/05/2026</t>
  </si>
  <si>
    <t>03/02/2004</t>
  </si>
  <si>
    <t>9860715839</t>
  </si>
  <si>
    <t>ORD10412</t>
  </si>
  <si>
    <t>11/02/2026</t>
  </si>
  <si>
    <t>23/12/1978</t>
  </si>
  <si>
    <t>9207561051</t>
  </si>
  <si>
    <t>ORD10413</t>
  </si>
  <si>
    <t>15/10/1993</t>
  </si>
  <si>
    <t>9159894508</t>
  </si>
  <si>
    <t>ORD10414</t>
  </si>
  <si>
    <t>12/12/1979</t>
  </si>
  <si>
    <t>9531465024</t>
  </si>
  <si>
    <t>ORD10415</t>
  </si>
  <si>
    <t>24/05/2002</t>
  </si>
  <si>
    <t>9158813608</t>
  </si>
  <si>
    <t>ORD10416</t>
  </si>
  <si>
    <t>27/03/2026</t>
  </si>
  <si>
    <t>09/03/1976</t>
  </si>
  <si>
    <t>9308461700</t>
  </si>
  <si>
    <t>ORD10417</t>
  </si>
  <si>
    <t>20/09/1980</t>
  </si>
  <si>
    <t>9882279049</t>
  </si>
  <si>
    <t>ORD10418</t>
  </si>
  <si>
    <t>17/04/2026</t>
  </si>
  <si>
    <t>24/06/1988</t>
  </si>
  <si>
    <t>9961801338</t>
  </si>
  <si>
    <t>ORD10419</t>
  </si>
  <si>
    <t>11/06/2003</t>
  </si>
  <si>
    <t>9853525026</t>
  </si>
  <si>
    <t>ORD10420</t>
  </si>
  <si>
    <t>10/12/1981</t>
  </si>
  <si>
    <t>9209649485</t>
  </si>
  <si>
    <t>ORD10421</t>
  </si>
  <si>
    <t>26/09/2025</t>
  </si>
  <si>
    <t>24/02/1975</t>
  </si>
  <si>
    <t>9712905525</t>
  </si>
  <si>
    <t>ORD10422</t>
  </si>
  <si>
    <t>27/09/1977</t>
  </si>
  <si>
    <t>9812472447</t>
  </si>
  <si>
    <t>ORD10423</t>
  </si>
  <si>
    <t>29/12/2025</t>
  </si>
  <si>
    <t>25/12/1987</t>
  </si>
  <si>
    <t>9281127052</t>
  </si>
  <si>
    <t>ORD10424</t>
  </si>
  <si>
    <t>23/03/2001</t>
  </si>
  <si>
    <t>9346312555</t>
  </si>
  <si>
    <t>ORD10425</t>
  </si>
  <si>
    <t>22/01/2026</t>
  </si>
  <si>
    <t>9443786067</t>
  </si>
  <si>
    <t>ORD10426</t>
  </si>
  <si>
    <t>15/03/2026</t>
  </si>
  <si>
    <t>15/09/1986</t>
  </si>
  <si>
    <t>9452540528</t>
  </si>
  <si>
    <t>ORD10427</t>
  </si>
  <si>
    <t>30/11/2025</t>
  </si>
  <si>
    <t>12/12/2002</t>
  </si>
  <si>
    <t>9750918728</t>
  </si>
  <si>
    <t>ORD10428</t>
  </si>
  <si>
    <t>15/02/2025</t>
  </si>
  <si>
    <t>15/09/1998</t>
  </si>
  <si>
    <t>9375975834</t>
  </si>
  <si>
    <t>ORD10429</t>
  </si>
  <si>
    <t>17/10/1985</t>
  </si>
  <si>
    <t>9497321112</t>
  </si>
  <si>
    <t>ORD10430</t>
  </si>
  <si>
    <t>27/08/2025</t>
  </si>
  <si>
    <t>29/08/2025</t>
  </si>
  <si>
    <t>15/08/1995</t>
  </si>
  <si>
    <t>9828749888</t>
  </si>
  <si>
    <t>ORD10431</t>
  </si>
  <si>
    <t>27/08/1985</t>
  </si>
  <si>
    <t>9814267382</t>
  </si>
  <si>
    <t>ORD10432</t>
  </si>
  <si>
    <t>05/06/1975</t>
  </si>
  <si>
    <t>9937007439</t>
  </si>
  <si>
    <t>ORD10433</t>
  </si>
  <si>
    <t>25/03/1997</t>
  </si>
  <si>
    <t>9657513435</t>
  </si>
  <si>
    <t>ORD10434</t>
  </si>
  <si>
    <t>01/02/2025</t>
  </si>
  <si>
    <t>18/04/1997</t>
  </si>
  <si>
    <t>9999406260</t>
  </si>
  <si>
    <t>ORD10435</t>
  </si>
  <si>
    <t>22/02/2025</t>
  </si>
  <si>
    <t>28/05/1999</t>
  </si>
  <si>
    <t>9233727886</t>
  </si>
  <si>
    <t>ORD10436</t>
  </si>
  <si>
    <t>25/06/1983</t>
  </si>
  <si>
    <t>9831688801</t>
  </si>
  <si>
    <t>ORD10437</t>
  </si>
  <si>
    <t>26/01/1993</t>
  </si>
  <si>
    <t>9982849508</t>
  </si>
  <si>
    <t>ORD10438</t>
  </si>
  <si>
    <t>03/03/1979</t>
  </si>
  <si>
    <t>9288309246</t>
  </si>
  <si>
    <t>ORD10439</t>
  </si>
  <si>
    <t>22/10/2025</t>
  </si>
  <si>
    <t>25/10/2025</t>
  </si>
  <si>
    <t>13/09/1976</t>
  </si>
  <si>
    <t>9808476235</t>
  </si>
  <si>
    <t>ORD10440</t>
  </si>
  <si>
    <t>31/12/2025</t>
  </si>
  <si>
    <t>27/07/1991</t>
  </si>
  <si>
    <t>9869056117</t>
  </si>
  <si>
    <t>ORD10441</t>
  </si>
  <si>
    <t>25/10/1987</t>
  </si>
  <si>
    <t>9734229772</t>
  </si>
  <si>
    <t>ORD10442</t>
  </si>
  <si>
    <t>09/11/1983</t>
  </si>
  <si>
    <t>9791617906</t>
  </si>
  <si>
    <t>ORD10443</t>
  </si>
  <si>
    <t>28/12/1983</t>
  </si>
  <si>
    <t>9286316823</t>
  </si>
  <si>
    <t>ORD10444</t>
  </si>
  <si>
    <t>02/05/2025</t>
  </si>
  <si>
    <t>15/09/1992</t>
  </si>
  <si>
    <t>9810569252</t>
  </si>
  <si>
    <t>ORD10445</t>
  </si>
  <si>
    <t>09/08/1999</t>
  </si>
  <si>
    <t>9771745925</t>
  </si>
  <si>
    <t>ORD10446</t>
  </si>
  <si>
    <t>29/06/2025</t>
  </si>
  <si>
    <t>27/02/1990</t>
  </si>
  <si>
    <t>9820683063</t>
  </si>
  <si>
    <t>ORD10447</t>
  </si>
  <si>
    <t>27/03/1994</t>
  </si>
  <si>
    <t>9292891941</t>
  </si>
  <si>
    <t>ORD10448</t>
  </si>
  <si>
    <t>03/03/2025</t>
  </si>
  <si>
    <t>11/06/1980</t>
  </si>
  <si>
    <t>9413789556</t>
  </si>
  <si>
    <t>ORD10449</t>
  </si>
  <si>
    <t>24/04/2026</t>
  </si>
  <si>
    <t>10/06/2000</t>
  </si>
  <si>
    <t>amit.SHarma@company.com</t>
  </si>
  <si>
    <t>98765</t>
  </si>
  <si>
    <t>ORD10450</t>
  </si>
  <si>
    <t>21/04/1998</t>
  </si>
  <si>
    <t>9211936331</t>
  </si>
  <si>
    <t>ORD10451</t>
  </si>
  <si>
    <t>07/06/2025</t>
  </si>
  <si>
    <t>10/05/1984</t>
  </si>
  <si>
    <t>9167291747</t>
  </si>
  <si>
    <t>ORD10452</t>
  </si>
  <si>
    <t>07/10/1986</t>
  </si>
  <si>
    <t>9637283597</t>
  </si>
  <si>
    <t>ORD10453</t>
  </si>
  <si>
    <t>22/03/2026</t>
  </si>
  <si>
    <t>29/03/2026</t>
  </si>
  <si>
    <t>01/11/2003</t>
  </si>
  <si>
    <t>9514269002</t>
  </si>
  <si>
    <t>ORD10454</t>
  </si>
  <si>
    <t>13/04/2026</t>
  </si>
  <si>
    <t>10/06/2003</t>
  </si>
  <si>
    <t>9778908233</t>
  </si>
  <si>
    <t>ORD10455</t>
  </si>
  <si>
    <t>27/03/1990</t>
  </si>
  <si>
    <t>9981118755</t>
  </si>
  <si>
    <t>ORD10456</t>
  </si>
  <si>
    <t>28/05/2003</t>
  </si>
  <si>
    <t>9887896743</t>
  </si>
  <si>
    <t>ORD10457</t>
  </si>
  <si>
    <t>06/02/1993</t>
  </si>
  <si>
    <t>9585330043</t>
  </si>
  <si>
    <t>ORD10458</t>
  </si>
  <si>
    <t>02/09/1975</t>
  </si>
  <si>
    <t>9423719975</t>
  </si>
  <si>
    <t>ORD10459</t>
  </si>
  <si>
    <t>09/09/1994</t>
  </si>
  <si>
    <t>9270746961</t>
  </si>
  <si>
    <t>ORD10460</t>
  </si>
  <si>
    <t>07/10/1992</t>
  </si>
  <si>
    <t>9333162025</t>
  </si>
  <si>
    <t>ORD10461</t>
  </si>
  <si>
    <t>29/05/2025</t>
  </si>
  <si>
    <t>17/07/2002</t>
  </si>
  <si>
    <t>9247023285</t>
  </si>
  <si>
    <t>ORD10462</t>
  </si>
  <si>
    <t>03/02/2001</t>
  </si>
  <si>
    <t>rohit.sinGh@company.com</t>
  </si>
  <si>
    <t>9448658297</t>
  </si>
  <si>
    <t>ORD10463</t>
  </si>
  <si>
    <t>23/06/1990</t>
  </si>
  <si>
    <t>9906748486</t>
  </si>
  <si>
    <t>ORD10464</t>
  </si>
  <si>
    <t>9365182725</t>
  </si>
  <si>
    <t>ORD10465</t>
  </si>
  <si>
    <t>22/07/2000</t>
  </si>
  <si>
    <t>9937119494</t>
  </si>
  <si>
    <t>ORD10466</t>
  </si>
  <si>
    <t>20/03/1985</t>
  </si>
  <si>
    <t>9828015293</t>
  </si>
  <si>
    <t>ORD10467</t>
  </si>
  <si>
    <t>08/02/1988</t>
  </si>
  <si>
    <t>9864206250</t>
  </si>
  <si>
    <t>ORD10468</t>
  </si>
  <si>
    <t>26/04/1997</t>
  </si>
  <si>
    <t>9519293104</t>
  </si>
  <si>
    <t>ORD10469</t>
  </si>
  <si>
    <t>22/05/2001</t>
  </si>
  <si>
    <t>9296075245</t>
  </si>
  <si>
    <t>ORD10470</t>
  </si>
  <si>
    <t>19/06/1982</t>
  </si>
  <si>
    <t>9316770206</t>
  </si>
  <si>
    <t>ORD10471</t>
  </si>
  <si>
    <t>18/10/2025</t>
  </si>
  <si>
    <t>23/06/1999</t>
  </si>
  <si>
    <t>9706553861</t>
  </si>
  <si>
    <t>ORD10472</t>
  </si>
  <si>
    <t>02/02/2001</t>
  </si>
  <si>
    <t>9524904662</t>
  </si>
  <si>
    <t>ORD10473</t>
  </si>
  <si>
    <t>09/02/1999</t>
  </si>
  <si>
    <t>9577624596</t>
  </si>
  <si>
    <t>ORD10474</t>
  </si>
  <si>
    <t>06/05/1988</t>
  </si>
  <si>
    <t>9898452436</t>
  </si>
  <si>
    <t>ORD10475</t>
  </si>
  <si>
    <t>12/02/1975</t>
  </si>
  <si>
    <t>9960757012</t>
  </si>
  <si>
    <t>ORD10476</t>
  </si>
  <si>
    <t>01/01/2004</t>
  </si>
  <si>
    <t>9331268182</t>
  </si>
  <si>
    <t>ORD10477</t>
  </si>
  <si>
    <t>23/08/2001</t>
  </si>
  <si>
    <t>9135996862</t>
  </si>
  <si>
    <t>ORD10478</t>
  </si>
  <si>
    <t>23/01/1998</t>
  </si>
  <si>
    <t>kavya.Nair@company.com</t>
  </si>
  <si>
    <t>9540813143</t>
  </si>
  <si>
    <t>ORD10479</t>
  </si>
  <si>
    <t>Anita     Gupta</t>
  </si>
  <si>
    <t>28/05/2004</t>
  </si>
  <si>
    <t>9910913552</t>
  </si>
  <si>
    <t>ORD10480</t>
  </si>
  <si>
    <t>06/03/1985</t>
  </si>
  <si>
    <t>9282751683</t>
  </si>
  <si>
    <t>ORD10481</t>
  </si>
  <si>
    <t>26/01/2025</t>
  </si>
  <si>
    <t>06/09/1986</t>
  </si>
  <si>
    <t>9939332058</t>
  </si>
  <si>
    <t>ORD10482</t>
  </si>
  <si>
    <t>21/08/1981</t>
  </si>
  <si>
    <t>9780626473</t>
  </si>
  <si>
    <t>ORD10483</t>
  </si>
  <si>
    <t>Mohit verma</t>
  </si>
  <si>
    <t>23/04/1992</t>
  </si>
  <si>
    <t>9347298020</t>
  </si>
  <si>
    <t>ORD10484</t>
  </si>
  <si>
    <t>03/07/1991</t>
  </si>
  <si>
    <t>9345328522</t>
  </si>
  <si>
    <t>ORD10485</t>
  </si>
  <si>
    <t xml:space="preserve">         Amit Sharma</t>
  </si>
  <si>
    <t>05/02/1978</t>
  </si>
  <si>
    <t>9160310438</t>
  </si>
  <si>
    <t>ORD10486</t>
  </si>
  <si>
    <t>23/03/2026</t>
  </si>
  <si>
    <t>9343776153</t>
  </si>
  <si>
    <t>ORD10487</t>
  </si>
  <si>
    <t>03/04/1988</t>
  </si>
  <si>
    <t>9458599727</t>
  </si>
  <si>
    <t>ORD10488</t>
  </si>
  <si>
    <t>05/05/2026</t>
  </si>
  <si>
    <t>11/11/1978</t>
  </si>
  <si>
    <t>pOOja.shah@company.com</t>
  </si>
  <si>
    <t>9218660140</t>
  </si>
  <si>
    <t>ORD10489</t>
  </si>
  <si>
    <t>23/02/2025</t>
  </si>
  <si>
    <t>02/04/1994</t>
  </si>
  <si>
    <t>9341979199</t>
  </si>
  <si>
    <t>ORD10490</t>
  </si>
  <si>
    <t>09/05/1993</t>
  </si>
  <si>
    <t>9823080381</t>
  </si>
  <si>
    <t>ORD10491</t>
  </si>
  <si>
    <t xml:space="preserve">Priya Patel      </t>
  </si>
  <si>
    <t>11/07/1994</t>
  </si>
  <si>
    <t>9981183477</t>
  </si>
  <si>
    <t>ORD10492</t>
  </si>
  <si>
    <t>19/12/1982</t>
  </si>
  <si>
    <t>9281596011</t>
  </si>
  <si>
    <t>ORD10493</t>
  </si>
  <si>
    <t xml:space="preserve">     Rohit Singh</t>
  </si>
  <si>
    <t>02/11/2001</t>
  </si>
  <si>
    <t>9211734022</t>
  </si>
  <si>
    <t>ORD10494</t>
  </si>
  <si>
    <t>18/10/2001</t>
  </si>
  <si>
    <t>9447151666</t>
  </si>
  <si>
    <t>ORD10495</t>
  </si>
  <si>
    <t>21/12/2000</t>
  </si>
  <si>
    <t>9345342793</t>
  </si>
  <si>
    <t>ORD10496</t>
  </si>
  <si>
    <t>Anita      Gupta</t>
  </si>
  <si>
    <t>20/02/1983</t>
  </si>
  <si>
    <t>9329668173</t>
  </si>
  <si>
    <t>ORD10497</t>
  </si>
  <si>
    <t>13/06/1988</t>
  </si>
  <si>
    <t>9294740227</t>
  </si>
  <si>
    <t>ORD10498</t>
  </si>
  <si>
    <t>22/07/1992</t>
  </si>
  <si>
    <t>9549426303</t>
  </si>
  <si>
    <t>ORD10499</t>
  </si>
  <si>
    <t>05/07/2025</t>
  </si>
  <si>
    <t>12/08/1979</t>
  </si>
  <si>
    <t>Laptop,Mouse</t>
  </si>
  <si>
    <t>9374249303</t>
  </si>
  <si>
    <t>ORD10500</t>
  </si>
  <si>
    <t>16/09/2025</t>
  </si>
  <si>
    <t>24/11/1976</t>
  </si>
  <si>
    <t>9810334941</t>
  </si>
  <si>
    <t>Supplier</t>
  </si>
  <si>
    <t>Cost_Price</t>
  </si>
  <si>
    <t>Warranty_Months</t>
  </si>
  <si>
    <t>TechHub</t>
  </si>
  <si>
    <t>Global Trade</t>
  </si>
  <si>
    <t>ABC Corp</t>
  </si>
  <si>
    <t>Prime Supplies</t>
  </si>
  <si>
    <t>Membership</t>
  </si>
  <si>
    <t>State</t>
  </si>
  <si>
    <t>Silver</t>
  </si>
  <si>
    <t>RJ</t>
  </si>
  <si>
    <t>Platinum</t>
  </si>
  <si>
    <t>WB</t>
  </si>
  <si>
    <t>Gold</t>
  </si>
  <si>
    <t>DL</t>
  </si>
  <si>
    <t>KA</t>
  </si>
  <si>
    <t>Not Available</t>
  </si>
  <si>
    <t>Customer Classification</t>
  </si>
  <si>
    <t>Customer Code</t>
  </si>
  <si>
    <t>Invalid Email</t>
  </si>
  <si>
    <t xml:space="preserve">Customer Age </t>
  </si>
  <si>
    <t>Delivery Time (Days)</t>
  </si>
  <si>
    <t>Delivery Status</t>
  </si>
  <si>
    <t>Enter Product ID:</t>
  </si>
  <si>
    <t>Product Name</t>
  </si>
  <si>
    <t>Cost Price</t>
  </si>
  <si>
    <t>Warranty (Months)</t>
  </si>
  <si>
    <t>Information</t>
  </si>
  <si>
    <t>Details</t>
  </si>
  <si>
    <t>Interactive Product Lookup System</t>
  </si>
  <si>
    <t>Sales Performance Summary Report</t>
  </si>
  <si>
    <t>Description</t>
  </si>
  <si>
    <t>Performance Value</t>
  </si>
  <si>
    <t>Electronics Sales (Completed Orders)</t>
  </si>
  <si>
    <t>Salesperson Neha Sales (North Region)</t>
  </si>
  <si>
    <t>Orders with 15%+ Discount &amp; UPI Payment</t>
  </si>
  <si>
    <t>Completed Orders with 5-Star Rating</t>
  </si>
  <si>
    <t>Average Sales (West Region, Qty &gt; 5)</t>
  </si>
  <si>
    <t>Average Sales Amount.</t>
  </si>
  <si>
    <t>Median Sales Amount.</t>
  </si>
  <si>
    <t>Standard Deviation</t>
  </si>
  <si>
    <t>90th Percentile</t>
  </si>
  <si>
    <t>Sales Statistics Report</t>
  </si>
  <si>
    <t>Statistical Metric</t>
  </si>
  <si>
    <t>Value</t>
  </si>
  <si>
    <t xml:space="preserve">Highest Sales Amount </t>
  </si>
  <si>
    <t>Lowest Sales Amount</t>
  </si>
  <si>
    <t>orders are less than or equal to this amount, and only 10% of orders exceed it.</t>
  </si>
  <si>
    <r>
      <rPr>
        <b/>
        <sz val="11"/>
        <color theme="1"/>
        <rFont val="Gill Sans MT"/>
        <family val="2"/>
        <scheme val="minor"/>
      </rPr>
      <t>Note:</t>
    </r>
    <r>
      <rPr>
        <sz val="11"/>
        <color theme="1"/>
        <rFont val="Gill Sans MT"/>
        <family val="2"/>
        <scheme val="minor"/>
      </rPr>
      <t xml:space="preserve"> The 90th percentile value</t>
    </r>
    <r>
      <rPr>
        <b/>
        <sz val="11"/>
        <color theme="1"/>
        <rFont val="Gill Sans MT"/>
        <family val="2"/>
        <scheme val="minor"/>
      </rPr>
      <t xml:space="preserve"> (₹163,880.00)</t>
    </r>
    <r>
      <rPr>
        <sz val="11"/>
        <color theme="1"/>
        <rFont val="Gill Sans MT"/>
        <family val="2"/>
        <scheme val="minor"/>
      </rPr>
      <t xml:space="preserve"> indicates that </t>
    </r>
    <r>
      <rPr>
        <sz val="11"/>
        <color theme="8" tint="-0.499984740745262"/>
        <rFont val="Gill Sans MT"/>
        <family val="2"/>
        <scheme val="minor"/>
      </rPr>
      <t>90%</t>
    </r>
    <r>
      <rPr>
        <sz val="11"/>
        <color theme="1"/>
        <rFont val="Gill Sans MT"/>
        <family val="2"/>
        <scheme val="minor"/>
      </rPr>
      <t xml:space="preserve"> of the company's </t>
    </r>
  </si>
  <si>
    <t>Calculated Total Revenue</t>
  </si>
  <si>
    <t>Weighted Average Unit Price</t>
  </si>
  <si>
    <t>Revenue Difference Check</t>
  </si>
  <si>
    <t>Total Discounted Amount</t>
  </si>
  <si>
    <t>Product Performance Report</t>
  </si>
  <si>
    <t>Amount</t>
  </si>
  <si>
    <t>Future Value of Investment</t>
  </si>
  <si>
    <t>Monthly Investment Required for Target</t>
  </si>
  <si>
    <t>Monthly Loan EMI</t>
  </si>
  <si>
    <t>Financial Investment &amp; Loan Analysis Report</t>
  </si>
  <si>
    <t>Description Column</t>
  </si>
  <si>
    <t>Calculated Values Column</t>
  </si>
  <si>
    <t>Not Assigned</t>
  </si>
  <si>
    <t xml:space="preserve">Email </t>
  </si>
  <si>
    <t xml:space="preserve">Invaild </t>
  </si>
  <si>
    <t>3840P14</t>
  </si>
  <si>
    <t>Row Labels</t>
  </si>
  <si>
    <t>Grand Total</t>
  </si>
  <si>
    <t>Count of Order_ID</t>
  </si>
  <si>
    <t>Sum of Sales</t>
  </si>
  <si>
    <t>Average of Sales</t>
  </si>
  <si>
    <t xml:space="preserve">KPI </t>
  </si>
  <si>
    <t xml:space="preserve">Sales By Region </t>
  </si>
  <si>
    <t>Sales Distribution by Category</t>
  </si>
  <si>
    <t xml:space="preserve">Pending </t>
  </si>
  <si>
    <t>2025</t>
  </si>
  <si>
    <t>Jan</t>
  </si>
  <si>
    <t>Feb</t>
  </si>
  <si>
    <t>Mar</t>
  </si>
  <si>
    <t>Apr</t>
  </si>
  <si>
    <t>May</t>
  </si>
  <si>
    <t>Jun</t>
  </si>
  <si>
    <t>Jul</t>
  </si>
  <si>
    <t>Aug</t>
  </si>
  <si>
    <t>Sep</t>
  </si>
  <si>
    <t>Oct</t>
  </si>
  <si>
    <t>Nov</t>
  </si>
  <si>
    <t>Dec</t>
  </si>
  <si>
    <t>Monthly Sales Trend</t>
  </si>
  <si>
    <t>Dashboard_Order_Date</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</si>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</sst>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dd/mm/yyyy;@"/>
    <numFmt numFmtId="165" formatCode="dd/mm/yy;@"/>
    <numFmt numFmtId="166" formatCode="_ [$₹-4009]\ * #,##0.00_ ;_ [$₹-4009]\ * \-#,##0.00_ ;_ [$₹-4009]\ * &quot;-&quot;??_ ;_ @_ "/>
    <numFmt numFmtId="167" formatCode="[$-14009]dd\-mm\-yyyy;@"/>
  </numFmts>
  <fonts count="26" x14ac:knownFonts="1">
    <font>
      <sz val="11"/>
      <color theme="1"/>
      <name val="Gill Sans MT"/>
      <family val="2"/>
      <scheme val="minor"/>
    </font>
    <font>
      <b/>
      <sz val="11"/>
      <color theme="0"/>
      <name val="Gill Sans MT"/>
      <family val="2"/>
      <scheme val="minor"/>
    </font>
    <font>
      <u/>
      <sz val="11"/>
      <color theme="10"/>
      <name val="Gill Sans MT"/>
      <family val="2"/>
      <scheme val="minor"/>
    </font>
    <font>
      <b/>
      <sz val="11"/>
      <color theme="1"/>
      <name val="Gill Sans MT"/>
      <family val="2"/>
      <scheme val="minor"/>
    </font>
    <font>
      <b/>
      <sz val="11"/>
      <color theme="1" tint="4.9989318521683403E-2"/>
      <name val="Gill Sans MT"/>
      <family val="2"/>
      <scheme val="minor"/>
    </font>
    <font>
      <sz val="11"/>
      <color theme="1" tint="4.9989318521683403E-2"/>
      <name val="Gill Sans MT"/>
      <family val="2"/>
      <scheme val="minor"/>
    </font>
    <font>
      <sz val="11"/>
      <color theme="1"/>
      <name val="Gill Sans MT"/>
      <family val="2"/>
      <scheme val="minor"/>
    </font>
    <font>
      <b/>
      <sz val="14"/>
      <color theme="1"/>
      <name val="Gill Sans MT"/>
      <family val="2"/>
      <scheme val="minor"/>
    </font>
    <font>
      <sz val="11"/>
      <color theme="0"/>
      <name val="Gill Sans MT"/>
      <family val="2"/>
      <scheme val="minor"/>
    </font>
    <font>
      <b/>
      <sz val="11"/>
      <color theme="1"/>
      <name val="Amasis MT Pro Medium"/>
      <family val="1"/>
    </font>
    <font>
      <b/>
      <sz val="16"/>
      <color theme="1" tint="4.9989318521683403E-2"/>
      <name val="Amasis MT Pro Medium"/>
      <family val="1"/>
    </font>
    <font>
      <sz val="12"/>
      <color theme="1"/>
      <name val="Gill Sans MT"/>
      <family val="2"/>
      <scheme val="minor"/>
    </font>
    <font>
      <b/>
      <sz val="12"/>
      <color theme="1"/>
      <name val="Gill Sans MT"/>
      <family val="2"/>
      <scheme val="minor"/>
    </font>
    <font>
      <b/>
      <sz val="12"/>
      <color theme="1"/>
      <name val="Arial Black"/>
      <family val="2"/>
    </font>
    <font>
      <b/>
      <sz val="11"/>
      <color theme="1"/>
      <name val="Aptos Narrow"/>
      <family val="2"/>
    </font>
    <font>
      <b/>
      <sz val="11"/>
      <color theme="0"/>
      <name val="Arial Rounded MT Bold"/>
      <family val="2"/>
    </font>
    <font>
      <b/>
      <sz val="14"/>
      <color theme="0"/>
      <name val="Arial Narrow"/>
      <family val="2"/>
    </font>
    <font>
      <b/>
      <sz val="11"/>
      <color theme="1"/>
      <name val="Aptos Display"/>
      <family val="2"/>
    </font>
    <font>
      <sz val="11"/>
      <color theme="8" tint="-0.499984740745262"/>
      <name val="Gill Sans MT"/>
      <family val="2"/>
      <scheme val="minor"/>
    </font>
    <font>
      <b/>
      <sz val="11"/>
      <color theme="1"/>
      <name val="Cambria"/>
      <family val="1"/>
    </font>
    <font>
      <b/>
      <sz val="12"/>
      <color theme="1"/>
      <name val="Cambria"/>
      <family val="1"/>
    </font>
    <font>
      <b/>
      <sz val="14"/>
      <color theme="0"/>
      <name val="Aptos Display"/>
      <family val="2"/>
    </font>
    <font>
      <sz val="11"/>
      <color theme="1"/>
      <name val="Gill Sans MT"/>
      <scheme val="minor"/>
    </font>
    <font>
      <sz val="11"/>
      <color theme="1"/>
      <name val="Bahnschrift"/>
    </font>
    <font>
      <sz val="11"/>
      <color rgb="FFFF0000"/>
      <name val="Calibri"/>
    </font>
    <font>
      <b/>
      <sz val="14"/>
      <color theme="1"/>
      <name val="Aptos Display"/>
      <family val="2"/>
    </font>
  </fonts>
  <fills count="2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0"/>
        <bgColor theme="4" tint="0.59999389629810485"/>
      </patternFill>
    </fill>
    <fill>
      <patternFill patternType="solid">
        <fgColor theme="0"/>
        <bgColor theme="4" tint="0.79998168889431442"/>
      </patternFill>
    </fill>
    <fill>
      <patternFill patternType="solid">
        <fgColor theme="4" tint="0.59999389629810485"/>
        <bgColor theme="4"/>
      </patternFill>
    </fill>
    <fill>
      <patternFill patternType="solid">
        <fgColor theme="5" tint="0.79998168889431442"/>
        <bgColor theme="4" tint="0.79998168889431442"/>
      </patternFill>
    </fill>
    <fill>
      <patternFill patternType="solid">
        <fgColor theme="5" tint="0.79998168889431442"/>
        <bgColor theme="4" tint="0.59999389629810485"/>
      </patternFill>
    </fill>
    <fill>
      <patternFill patternType="solid">
        <fgColor theme="6" tint="-0.249977111117893"/>
        <bgColor theme="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6" tint="-0.499984740745262"/>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7" tint="-0.499984740745262"/>
        <bgColor indexed="64"/>
      </patternFill>
    </fill>
    <fill>
      <patternFill patternType="solid">
        <fgColor theme="7" tint="-0.499984740745262"/>
        <bgColor theme="4"/>
      </patternFill>
    </fill>
    <fill>
      <patternFill patternType="solid">
        <fgColor theme="9" tint="0.59999389629810485"/>
        <bgColor theme="4" tint="0.59999389629810485"/>
      </patternFill>
    </fill>
    <fill>
      <patternFill patternType="solid">
        <fgColor theme="9" tint="0.59999389629810485"/>
        <bgColor theme="4" tint="0.79998168889431442"/>
      </patternFill>
    </fill>
  </fills>
  <borders count="70">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style="thin">
        <color indexed="64"/>
      </top>
      <bottom style="medium">
        <color indexed="64"/>
      </bottom>
      <diagonal/>
    </border>
    <border>
      <left/>
      <right/>
      <top/>
      <bottom style="double">
        <color indexed="64"/>
      </bottom>
      <diagonal/>
    </border>
    <border>
      <left style="thin">
        <color indexed="64"/>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5">
    <xf numFmtId="0" fontId="0" fillId="0" borderId="0"/>
    <xf numFmtId="0" fontId="2" fillId="0" borderId="0" applyNumberFormat="0" applyFill="0" applyBorder="0" applyAlignment="0" applyProtection="0"/>
    <xf numFmtId="9" fontId="6" fillId="0" borderId="0" applyFont="0" applyFill="0" applyBorder="0" applyAlignment="0" applyProtection="0"/>
    <xf numFmtId="44" fontId="6" fillId="0" borderId="0" applyFont="0" applyFill="0" applyBorder="0" applyAlignment="0" applyProtection="0"/>
    <xf numFmtId="0" fontId="22" fillId="0" borderId="0"/>
  </cellStyleXfs>
  <cellXfs count="214">
    <xf numFmtId="0" fontId="0" fillId="0" borderId="0" xfId="0"/>
    <xf numFmtId="0" fontId="1" fillId="2" borderId="1" xfId="0" applyFont="1" applyFill="1" applyBorder="1"/>
    <xf numFmtId="0" fontId="1" fillId="2" borderId="2" xfId="0" applyFont="1" applyFill="1" applyBorder="1"/>
    <xf numFmtId="0" fontId="0" fillId="3" borderId="3" xfId="0" applyFill="1" applyBorder="1"/>
    <xf numFmtId="0" fontId="0" fillId="3" borderId="4" xfId="0" applyFill="1" applyBorder="1"/>
    <xf numFmtId="0" fontId="2" fillId="3" borderId="4" xfId="1" applyFill="1" applyBorder="1"/>
    <xf numFmtId="2" fontId="0" fillId="3" borderId="4" xfId="0" applyNumberFormat="1" applyFill="1" applyBorder="1"/>
    <xf numFmtId="0" fontId="0" fillId="4" borderId="3" xfId="0" applyFill="1" applyBorder="1"/>
    <xf numFmtId="0" fontId="0" fillId="4" borderId="4" xfId="0" applyFill="1" applyBorder="1"/>
    <xf numFmtId="2" fontId="0" fillId="4" borderId="4" xfId="0" applyNumberFormat="1" applyFill="1" applyBorder="1"/>
    <xf numFmtId="0" fontId="2" fillId="4" borderId="4" xfId="1" applyFill="1" applyBorder="1"/>
    <xf numFmtId="0" fontId="0" fillId="4" borderId="5" xfId="0" applyFill="1" applyBorder="1"/>
    <xf numFmtId="0" fontId="0" fillId="4" borderId="6" xfId="0" applyFill="1" applyBorder="1"/>
    <xf numFmtId="2" fontId="0" fillId="4" borderId="6" xfId="0" applyNumberFormat="1" applyFill="1" applyBorder="1"/>
    <xf numFmtId="0" fontId="3" fillId="7" borderId="7" xfId="0" applyFont="1" applyFill="1" applyBorder="1" applyAlignment="1">
      <alignment horizontal="left" vertical="center"/>
    </xf>
    <xf numFmtId="0" fontId="0" fillId="5" borderId="7" xfId="0" applyFill="1" applyBorder="1" applyAlignment="1">
      <alignment horizontal="left" vertical="center"/>
    </xf>
    <xf numFmtId="0" fontId="2" fillId="5" borderId="7" xfId="1" applyFill="1" applyBorder="1" applyAlignment="1">
      <alignment horizontal="left" vertical="center"/>
    </xf>
    <xf numFmtId="0" fontId="0" fillId="6" borderId="7" xfId="0" applyFill="1" applyBorder="1" applyAlignment="1">
      <alignment horizontal="left" vertical="center"/>
    </xf>
    <xf numFmtId="0" fontId="2" fillId="6" borderId="7" xfId="1" applyFill="1" applyBorder="1" applyAlignment="1">
      <alignment horizontal="left" vertical="center"/>
    </xf>
    <xf numFmtId="0" fontId="3" fillId="5" borderId="7" xfId="0" applyFont="1" applyFill="1" applyBorder="1" applyAlignment="1">
      <alignment horizontal="left" vertical="center"/>
    </xf>
    <xf numFmtId="1" fontId="3" fillId="7" borderId="7" xfId="0" applyNumberFormat="1" applyFont="1" applyFill="1" applyBorder="1" applyAlignment="1">
      <alignment horizontal="left" vertical="center"/>
    </xf>
    <xf numFmtId="1" fontId="0" fillId="6" borderId="7" xfId="0" applyNumberFormat="1" applyFill="1" applyBorder="1" applyAlignment="1">
      <alignment horizontal="left" vertical="center"/>
    </xf>
    <xf numFmtId="1" fontId="0" fillId="5" borderId="7" xfId="0" applyNumberFormat="1" applyFill="1" applyBorder="1" applyAlignment="1">
      <alignment horizontal="left" vertical="center"/>
    </xf>
    <xf numFmtId="1" fontId="0" fillId="0" borderId="0" xfId="0" applyNumberFormat="1"/>
    <xf numFmtId="3" fontId="3" fillId="7" borderId="7" xfId="0" applyNumberFormat="1" applyFont="1" applyFill="1" applyBorder="1" applyAlignment="1">
      <alignment horizontal="left" vertical="center"/>
    </xf>
    <xf numFmtId="3" fontId="0" fillId="5" borderId="7" xfId="0" applyNumberFormat="1" applyFill="1" applyBorder="1" applyAlignment="1">
      <alignment horizontal="left" vertical="center"/>
    </xf>
    <xf numFmtId="3" fontId="0" fillId="6" borderId="7" xfId="0" applyNumberFormat="1" applyFill="1" applyBorder="1" applyAlignment="1">
      <alignment horizontal="left" vertical="center"/>
    </xf>
    <xf numFmtId="3" fontId="0" fillId="0" borderId="0" xfId="0" applyNumberFormat="1"/>
    <xf numFmtId="0" fontId="4" fillId="7" borderId="7" xfId="0" applyFont="1" applyFill="1" applyBorder="1" applyAlignment="1">
      <alignment horizontal="left" vertical="center"/>
    </xf>
    <xf numFmtId="0" fontId="4" fillId="5" borderId="7" xfId="0" applyFont="1" applyFill="1" applyBorder="1" applyAlignment="1">
      <alignment horizontal="left" vertical="center"/>
    </xf>
    <xf numFmtId="0" fontId="5" fillId="0" borderId="0" xfId="0" applyFont="1"/>
    <xf numFmtId="14" fontId="3" fillId="7" borderId="7" xfId="0" applyNumberFormat="1" applyFont="1" applyFill="1" applyBorder="1" applyAlignment="1">
      <alignment horizontal="left" vertical="center"/>
    </xf>
    <xf numFmtId="14" fontId="0" fillId="5" borderId="7" xfId="0" applyNumberFormat="1" applyFill="1" applyBorder="1" applyAlignment="1">
      <alignment horizontal="left" vertical="center"/>
    </xf>
    <xf numFmtId="14" fontId="0" fillId="6" borderId="7" xfId="0" applyNumberFormat="1" applyFill="1" applyBorder="1" applyAlignment="1">
      <alignment horizontal="left" vertical="center"/>
    </xf>
    <xf numFmtId="14" fontId="0" fillId="0" borderId="0" xfId="0" applyNumberFormat="1"/>
    <xf numFmtId="164" fontId="3" fillId="7" borderId="7" xfId="0" applyNumberFormat="1" applyFont="1" applyFill="1" applyBorder="1" applyAlignment="1">
      <alignment horizontal="left" vertical="center"/>
    </xf>
    <xf numFmtId="164" fontId="0" fillId="5" borderId="7" xfId="0" applyNumberFormat="1" applyFill="1" applyBorder="1" applyAlignment="1">
      <alignment horizontal="left" vertical="center"/>
    </xf>
    <xf numFmtId="164" fontId="0" fillId="6" borderId="7" xfId="0" applyNumberFormat="1" applyFill="1" applyBorder="1" applyAlignment="1">
      <alignment horizontal="left" vertical="center"/>
    </xf>
    <xf numFmtId="164" fontId="0" fillId="0" borderId="0" xfId="0" applyNumberFormat="1"/>
    <xf numFmtId="165" fontId="0" fillId="5" borderId="7" xfId="2" applyNumberFormat="1" applyFont="1" applyFill="1" applyBorder="1" applyAlignment="1">
      <alignment horizontal="left" vertical="center"/>
    </xf>
    <xf numFmtId="14" fontId="3" fillId="5" borderId="7" xfId="0" applyNumberFormat="1" applyFont="1" applyFill="1" applyBorder="1" applyAlignment="1">
      <alignment horizontal="left" vertical="center"/>
    </xf>
    <xf numFmtId="1" fontId="3" fillId="10" borderId="7" xfId="0" applyNumberFormat="1" applyFont="1" applyFill="1" applyBorder="1" applyAlignment="1">
      <alignment horizontal="left" vertical="center"/>
    </xf>
    <xf numFmtId="1" fontId="7" fillId="8" borderId="7" xfId="0" applyNumberFormat="1" applyFont="1" applyFill="1" applyBorder="1" applyAlignment="1">
      <alignment horizontal="left" vertical="center"/>
    </xf>
    <xf numFmtId="1" fontId="7" fillId="0" borderId="0" xfId="0" applyNumberFormat="1" applyFont="1"/>
    <xf numFmtId="1" fontId="3" fillId="8" borderId="7" xfId="0" applyNumberFormat="1" applyFont="1" applyFill="1" applyBorder="1" applyAlignment="1">
      <alignment horizontal="left" vertical="center"/>
    </xf>
    <xf numFmtId="1" fontId="3" fillId="9" borderId="7" xfId="0" applyNumberFormat="1" applyFont="1" applyFill="1" applyBorder="1" applyAlignment="1">
      <alignment horizontal="left" vertical="center"/>
    </xf>
    <xf numFmtId="0" fontId="3" fillId="9" borderId="7" xfId="0" applyFont="1" applyFill="1" applyBorder="1" applyAlignment="1">
      <alignment horizontal="left" vertical="center"/>
    </xf>
    <xf numFmtId="0" fontId="3" fillId="8" borderId="7" xfId="0" applyFont="1" applyFill="1" applyBorder="1" applyAlignment="1">
      <alignment horizontal="left" vertical="center"/>
    </xf>
    <xf numFmtId="1" fontId="3" fillId="0" borderId="0" xfId="0" applyNumberFormat="1" applyFont="1"/>
    <xf numFmtId="0" fontId="3" fillId="0" borderId="0" xfId="0" applyFont="1" applyAlignment="1">
      <alignment horizontal="center" vertical="center"/>
    </xf>
    <xf numFmtId="0" fontId="11" fillId="0" borderId="7" xfId="0" applyFont="1" applyBorder="1" applyAlignment="1">
      <alignment horizontal="center" vertical="center"/>
    </xf>
    <xf numFmtId="0" fontId="12" fillId="13" borderId="7" xfId="0" applyFont="1" applyFill="1" applyBorder="1" applyAlignment="1">
      <alignment horizontal="center" vertical="center"/>
    </xf>
    <xf numFmtId="0" fontId="0" fillId="0" borderId="7" xfId="0" applyBorder="1"/>
    <xf numFmtId="0" fontId="3" fillId="14" borderId="7" xfId="0" applyFont="1" applyFill="1" applyBorder="1"/>
    <xf numFmtId="0" fontId="0" fillId="0" borderId="15" xfId="0" applyBorder="1"/>
    <xf numFmtId="0" fontId="8" fillId="0" borderId="0" xfId="0" applyFont="1"/>
    <xf numFmtId="2" fontId="1" fillId="2" borderId="2" xfId="2" applyNumberFormat="1" applyFont="1" applyFill="1" applyBorder="1"/>
    <xf numFmtId="2" fontId="0" fillId="3" borderId="4" xfId="2" applyNumberFormat="1" applyFont="1" applyFill="1" applyBorder="1"/>
    <xf numFmtId="2" fontId="0" fillId="4" borderId="4" xfId="2" applyNumberFormat="1" applyFont="1" applyFill="1" applyBorder="1"/>
    <xf numFmtId="2" fontId="0" fillId="4" borderId="6" xfId="2" applyNumberFormat="1" applyFont="1" applyFill="1" applyBorder="1"/>
    <xf numFmtId="2" fontId="0" fillId="0" borderId="0" xfId="2" applyNumberFormat="1" applyFont="1"/>
    <xf numFmtId="2" fontId="0" fillId="5" borderId="7" xfId="0" applyNumberFormat="1" applyFill="1" applyBorder="1" applyAlignment="1">
      <alignment horizontal="left" vertical="center"/>
    </xf>
    <xf numFmtId="2" fontId="0" fillId="0" borderId="0" xfId="0" applyNumberFormat="1" applyAlignment="1">
      <alignment horizontal="left"/>
    </xf>
    <xf numFmtId="0" fontId="22" fillId="0" borderId="0" xfId="4"/>
    <xf numFmtId="0" fontId="23" fillId="0" borderId="0" xfId="4" applyFont="1"/>
    <xf numFmtId="0" fontId="24" fillId="0" borderId="0" xfId="4" applyFont="1"/>
    <xf numFmtId="0" fontId="1" fillId="22" borderId="1" xfId="0" applyFont="1" applyFill="1" applyBorder="1" applyAlignment="1">
      <alignment horizontal="left" vertical="center"/>
    </xf>
    <xf numFmtId="0" fontId="1" fillId="22" borderId="2" xfId="0" applyFont="1" applyFill="1" applyBorder="1" applyAlignment="1">
      <alignment horizontal="left" vertical="center"/>
    </xf>
    <xf numFmtId="2" fontId="1" fillId="22" borderId="2" xfId="0" applyNumberFormat="1" applyFont="1" applyFill="1" applyBorder="1" applyAlignment="1">
      <alignment horizontal="left" vertical="center"/>
    </xf>
    <xf numFmtId="0" fontId="0" fillId="23" borderId="3" xfId="0" applyFill="1" applyBorder="1" applyAlignment="1">
      <alignment horizontal="left" vertical="center"/>
    </xf>
    <xf numFmtId="0" fontId="0" fillId="23" borderId="4" xfId="0" applyFill="1" applyBorder="1" applyAlignment="1">
      <alignment horizontal="left" vertical="center"/>
    </xf>
    <xf numFmtId="9" fontId="0" fillId="23" borderId="4" xfId="2" applyFont="1" applyFill="1" applyBorder="1" applyAlignment="1">
      <alignment horizontal="left" vertical="center"/>
    </xf>
    <xf numFmtId="0" fontId="0" fillId="24" borderId="3" xfId="0" applyFill="1" applyBorder="1" applyAlignment="1">
      <alignment horizontal="left" vertical="center"/>
    </xf>
    <xf numFmtId="0" fontId="0" fillId="24" borderId="4" xfId="0" applyFill="1" applyBorder="1" applyAlignment="1">
      <alignment horizontal="left" vertical="center"/>
    </xf>
    <xf numFmtId="1" fontId="0" fillId="23" borderId="4" xfId="0" applyNumberFormat="1" applyFill="1" applyBorder="1" applyAlignment="1">
      <alignment horizontal="left" vertical="center"/>
    </xf>
    <xf numFmtId="0" fontId="0" fillId="24" borderId="5" xfId="0" applyFill="1" applyBorder="1" applyAlignment="1">
      <alignment horizontal="left" vertical="center"/>
    </xf>
    <xf numFmtId="0" fontId="0" fillId="24" borderId="6" xfId="0" applyFill="1" applyBorder="1" applyAlignment="1">
      <alignment horizontal="left" vertical="center"/>
    </xf>
    <xf numFmtId="0" fontId="0" fillId="0" borderId="0" xfId="0" pivotButton="1"/>
    <xf numFmtId="0" fontId="0" fillId="0" borderId="0" xfId="0" applyAlignment="1">
      <alignment horizontal="left"/>
    </xf>
    <xf numFmtId="166" fontId="0" fillId="0" borderId="0" xfId="0" applyNumberFormat="1"/>
    <xf numFmtId="0" fontId="0" fillId="0" borderId="66" xfId="0" applyBorder="1"/>
    <xf numFmtId="0" fontId="0" fillId="0" borderId="67" xfId="0" applyBorder="1"/>
    <xf numFmtId="0" fontId="0" fillId="0" borderId="60" xfId="0" applyBorder="1"/>
    <xf numFmtId="0" fontId="25" fillId="0" borderId="65" xfId="0" applyFont="1" applyBorder="1" applyAlignment="1">
      <alignment horizontal="center"/>
    </xf>
    <xf numFmtId="0" fontId="0" fillId="0" borderId="0" xfId="0" applyAlignment="1">
      <alignment horizontal="left" indent="1"/>
    </xf>
    <xf numFmtId="167" fontId="1" fillId="22" borderId="2" xfId="0" applyNumberFormat="1" applyFont="1" applyFill="1" applyBorder="1" applyAlignment="1">
      <alignment horizontal="left" vertical="center"/>
    </xf>
    <xf numFmtId="167" fontId="0" fillId="23" borderId="4" xfId="0" applyNumberFormat="1" applyFill="1" applyBorder="1" applyAlignment="1">
      <alignment horizontal="left" vertical="center"/>
    </xf>
    <xf numFmtId="167" fontId="0" fillId="24" borderId="4" xfId="0" applyNumberFormat="1" applyFill="1" applyBorder="1" applyAlignment="1">
      <alignment horizontal="left" vertical="center"/>
    </xf>
    <xf numFmtId="167" fontId="0" fillId="24" borderId="6" xfId="0" applyNumberFormat="1" applyFill="1" applyBorder="1" applyAlignment="1">
      <alignment horizontal="left" vertical="center"/>
    </xf>
    <xf numFmtId="167" fontId="0" fillId="0" borderId="0" xfId="0" applyNumberFormat="1"/>
    <xf numFmtId="166" fontId="3" fillId="0" borderId="66" xfId="0" applyNumberFormat="1" applyFont="1" applyBorder="1"/>
    <xf numFmtId="166" fontId="3" fillId="0" borderId="67" xfId="0" applyNumberFormat="1" applyFont="1" applyBorder="1"/>
    <xf numFmtId="166" fontId="3" fillId="0" borderId="60" xfId="0" applyNumberFormat="1" applyFont="1" applyBorder="1"/>
    <xf numFmtId="1" fontId="3" fillId="0" borderId="60" xfId="0" applyNumberFormat="1" applyFont="1" applyBorder="1"/>
    <xf numFmtId="166" fontId="3" fillId="0" borderId="64" xfId="0" applyNumberFormat="1" applyFont="1" applyBorder="1"/>
    <xf numFmtId="166" fontId="3" fillId="0" borderId="65" xfId="0" applyNumberFormat="1" applyFont="1" applyBorder="1"/>
    <xf numFmtId="166" fontId="3" fillId="0" borderId="64" xfId="0" applyNumberFormat="1" applyFont="1" applyBorder="1" applyAlignment="1">
      <alignment horizontal="left"/>
    </xf>
    <xf numFmtId="166" fontId="3" fillId="0" borderId="68" xfId="0" applyNumberFormat="1" applyFont="1" applyBorder="1"/>
    <xf numFmtId="166" fontId="3" fillId="0" borderId="65" xfId="0" pivotButton="1" applyNumberFormat="1" applyFont="1" applyBorder="1"/>
    <xf numFmtId="166" fontId="3" fillId="0" borderId="69" xfId="0" applyNumberFormat="1" applyFont="1" applyBorder="1" applyAlignment="1">
      <alignment horizontal="left"/>
    </xf>
    <xf numFmtId="166" fontId="3" fillId="0" borderId="64" xfId="0" pivotButton="1" applyNumberFormat="1" applyFont="1" applyBorder="1"/>
    <xf numFmtId="0" fontId="3" fillId="0" borderId="0" xfId="0" applyFont="1" applyAlignment="1">
      <alignment horizontal="left"/>
    </xf>
    <xf numFmtId="0" fontId="3" fillId="0" borderId="0" xfId="0" applyFont="1"/>
    <xf numFmtId="166" fontId="3" fillId="0" borderId="69" xfId="0" applyNumberFormat="1" applyFont="1" applyBorder="1"/>
    <xf numFmtId="166" fontId="3" fillId="0" borderId="65" xfId="0" applyNumberFormat="1" applyFont="1" applyBorder="1" applyAlignment="1">
      <alignment horizontal="left"/>
    </xf>
    <xf numFmtId="166" fontId="3" fillId="0" borderId="68" xfId="0" applyNumberFormat="1" applyFont="1" applyBorder="1" applyAlignment="1">
      <alignment horizontal="left"/>
    </xf>
    <xf numFmtId="0" fontId="13" fillId="15" borderId="0" xfId="0" applyFont="1" applyFill="1" applyAlignment="1">
      <alignment horizontal="center" vertical="center"/>
    </xf>
    <xf numFmtId="0" fontId="10" fillId="12" borderId="42" xfId="0" applyFont="1" applyFill="1" applyBorder="1" applyAlignment="1">
      <alignment horizontal="center" vertical="center"/>
    </xf>
    <xf numFmtId="0" fontId="10" fillId="12" borderId="28" xfId="0" applyFont="1" applyFill="1" applyBorder="1" applyAlignment="1">
      <alignment horizontal="center" vertical="center"/>
    </xf>
    <xf numFmtId="0" fontId="3" fillId="0" borderId="30" xfId="0" applyFont="1" applyBorder="1" applyAlignment="1">
      <alignment horizontal="center" vertical="center"/>
    </xf>
    <xf numFmtId="0" fontId="3" fillId="0" borderId="29" xfId="0" applyFont="1" applyBorder="1" applyAlignment="1">
      <alignment horizontal="center" vertical="center"/>
    </xf>
    <xf numFmtId="0" fontId="3" fillId="0" borderId="31" xfId="0" applyFont="1" applyBorder="1" applyAlignment="1">
      <alignment horizontal="center" vertical="center"/>
    </xf>
    <xf numFmtId="0" fontId="3" fillId="0" borderId="38" xfId="0" applyFont="1" applyBorder="1" applyAlignment="1">
      <alignment horizontal="center" vertical="center"/>
    </xf>
    <xf numFmtId="0" fontId="3" fillId="0" borderId="14" xfId="0" applyFont="1" applyBorder="1" applyAlignment="1">
      <alignment horizontal="center" vertical="center"/>
    </xf>
    <xf numFmtId="0" fontId="3" fillId="0" borderId="20" xfId="0" applyFont="1" applyBorder="1" applyAlignment="1">
      <alignment horizontal="center" vertical="center"/>
    </xf>
    <xf numFmtId="0" fontId="3" fillId="0" borderId="33" xfId="0" applyFont="1" applyBorder="1" applyAlignment="1">
      <alignment horizontal="center" vertical="center"/>
    </xf>
    <xf numFmtId="0" fontId="3" fillId="0" borderId="17" xfId="0" applyFont="1" applyBorder="1" applyAlignment="1">
      <alignment horizontal="center" vertical="center"/>
    </xf>
    <xf numFmtId="0" fontId="3" fillId="0" borderId="35" xfId="0" applyFont="1" applyBorder="1" applyAlignment="1">
      <alignment horizontal="center" vertical="center"/>
    </xf>
    <xf numFmtId="0" fontId="3" fillId="0" borderId="19" xfId="0" applyFont="1" applyBorder="1" applyAlignment="1">
      <alignment horizontal="center" vertical="center"/>
    </xf>
    <xf numFmtId="0" fontId="3" fillId="0" borderId="37" xfId="0" applyFont="1" applyBorder="1" applyAlignment="1">
      <alignment horizontal="center" vertical="center"/>
    </xf>
    <xf numFmtId="3" fontId="3" fillId="0" borderId="19" xfId="0" applyNumberFormat="1" applyFont="1" applyBorder="1" applyAlignment="1">
      <alignment horizontal="center" vertical="center"/>
    </xf>
    <xf numFmtId="3" fontId="3" fillId="0" borderId="37" xfId="0" applyNumberFormat="1" applyFont="1" applyBorder="1" applyAlignment="1">
      <alignment horizontal="center" vertical="center"/>
    </xf>
    <xf numFmtId="0" fontId="3" fillId="0" borderId="39" xfId="0" applyFont="1" applyBorder="1" applyAlignment="1">
      <alignment horizontal="center" vertical="center"/>
    </xf>
    <xf numFmtId="0" fontId="9" fillId="11" borderId="40" xfId="0" applyFont="1" applyFill="1" applyBorder="1" applyAlignment="1">
      <alignment horizontal="center" vertical="center"/>
    </xf>
    <xf numFmtId="0" fontId="9" fillId="11" borderId="41" xfId="0" applyFont="1" applyFill="1" applyBorder="1" applyAlignment="1">
      <alignment horizontal="center" vertical="center"/>
    </xf>
    <xf numFmtId="0" fontId="9" fillId="11" borderId="26" xfId="0" applyFont="1" applyFill="1" applyBorder="1" applyAlignment="1">
      <alignment horizontal="center" vertical="center"/>
    </xf>
    <xf numFmtId="0" fontId="9" fillId="11" borderId="27" xfId="0" applyFont="1" applyFill="1" applyBorder="1" applyAlignment="1">
      <alignment horizontal="center" vertical="center"/>
    </xf>
    <xf numFmtId="0" fontId="3" fillId="0" borderId="32" xfId="0" applyFont="1" applyBorder="1" applyAlignment="1">
      <alignment horizontal="center" vertical="center"/>
    </xf>
    <xf numFmtId="0" fontId="3" fillId="0" borderId="34" xfId="0" applyFont="1" applyBorder="1" applyAlignment="1">
      <alignment horizontal="center" vertical="center"/>
    </xf>
    <xf numFmtId="0" fontId="3" fillId="0" borderId="36" xfId="0" applyFont="1" applyBorder="1" applyAlignment="1">
      <alignment horizontal="center" vertical="center"/>
    </xf>
    <xf numFmtId="0" fontId="14" fillId="0" borderId="43" xfId="0" applyFont="1" applyBorder="1" applyAlignment="1">
      <alignment horizontal="center"/>
    </xf>
    <xf numFmtId="0" fontId="14" fillId="0" borderId="0" xfId="0" applyFont="1" applyAlignment="1">
      <alignment horizontal="center"/>
    </xf>
    <xf numFmtId="0" fontId="14" fillId="0" borderId="45" xfId="0" applyFont="1" applyBorder="1" applyAlignment="1">
      <alignment horizontal="center"/>
    </xf>
    <xf numFmtId="0" fontId="14" fillId="0" borderId="15" xfId="0" applyFont="1" applyBorder="1" applyAlignment="1">
      <alignment horizontal="center"/>
    </xf>
    <xf numFmtId="166" fontId="14" fillId="0" borderId="0" xfId="0" applyNumberFormat="1" applyFont="1" applyAlignment="1">
      <alignment horizontal="center"/>
    </xf>
    <xf numFmtId="166" fontId="14" fillId="0" borderId="44" xfId="0" applyNumberFormat="1" applyFont="1" applyBorder="1" applyAlignment="1">
      <alignment horizontal="center"/>
    </xf>
    <xf numFmtId="0" fontId="14" fillId="0" borderId="0" xfId="0" applyFont="1" applyAlignment="1">
      <alignment horizontal="right"/>
    </xf>
    <xf numFmtId="0" fontId="14" fillId="0" borderId="44" xfId="0" applyFont="1" applyBorder="1" applyAlignment="1">
      <alignment horizontal="right"/>
    </xf>
    <xf numFmtId="166" fontId="14" fillId="0" borderId="15" xfId="0" applyNumberFormat="1" applyFont="1" applyBorder="1" applyAlignment="1">
      <alignment horizontal="center"/>
    </xf>
    <xf numFmtId="166" fontId="14" fillId="0" borderId="46" xfId="0" applyNumberFormat="1" applyFont="1" applyBorder="1" applyAlignment="1">
      <alignment horizontal="center"/>
    </xf>
    <xf numFmtId="0" fontId="3" fillId="12" borderId="20" xfId="0" applyFont="1" applyFill="1" applyBorder="1" applyAlignment="1">
      <alignment horizontal="center"/>
    </xf>
    <xf numFmtId="0" fontId="15" fillId="16" borderId="0" xfId="0" applyFont="1" applyFill="1" applyAlignment="1">
      <alignment horizontal="center"/>
    </xf>
    <xf numFmtId="0" fontId="16" fillId="17" borderId="9" xfId="0" applyFont="1" applyFill="1" applyBorder="1" applyAlignment="1">
      <alignment horizontal="center"/>
    </xf>
    <xf numFmtId="0" fontId="16" fillId="17" borderId="8" xfId="0" applyFont="1" applyFill="1" applyBorder="1" applyAlignment="1">
      <alignment horizontal="center"/>
    </xf>
    <xf numFmtId="0" fontId="16" fillId="17" borderId="10" xfId="0" applyFont="1" applyFill="1" applyBorder="1" applyAlignment="1">
      <alignment horizontal="center"/>
    </xf>
    <xf numFmtId="0" fontId="3" fillId="12" borderId="47" xfId="0" applyFont="1" applyFill="1" applyBorder="1" applyAlignment="1">
      <alignment horizontal="center"/>
    </xf>
    <xf numFmtId="0" fontId="3" fillId="12" borderId="48" xfId="0" applyFont="1" applyFill="1" applyBorder="1" applyAlignment="1">
      <alignment horizontal="center"/>
    </xf>
    <xf numFmtId="0" fontId="17" fillId="0" borderId="40" xfId="0" applyFont="1" applyBorder="1" applyAlignment="1">
      <alignment horizontal="center"/>
    </xf>
    <xf numFmtId="0" fontId="17" fillId="0" borderId="41" xfId="0" applyFont="1" applyBorder="1" applyAlignment="1">
      <alignment horizontal="center"/>
    </xf>
    <xf numFmtId="0" fontId="17" fillId="0" borderId="50" xfId="0" applyFont="1" applyBorder="1" applyAlignment="1">
      <alignment horizontal="center"/>
    </xf>
    <xf numFmtId="0" fontId="17" fillId="0" borderId="7" xfId="0" applyFont="1" applyBorder="1" applyAlignment="1">
      <alignment horizontal="center"/>
    </xf>
    <xf numFmtId="0" fontId="3" fillId="12" borderId="49" xfId="0" applyFont="1" applyFill="1" applyBorder="1" applyAlignment="1">
      <alignment horizontal="center"/>
    </xf>
    <xf numFmtId="166" fontId="17" fillId="0" borderId="53" xfId="0" applyNumberFormat="1" applyFont="1" applyBorder="1" applyAlignment="1">
      <alignment horizontal="center"/>
    </xf>
    <xf numFmtId="166" fontId="17" fillId="0" borderId="54" xfId="0" applyNumberFormat="1" applyFont="1" applyBorder="1" applyAlignment="1">
      <alignment horizontal="center"/>
    </xf>
    <xf numFmtId="166" fontId="17" fillId="0" borderId="55" xfId="0" applyNumberFormat="1" applyFont="1" applyBorder="1" applyAlignment="1">
      <alignment horizontal="center"/>
    </xf>
    <xf numFmtId="166" fontId="17" fillId="0" borderId="13" xfId="0" applyNumberFormat="1" applyFont="1" applyBorder="1" applyAlignment="1">
      <alignment horizontal="center"/>
    </xf>
    <xf numFmtId="166" fontId="17" fillId="0" borderId="17" xfId="0" applyNumberFormat="1" applyFont="1" applyBorder="1" applyAlignment="1">
      <alignment horizontal="center"/>
    </xf>
    <xf numFmtId="166" fontId="17" fillId="0" borderId="35" xfId="0" applyNumberFormat="1" applyFont="1" applyBorder="1" applyAlignment="1">
      <alignment horizontal="center"/>
    </xf>
    <xf numFmtId="166" fontId="17" fillId="0" borderId="19" xfId="0" applyNumberFormat="1" applyFont="1" applyBorder="1" applyAlignment="1">
      <alignment horizontal="center"/>
    </xf>
    <xf numFmtId="166" fontId="17" fillId="0" borderId="37" xfId="0" applyNumberFormat="1" applyFont="1" applyBorder="1" applyAlignment="1">
      <alignment horizontal="center"/>
    </xf>
    <xf numFmtId="0" fontId="0" fillId="18" borderId="21" xfId="0" applyFill="1" applyBorder="1" applyAlignment="1">
      <alignment horizontal="center"/>
    </xf>
    <xf numFmtId="0" fontId="0" fillId="18" borderId="22" xfId="0" applyFill="1" applyBorder="1" applyAlignment="1">
      <alignment horizontal="center"/>
    </xf>
    <xf numFmtId="0" fontId="0" fillId="18" borderId="23" xfId="0" applyFill="1" applyBorder="1" applyAlignment="1">
      <alignment horizontal="center"/>
    </xf>
    <xf numFmtId="0" fontId="0" fillId="18" borderId="24" xfId="0" applyFill="1" applyBorder="1" applyAlignment="1">
      <alignment horizontal="center"/>
    </xf>
    <xf numFmtId="0" fontId="0" fillId="18" borderId="18" xfId="0" applyFill="1" applyBorder="1" applyAlignment="1">
      <alignment horizontal="center"/>
    </xf>
    <xf numFmtId="0" fontId="0" fillId="18" borderId="25" xfId="0" applyFill="1" applyBorder="1" applyAlignment="1">
      <alignment horizontal="center"/>
    </xf>
    <xf numFmtId="0" fontId="0" fillId="0" borderId="11" xfId="0" applyBorder="1" applyAlignment="1">
      <alignment horizontal="center"/>
    </xf>
    <xf numFmtId="0" fontId="0" fillId="0" borderId="0" xfId="0" applyAlignment="1">
      <alignment horizontal="center"/>
    </xf>
    <xf numFmtId="0" fontId="0" fillId="0" borderId="12" xfId="0" applyBorder="1" applyAlignment="1">
      <alignment horizontal="center"/>
    </xf>
    <xf numFmtId="166" fontId="17" fillId="0" borderId="16" xfId="0" applyNumberFormat="1" applyFont="1" applyBorder="1" applyAlignment="1">
      <alignment horizontal="center"/>
    </xf>
    <xf numFmtId="0" fontId="17" fillId="0" borderId="38" xfId="0" applyFont="1" applyBorder="1" applyAlignment="1">
      <alignment horizontal="center"/>
    </xf>
    <xf numFmtId="0" fontId="17" fillId="0" borderId="14" xfId="0" applyFont="1" applyBorder="1" applyAlignment="1">
      <alignment horizontal="center"/>
    </xf>
    <xf numFmtId="0" fontId="17" fillId="0" borderId="52" xfId="0" applyFont="1" applyBorder="1" applyAlignment="1">
      <alignment horizontal="center"/>
    </xf>
    <xf numFmtId="166" fontId="17" fillId="0" borderId="51" xfId="0" applyNumberFormat="1" applyFont="1" applyBorder="1" applyAlignment="1">
      <alignment horizontal="center"/>
    </xf>
    <xf numFmtId="166" fontId="17" fillId="0" borderId="14" xfId="0" applyNumberFormat="1" applyFont="1" applyBorder="1" applyAlignment="1">
      <alignment horizontal="center"/>
    </xf>
    <xf numFmtId="166" fontId="17" fillId="0" borderId="39" xfId="0" applyNumberFormat="1" applyFont="1" applyBorder="1" applyAlignment="1">
      <alignment horizontal="center"/>
    </xf>
    <xf numFmtId="0" fontId="19" fillId="14" borderId="26" xfId="0" applyFont="1" applyFill="1" applyBorder="1" applyAlignment="1">
      <alignment horizontal="center" vertical="center"/>
    </xf>
    <xf numFmtId="0" fontId="19" fillId="14" borderId="27" xfId="0" applyFont="1" applyFill="1" applyBorder="1" applyAlignment="1">
      <alignment horizontal="center" vertical="center"/>
    </xf>
    <xf numFmtId="166" fontId="3" fillId="14" borderId="27" xfId="3" applyNumberFormat="1" applyFont="1" applyFill="1" applyBorder="1" applyAlignment="1">
      <alignment horizontal="center" vertical="center"/>
    </xf>
    <xf numFmtId="166" fontId="3" fillId="14" borderId="28" xfId="3" applyNumberFormat="1" applyFont="1" applyFill="1" applyBorder="1" applyAlignment="1">
      <alignment horizontal="center" vertical="center"/>
    </xf>
    <xf numFmtId="0" fontId="15" fillId="16" borderId="47" xfId="0" applyFont="1" applyFill="1" applyBorder="1" applyAlignment="1">
      <alignment horizontal="center" vertical="center"/>
    </xf>
    <xf numFmtId="0" fontId="15" fillId="16" borderId="48" xfId="0" applyFont="1" applyFill="1" applyBorder="1" applyAlignment="1">
      <alignment horizontal="center" vertical="center"/>
    </xf>
    <xf numFmtId="0" fontId="15" fillId="16" borderId="49" xfId="0" applyFont="1" applyFill="1" applyBorder="1" applyAlignment="1">
      <alignment horizontal="center" vertical="center"/>
    </xf>
    <xf numFmtId="0" fontId="20" fillId="19" borderId="61" xfId="0" applyFont="1" applyFill="1" applyBorder="1" applyAlignment="1">
      <alignment horizontal="center" vertical="center"/>
    </xf>
    <xf numFmtId="0" fontId="20" fillId="19" borderId="62" xfId="0" applyFont="1" applyFill="1" applyBorder="1" applyAlignment="1">
      <alignment horizontal="center" vertical="center"/>
    </xf>
    <xf numFmtId="0" fontId="20" fillId="19" borderId="63" xfId="0" applyFont="1" applyFill="1" applyBorder="1" applyAlignment="1">
      <alignment horizontal="center" vertical="center"/>
    </xf>
    <xf numFmtId="0" fontId="20" fillId="19" borderId="60" xfId="0" applyFont="1" applyFill="1" applyBorder="1" applyAlignment="1">
      <alignment horizontal="center" vertical="center"/>
    </xf>
    <xf numFmtId="0" fontId="19" fillId="14" borderId="56" xfId="0" applyFont="1" applyFill="1" applyBorder="1" applyAlignment="1">
      <alignment horizontal="center" vertical="center"/>
    </xf>
    <xf numFmtId="0" fontId="19" fillId="14" borderId="57" xfId="0" applyFont="1" applyFill="1" applyBorder="1" applyAlignment="1">
      <alignment horizontal="center" vertical="center"/>
    </xf>
    <xf numFmtId="166" fontId="3" fillId="14" borderId="57" xfId="3" applyNumberFormat="1" applyFont="1" applyFill="1" applyBorder="1" applyAlignment="1">
      <alignment horizontal="center" vertical="center"/>
    </xf>
    <xf numFmtId="166" fontId="3" fillId="14" borderId="58" xfId="3" applyNumberFormat="1" applyFont="1" applyFill="1" applyBorder="1" applyAlignment="1">
      <alignment horizontal="center" vertical="center"/>
    </xf>
    <xf numFmtId="166" fontId="3" fillId="14" borderId="7" xfId="3" applyNumberFormat="1" applyFont="1" applyFill="1" applyBorder="1" applyAlignment="1">
      <alignment horizontal="center" vertical="center"/>
    </xf>
    <xf numFmtId="166" fontId="3" fillId="14" borderId="59" xfId="3" applyNumberFormat="1" applyFont="1" applyFill="1" applyBorder="1" applyAlignment="1">
      <alignment horizontal="center" vertical="center"/>
    </xf>
    <xf numFmtId="0" fontId="19" fillId="14" borderId="50" xfId="0" applyFont="1" applyFill="1" applyBorder="1" applyAlignment="1">
      <alignment horizontal="center" vertical="center"/>
    </xf>
    <xf numFmtId="0" fontId="19" fillId="14" borderId="7" xfId="0" applyFont="1" applyFill="1" applyBorder="1" applyAlignment="1">
      <alignment horizontal="center" vertical="center"/>
    </xf>
    <xf numFmtId="0" fontId="0" fillId="0" borderId="24" xfId="0" applyBorder="1" applyAlignment="1">
      <alignment horizontal="center"/>
    </xf>
    <xf numFmtId="0" fontId="0" fillId="0" borderId="18" xfId="0" applyBorder="1" applyAlignment="1">
      <alignment horizontal="center"/>
    </xf>
    <xf numFmtId="0" fontId="0" fillId="0" borderId="25" xfId="0" applyBorder="1" applyAlignment="1">
      <alignment horizontal="center"/>
    </xf>
    <xf numFmtId="0" fontId="21" fillId="21" borderId="21" xfId="0" applyFont="1" applyFill="1" applyBorder="1" applyAlignment="1">
      <alignment horizontal="center" vertical="center"/>
    </xf>
    <xf numFmtId="0" fontId="21" fillId="21" borderId="22" xfId="0" applyFont="1" applyFill="1" applyBorder="1" applyAlignment="1">
      <alignment horizontal="center" vertical="center"/>
    </xf>
    <xf numFmtId="0" fontId="21" fillId="21" borderId="23" xfId="0" applyFont="1" applyFill="1" applyBorder="1" applyAlignment="1">
      <alignment horizontal="center" vertical="center"/>
    </xf>
    <xf numFmtId="0" fontId="21" fillId="21" borderId="45" xfId="0" applyFont="1" applyFill="1" applyBorder="1" applyAlignment="1">
      <alignment horizontal="center" vertical="center"/>
    </xf>
    <xf numFmtId="0" fontId="21" fillId="21" borderId="15" xfId="0" applyFont="1" applyFill="1" applyBorder="1" applyAlignment="1">
      <alignment horizontal="center" vertical="center"/>
    </xf>
    <xf numFmtId="0" fontId="21" fillId="21" borderId="46" xfId="0" applyFont="1" applyFill="1" applyBorder="1" applyAlignment="1">
      <alignment horizontal="center" vertical="center"/>
    </xf>
    <xf numFmtId="0" fontId="0" fillId="0" borderId="43" xfId="0" applyBorder="1" applyAlignment="1">
      <alignment horizontal="center"/>
    </xf>
    <xf numFmtId="166" fontId="0" fillId="0" borderId="0" xfId="0" applyNumberFormat="1" applyAlignment="1">
      <alignment horizontal="center"/>
    </xf>
    <xf numFmtId="166" fontId="0" fillId="0" borderId="44" xfId="0" applyNumberFormat="1" applyBorder="1" applyAlignment="1">
      <alignment horizontal="center"/>
    </xf>
    <xf numFmtId="166" fontId="0" fillId="0" borderId="18" xfId="0" applyNumberFormat="1" applyBorder="1" applyAlignment="1">
      <alignment horizontal="center"/>
    </xf>
    <xf numFmtId="166" fontId="0" fillId="0" borderId="25" xfId="0" applyNumberFormat="1" applyBorder="1" applyAlignment="1">
      <alignment horizontal="center"/>
    </xf>
    <xf numFmtId="0" fontId="0" fillId="20" borderId="24" xfId="0" applyFill="1" applyBorder="1" applyAlignment="1">
      <alignment horizontal="center"/>
    </xf>
    <xf numFmtId="0" fontId="0" fillId="20" borderId="18" xfId="0" applyFill="1" applyBorder="1" applyAlignment="1">
      <alignment horizontal="center"/>
    </xf>
    <xf numFmtId="0" fontId="0" fillId="20" borderId="25" xfId="0" applyFill="1" applyBorder="1" applyAlignment="1">
      <alignment horizontal="center"/>
    </xf>
    <xf numFmtId="0" fontId="25" fillId="0" borderId="66" xfId="0" applyFont="1" applyBorder="1" applyAlignment="1">
      <alignment horizontal="center"/>
    </xf>
    <xf numFmtId="0" fontId="25" fillId="0" borderId="60" xfId="0" applyFont="1" applyBorder="1" applyAlignment="1">
      <alignment horizontal="center"/>
    </xf>
  </cellXfs>
  <cellStyles count="5">
    <cellStyle name="Currency" xfId="3" builtinId="4"/>
    <cellStyle name="Hyperlink" xfId="1" builtinId="8"/>
    <cellStyle name="Normal" xfId="0" builtinId="0"/>
    <cellStyle name="Normal 2" xfId="4" xr:uid="{4A9C6610-1814-4F2E-AFA4-473A2232DB27}"/>
    <cellStyle name="Percent" xfId="2" builtinId="5"/>
  </cellStyles>
  <dxfs count="86">
    <dxf>
      <border>
        <left style="thin">
          <color auto="1"/>
        </left>
        <right style="thin">
          <color auto="1"/>
        </right>
        <top style="thin">
          <color auto="1"/>
        </top>
        <bottom style="thin">
          <color auto="1"/>
        </bottom>
        <vertical/>
        <horizontal/>
      </border>
    </dxf>
    <dxf>
      <border>
        <left style="dashDotDot">
          <color auto="1"/>
        </left>
        <right style="dashDotDot">
          <color auto="1"/>
        </right>
        <top style="dashDotDot">
          <color auto="1"/>
        </top>
        <bottom style="dashDotDot">
          <color auto="1"/>
        </bottom>
        <vertical/>
        <horizontal/>
      </border>
    </dxf>
    <dxf>
      <border>
        <left style="dotted">
          <color auto="1"/>
        </left>
        <right style="dotted">
          <color auto="1"/>
        </right>
        <top style="dotted">
          <color auto="1"/>
        </top>
        <bottom style="dotted">
          <color auto="1"/>
        </bottom>
        <vertical/>
        <horizontal/>
      </border>
    </dxf>
    <dxf>
      <border>
        <left style="thin">
          <color auto="1"/>
        </left>
        <right style="thin">
          <color auto="1"/>
        </right>
        <top style="thin">
          <color auto="1"/>
        </top>
        <bottom style="thin">
          <color auto="1"/>
        </bottom>
        <vertical/>
        <horizontal/>
      </border>
    </dxf>
    <dxf>
      <font>
        <color theme="1" tint="4.9989318521683403E-2"/>
      </font>
      <fill>
        <patternFill>
          <bgColor theme="0" tint="-0.14996795556505021"/>
        </patternFill>
      </fill>
    </dxf>
    <dxf>
      <font>
        <color theme="1" tint="0.34998626667073579"/>
      </font>
      <fill>
        <patternFill>
          <bgColor theme="4" tint="0.79998168889431442"/>
        </patternFill>
      </fill>
      <border>
        <left style="thin">
          <color auto="1"/>
        </left>
        <right style="thin">
          <color auto="1"/>
        </right>
        <top style="thin">
          <color auto="1"/>
        </top>
        <bottom style="thin">
          <color auto="1"/>
        </bottom>
        <vertical/>
        <horizontal/>
      </border>
    </dxf>
    <dxf>
      <font>
        <color theme="1" tint="4.9989318521683403E-2"/>
      </font>
    </dxf>
    <dxf>
      <font>
        <color theme="1" tint="4.9989318521683403E-2"/>
      </font>
      <fill>
        <patternFill>
          <bgColor theme="0" tint="-0.14996795556505021"/>
        </patternFill>
      </fill>
    </dxf>
    <dxf>
      <font>
        <color rgb="FFFF3300"/>
      </font>
    </dxf>
    <dxf>
      <font>
        <color theme="7" tint="-0.499984740745262"/>
      </font>
    </dxf>
    <dxf>
      <font>
        <color rgb="FFCC0000"/>
      </font>
    </dxf>
    <dxf>
      <font>
        <color theme="6" tint="-0.24994659260841701"/>
      </font>
    </dxf>
    <dxf>
      <font>
        <color theme="6" tint="0.39994506668294322"/>
      </font>
    </dxf>
    <dxf>
      <border>
        <left style="thin">
          <color rgb="FF9C0006"/>
        </left>
        <right style="thin">
          <color rgb="FF9C0006"/>
        </right>
        <top style="thin">
          <color rgb="FF9C0006"/>
        </top>
        <bottom style="thin">
          <color rgb="FF9C0006"/>
        </bottom>
      </border>
    </dxf>
    <dxf>
      <font>
        <color theme="1" tint="4.9989318521683403E-2"/>
      </font>
    </dxf>
    <dxf>
      <font>
        <color theme="1" tint="4.9989318521683403E-2"/>
      </font>
    </dxf>
    <dxf>
      <font>
        <color theme="1" tint="0.34998626667073579"/>
      </font>
      <fill>
        <patternFill>
          <bgColor theme="4" tint="0.79998168889431442"/>
        </patternFill>
      </fill>
      <border>
        <left style="thin">
          <color auto="1"/>
        </left>
        <right style="thin">
          <color auto="1"/>
        </right>
        <top style="thin">
          <color auto="1"/>
        </top>
        <bottom style="thin">
          <color auto="1"/>
        </bottom>
        <vertical/>
        <horizontal/>
      </border>
    </dxf>
    <dxf>
      <font>
        <color theme="1" tint="4.9989318521683403E-2"/>
      </font>
    </dxf>
    <dxf>
      <font>
        <color theme="1" tint="4.9989318521683403E-2"/>
      </font>
      <fill>
        <patternFill>
          <bgColor theme="0" tint="-0.14996795556505021"/>
        </patternFill>
      </fill>
    </dxf>
    <dxf>
      <font>
        <color rgb="FFFF3300"/>
      </font>
    </dxf>
    <dxf>
      <font>
        <color theme="7" tint="-0.499984740745262"/>
      </font>
    </dxf>
    <dxf>
      <font>
        <color rgb="FFCC0000"/>
      </font>
    </dxf>
    <dxf>
      <font>
        <color theme="6" tint="-0.24994659260841701"/>
      </font>
    </dxf>
    <dxf>
      <font>
        <color theme="6" tint="0.39994506668294322"/>
      </font>
    </dxf>
    <dxf>
      <border>
        <left style="thin">
          <color rgb="FF9C0006"/>
        </left>
        <right style="thin">
          <color rgb="FF9C0006"/>
        </right>
        <top style="thin">
          <color rgb="FF9C0006"/>
        </top>
        <bottom style="thin">
          <color rgb="FF9C0006"/>
        </bottom>
      </border>
    </dxf>
    <dxf>
      <font>
        <color theme="1" tint="4.9989318521683403E-2"/>
      </font>
    </dxf>
    <dxf>
      <font>
        <color theme="1" tint="4.9989318521683403E-2"/>
      </font>
    </dxf>
    <dxf>
      <font>
        <color theme="1" tint="4.9989318521683403E-2"/>
      </font>
    </dxf>
    <dxf>
      <font>
        <color theme="1" tint="4.9989318521683403E-2"/>
      </font>
      <fill>
        <patternFill>
          <bgColor theme="0" tint="-0.14996795556505021"/>
        </patternFill>
      </fill>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b/>
      </font>
      <numFmt numFmtId="166" formatCode="_ [$₹-4009]\ * #,##0.00_ ;_ [$₹-4009]\ * \-#,##0.00_ ;_ [$₹-4009]\ * &quot;-&quot;??_ ;_ @_ "/>
    </dxf>
    <dxf>
      <font>
        <b/>
      </font>
      <numFmt numFmtId="166" formatCode="_ [$₹-4009]\ * #,##0.00_ ;_ [$₹-4009]\ * \-#,##0.00_ ;_ [$₹-4009]\ * &quot;-&quot;??_ ;_ @_ "/>
    </dxf>
    <dxf>
      <font>
        <b/>
      </font>
      <numFmt numFmtId="166" formatCode="_ [$₹-4009]\ * #,##0.00_ ;_ [$₹-4009]\ * \-#,##0.00_ ;_ [$₹-4009]\ * &quot;-&quot;??_ ;_ @_ "/>
    </dxf>
    <dxf>
      <font>
        <b/>
      </font>
      <numFmt numFmtId="166" formatCode="_ [$₹-4009]\ * #,##0.00_ ;_ [$₹-4009]\ * \-#,##0.00_ ;_ [$₹-4009]\ * &quot;-&quot;??_ ;_ @_ "/>
    </dxf>
    <dxf>
      <font>
        <b/>
      </font>
      <numFmt numFmtId="166" formatCode="_ [$₹-4009]\ * #,##0.00_ ;_ [$₹-4009]\ * \-#,##0.00_ ;_ [$₹-4009]\ * &quot;-&quot;??_ ;_ @_ "/>
    </dxf>
    <dxf>
      <font>
        <b/>
      </font>
      <numFmt numFmtId="166"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b/>
      </font>
      <numFmt numFmtId="166" formatCode="_ [$₹-4009]\ * #,##0.00_ ;_ [$₹-4009]\ * \-#,##0.00_ ;_ [$₹-4009]\ * &quot;-&quot;??_ ;_ @_ "/>
    </dxf>
    <dxf>
      <font>
        <b/>
      </font>
      <numFmt numFmtId="166" formatCode="_ [$₹-4009]\ * #,##0.00_ ;_ [$₹-4009]\ * \-#,##0.00_ ;_ [$₹-4009]\ * &quot;-&quot;??_ ;_ @_ "/>
    </dxf>
    <dxf>
      <font>
        <b/>
      </font>
      <numFmt numFmtId="166" formatCode="_ [$₹-4009]\ * #,##0.00_ ;_ [$₹-4009]\ * \-#,##0.00_ ;_ [$₹-4009]\ * &quot;-&quot;??_ ;_ @_ "/>
    </dxf>
    <dxf>
      <font>
        <b/>
      </font>
      <numFmt numFmtId="166" formatCode="_ [$₹-4009]\ * #,##0.00_ ;_ [$₹-4009]\ * \-#,##0.00_ ;_ [$₹-4009]\ * &quot;-&quot;??_ ;_ @_ "/>
    </dxf>
    <dxf>
      <font>
        <b/>
      </font>
      <numFmt numFmtId="166" formatCode="_ [$₹-4009]\ * #,##0.00_ ;_ [$₹-4009]\ * \-#,##0.00_ ;_ [$₹-4009]\ * &quot;-&quot;??_ ;_ @_ "/>
    </dxf>
    <dxf>
      <font>
        <b/>
      </font>
      <numFmt numFmtId="166" formatCode="_ [$₹-4009]\ * #,##0.00_ ;_ [$₹-4009]\ * \-#,##0.00_ ;_ [$₹-4009]\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font>
        <b/>
      </font>
    </dxf>
    <dxf>
      <font>
        <b/>
        <i val="0"/>
        <sz val="11"/>
        <color theme="1"/>
        <name val="Gill Sans MT"/>
        <family val="2"/>
        <scheme val="minor"/>
      </font>
      <border diagonalUp="0" diagonalDown="0">
        <left/>
        <right/>
        <top/>
        <bottom/>
        <vertical/>
        <horizontal/>
      </border>
    </dxf>
    <dxf>
      <fill>
        <patternFill patternType="solid">
          <fgColor theme="0"/>
          <bgColor theme="7" tint="0.39994506668294322"/>
        </patternFill>
      </fill>
      <border diagonalUp="0" diagonalDown="0">
        <left/>
        <right/>
        <top/>
        <bottom/>
        <vertical/>
        <horizontal/>
      </border>
    </dxf>
    <dxf>
      <font>
        <b/>
        <i val="0"/>
      </font>
      <fill>
        <patternFill patternType="none">
          <fgColor indexed="64"/>
          <bgColor auto="1"/>
        </patternFill>
      </fill>
      <border diagonalUp="0" diagonalDown="0">
        <left/>
        <right/>
        <top/>
        <bottom/>
        <vertical/>
        <horizontal/>
      </border>
    </dxf>
    <dxf>
      <fill>
        <patternFill>
          <bgColor theme="7" tint="0.59996337778862885"/>
        </patternFill>
      </fill>
    </dxf>
    <dxf>
      <fill>
        <patternFill>
          <fgColor theme="7" tint="0.39994506668294322"/>
        </patternFill>
      </fill>
    </dxf>
    <dxf>
      <fill>
        <patternFill patternType="darkUp">
          <fgColor theme="7" tint="0.39994506668294322"/>
        </patternFill>
      </fill>
    </dxf>
    <dxf>
      <font>
        <color theme="7" tint="0.39994506668294322"/>
      </font>
      <fill>
        <patternFill>
          <fgColor theme="7" tint="0.39994506668294322"/>
        </patternFill>
      </fill>
      <border diagonalUp="0" diagonalDown="0">
        <left/>
        <right/>
        <top/>
        <bottom/>
        <vertical/>
        <horizontal/>
      </border>
    </dxf>
    <dxf>
      <font>
        <b/>
        <i val="0"/>
      </font>
      <border diagonalUp="0" diagonalDown="0">
        <left/>
        <right/>
        <top/>
        <bottom/>
        <vertical/>
        <horizontal/>
      </border>
    </dxf>
    <dxf>
      <fill>
        <patternFill patternType="solid">
          <bgColor theme="7" tint="0.39994506668294322"/>
        </patternFill>
      </fill>
      <border diagonalUp="0" diagonalDown="0">
        <left/>
        <right/>
        <top/>
        <bottom/>
        <vertical/>
        <horizontal/>
      </border>
    </dxf>
  </dxfs>
  <tableStyles count="6" defaultTableStyle="TableStyleMedium2" defaultPivotStyle="PivotStyleLight16">
    <tableStyle name="Clean_Slicer" pivot="0" table="0" count="2" xr9:uid="{4A99D4BD-568D-459A-ADC0-E3C77B95A94C}">
      <tableStyleElement type="wholeTable" dxfId="85"/>
      <tableStyleElement type="headerRow" dxfId="84"/>
    </tableStyle>
    <tableStyle name="Slicer Style 1" pivot="0" table="0" count="1" xr9:uid="{94051923-7D38-4BD1-8C6D-9C7B2A0062D1}">
      <tableStyleElement type="wholeTable" dxfId="83"/>
    </tableStyle>
    <tableStyle name="Slicer Style 2" pivot="0" table="0" count="1" xr9:uid="{8088E445-CECF-4AD9-BFF6-ACB7A628AA22}">
      <tableStyleElement type="wholeTable" dxfId="82"/>
    </tableStyle>
    <tableStyle name="Slicer Style 3" pivot="0" table="0" count="2" xr9:uid="{958F232A-01B6-458C-A1ED-B265C3CABC7F}">
      <tableStyleElement type="wholeTable" dxfId="81"/>
      <tableStyleElement type="headerRow" dxfId="80"/>
    </tableStyle>
    <tableStyle name="Slicer Style 4" pivot="0" table="0" count="1" xr9:uid="{FD82E016-BB78-4893-9A1D-0F6F0E37D6AB}">
      <tableStyleElement type="wholeTable" dxfId="79"/>
    </tableStyle>
    <tableStyle name="Timeline Style 1" pivot="0" table="0" count="8" xr9:uid="{FD28F9FA-037E-43AA-88C1-82D4A6CCE3AD}">
      <tableStyleElement type="wholeTable" dxfId="78"/>
      <tableStyleElement type="headerRow" dxfId="77"/>
    </tableStyle>
  </tableStyles>
  <colors>
    <mruColors>
      <color rgb="FFFF3300"/>
      <color rgb="FFCC0000"/>
    </mruColors>
  </colors>
  <extLst>
    <ext xmlns:x14="http://schemas.microsoft.com/office/spreadsheetml/2009/9/main" uri="{EB79DEF2-80B8-43e5-95BD-54CBDDF9020C}">
      <x14:slicerStyles defaultSlicerStyle="SlicerStyleLight1">
        <x14:slicerStyle name="Clean_Slicer"/>
        <x14:slicerStyle name="Slicer Style 1"/>
        <x14:slicerStyle name="Slicer Style 2"/>
        <x14:slicerStyle name="Slicer Style 3"/>
        <x14:slicerStyle name="Slicer Style 4"/>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[Corporate_sales_data (1).xlsx]working Sales Dashboard !PivotTable2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62029746281715"/>
          <c:y val="0.37404673374161562"/>
          <c:w val="0.63597353455818018"/>
          <c:h val="0.54485710119568387"/>
        </c:manualLayout>
      </c:layout>
      <c:barChart>
        <c:barDir val="col"/>
        <c:grouping val="stacked"/>
        <c:varyColors val="0"/>
        <c:ser>
          <c:idx val="0"/>
          <c:order val="0"/>
          <c:tx>
            <c:strRef>
              <c:f>'working Sales Dashboard '!$D$9</c:f>
              <c:strCache>
                <c:ptCount val="1"/>
                <c:pt idx="0">
                  <c:v>Total</c:v>
                </c:pt>
              </c:strCache>
            </c:strRef>
          </c:tx>
          <c:spPr>
            <a:solidFill>
              <a:schemeClr val="accent1"/>
            </a:solidFill>
            <a:ln>
              <a:noFill/>
            </a:ln>
            <a:effectLst/>
          </c:spPr>
          <c:invertIfNegative val="0"/>
          <c:cat>
            <c:strRef>
              <c:f>'working Sales Dashboard '!$C$10:$C$14</c:f>
              <c:strCache>
                <c:ptCount val="4"/>
                <c:pt idx="0">
                  <c:v>East</c:v>
                </c:pt>
                <c:pt idx="1">
                  <c:v>North</c:v>
                </c:pt>
                <c:pt idx="2">
                  <c:v>South</c:v>
                </c:pt>
                <c:pt idx="3">
                  <c:v>West</c:v>
                </c:pt>
              </c:strCache>
            </c:strRef>
          </c:cat>
          <c:val>
            <c:numRef>
              <c:f>'working Sales Dashboard '!$D$10:$D$14</c:f>
              <c:numCache>
                <c:formatCode>_ [$₹-4009]\ * #,##0.00_ ;_ [$₹-4009]\ * \-#,##0.00_ ;_ [$₹-4009]\ * "-"??_ ;_ @_ </c:formatCode>
                <c:ptCount val="4"/>
                <c:pt idx="0">
                  <c:v>4041922</c:v>
                </c:pt>
                <c:pt idx="1">
                  <c:v>10022852.5</c:v>
                </c:pt>
                <c:pt idx="2">
                  <c:v>7493791.5</c:v>
                </c:pt>
                <c:pt idx="3">
                  <c:v>13203531.5</c:v>
                </c:pt>
              </c:numCache>
            </c:numRef>
          </c:val>
          <c:extLst>
            <c:ext xmlns:c16="http://schemas.microsoft.com/office/drawing/2014/chart" uri="{C3380CC4-5D6E-409C-BE32-E72D297353CC}">
              <c16:uniqueId val="{00000000-3C83-4F66-A6B9-8A3AC2F33BE4}"/>
            </c:ext>
          </c:extLst>
        </c:ser>
        <c:dLbls>
          <c:showLegendKey val="0"/>
          <c:showVal val="0"/>
          <c:showCatName val="0"/>
          <c:showSerName val="0"/>
          <c:showPercent val="0"/>
          <c:showBubbleSize val="0"/>
        </c:dLbls>
        <c:gapWidth val="150"/>
        <c:overlap val="100"/>
        <c:axId val="914127952"/>
        <c:axId val="1060899024"/>
      </c:barChart>
      <c:catAx>
        <c:axId val="91412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899024"/>
        <c:crosses val="autoZero"/>
        <c:auto val="1"/>
        <c:lblAlgn val="ctr"/>
        <c:lblOffset val="100"/>
        <c:noMultiLvlLbl val="0"/>
      </c:catAx>
      <c:valAx>
        <c:axId val="1060899024"/>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12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[Corporate_sales_data (1).xlsx]working Sales Dashboard !PivotTable3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38100" dist="25400" dir="5400000" rotWithShape="0">
              <a:srgbClr val="000000">
                <a:alpha val="5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38100" dist="25400" dir="5400000" rotWithShape="0">
              <a:srgbClr val="000000">
                <a:alpha val="55000"/>
              </a:srgbClr>
            </a:outerShdw>
          </a:effectLst>
        </c:spPr>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38100" dist="25400" dir="5400000" rotWithShape="0">
              <a:srgbClr val="000000">
                <a:alpha val="55000"/>
              </a:srgbClr>
            </a:outerShdw>
          </a:effectLst>
        </c:spPr>
      </c:pivotFmt>
      <c:pivotFmt>
        <c:idx val="3"/>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38100" dist="25400" dir="5400000" rotWithShape="0">
              <a:srgbClr val="000000">
                <a:alpha val="55000"/>
              </a:srgbClr>
            </a:outerShdw>
          </a:effectLst>
        </c:spPr>
      </c:pivotFmt>
    </c:pivotFmts>
    <c:plotArea>
      <c:layout/>
      <c:pieChart>
        <c:varyColors val="1"/>
        <c:ser>
          <c:idx val="0"/>
          <c:order val="0"/>
          <c:tx>
            <c:strRef>
              <c:f>'working Sales Dashboard '!$G$9</c:f>
              <c:strCache>
                <c:ptCount val="1"/>
                <c:pt idx="0">
                  <c:v>Total</c:v>
                </c:pt>
              </c:strCache>
            </c:strRef>
          </c:tx>
          <c:dPt>
            <c:idx val="0"/>
            <c:bubble3D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38100" dist="25400" dir="5400000" rotWithShape="0">
                  <a:srgbClr val="000000">
                    <a:alpha val="55000"/>
                  </a:srgbClr>
                </a:outerShdw>
              </a:effectLst>
            </c:spPr>
            <c:extLst>
              <c:ext xmlns:c16="http://schemas.microsoft.com/office/drawing/2014/chart" uri="{C3380CC4-5D6E-409C-BE32-E72D297353CC}">
                <c16:uniqueId val="{00000001-63D8-4CDC-A668-BDDD7CE07EEF}"/>
              </c:ext>
            </c:extLst>
          </c:dPt>
          <c:dPt>
            <c:idx val="1"/>
            <c:bubble3D val="0"/>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38100" dist="25400" dir="5400000" rotWithShape="0">
                  <a:srgbClr val="000000">
                    <a:alpha val="55000"/>
                  </a:srgbClr>
                </a:outerShdw>
              </a:effectLst>
            </c:spPr>
            <c:extLst>
              <c:ext xmlns:c16="http://schemas.microsoft.com/office/drawing/2014/chart" uri="{C3380CC4-5D6E-409C-BE32-E72D297353CC}">
                <c16:uniqueId val="{00000003-972E-4889-849A-84B8DF885258}"/>
              </c:ext>
            </c:extLst>
          </c:dPt>
          <c:dPt>
            <c:idx val="2"/>
            <c:bubble3D val="0"/>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38100" dist="25400" dir="5400000" rotWithShape="0">
                  <a:srgbClr val="000000">
                    <a:alpha val="55000"/>
                  </a:srgbClr>
                </a:outerShdw>
              </a:effectLst>
            </c:spPr>
            <c:extLst>
              <c:ext xmlns:c16="http://schemas.microsoft.com/office/drawing/2014/chart" uri="{C3380CC4-5D6E-409C-BE32-E72D297353CC}">
                <c16:uniqueId val="{00000005-972E-4889-849A-84B8DF885258}"/>
              </c:ext>
            </c:extLst>
          </c:dPt>
          <c:cat>
            <c:strRef>
              <c:f>'working Sales Dashboard '!$F$10:$F$13</c:f>
              <c:strCache>
                <c:ptCount val="3"/>
                <c:pt idx="0">
                  <c:v>Electronics</c:v>
                </c:pt>
                <c:pt idx="1">
                  <c:v>Home Appliances</c:v>
                </c:pt>
                <c:pt idx="2">
                  <c:v>Stationery</c:v>
                </c:pt>
              </c:strCache>
            </c:strRef>
          </c:cat>
          <c:val>
            <c:numRef>
              <c:f>'working Sales Dashboard '!$G$10:$G$13</c:f>
              <c:numCache>
                <c:formatCode>_ [$₹-4009]\ * #,##0.00_ ;_ [$₹-4009]\ * \-#,##0.00_ ;_ [$₹-4009]\ * "-"??_ ;_ @_ </c:formatCode>
                <c:ptCount val="3"/>
                <c:pt idx="0">
                  <c:v>27829619</c:v>
                </c:pt>
                <c:pt idx="1">
                  <c:v>6816975</c:v>
                </c:pt>
                <c:pt idx="2">
                  <c:v>115503.5</c:v>
                </c:pt>
              </c:numCache>
            </c:numRef>
          </c:val>
          <c:extLst>
            <c:ext xmlns:c16="http://schemas.microsoft.com/office/drawing/2014/chart" uri="{C3380CC4-5D6E-409C-BE32-E72D297353CC}">
              <c16:uniqueId val="{00000000-FB63-4654-BB09-F22F85B0F5D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[Corporate_sales_data (1).xlsx]working Sales Dashboard !PivotTable6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 Sales Dashboard '!$K$9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'working Sales Dashboard '!$J$10:$J$36</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2025</c:v>
                  </c:pt>
                  <c:pt idx="12">
                    <c:v>2026</c:v>
                  </c:pt>
                </c:lvl>
              </c:multiLvlStrCache>
            </c:multiLvlStrRef>
          </c:cat>
          <c:val>
            <c:numRef>
              <c:f>'working Sales Dashboard '!$K$10:$K$36</c:f>
              <c:numCache>
                <c:formatCode>_ [$₹-4009]\ * #,##0.00_ ;_ [$₹-4009]\ * \-#,##0.00_ ;_ [$₹-4009]\ * "-"??_ ;_ @_ </c:formatCode>
                <c:ptCount val="24"/>
                <c:pt idx="0">
                  <c:v>3848385</c:v>
                </c:pt>
                <c:pt idx="1">
                  <c:v>3367633.5</c:v>
                </c:pt>
                <c:pt idx="2">
                  <c:v>2087782.25</c:v>
                </c:pt>
                <c:pt idx="3">
                  <c:v>3169953.25</c:v>
                </c:pt>
                <c:pt idx="4">
                  <c:v>2344972.5</c:v>
                </c:pt>
                <c:pt idx="5">
                  <c:v>1579645.5</c:v>
                </c:pt>
                <c:pt idx="6">
                  <c:v>1332201.5</c:v>
                </c:pt>
                <c:pt idx="7">
                  <c:v>2527097.75</c:v>
                </c:pt>
                <c:pt idx="8">
                  <c:v>1812692.25</c:v>
                </c:pt>
                <c:pt idx="9">
                  <c:v>1600111.75</c:v>
                </c:pt>
                <c:pt idx="10">
                  <c:v>522077</c:v>
                </c:pt>
                <c:pt idx="11">
                  <c:v>2067729.75</c:v>
                </c:pt>
                <c:pt idx="12">
                  <c:v>2288950</c:v>
                </c:pt>
                <c:pt idx="13">
                  <c:v>1010360.25</c:v>
                </c:pt>
                <c:pt idx="14">
                  <c:v>2087134.5</c:v>
                </c:pt>
                <c:pt idx="15">
                  <c:v>1770884</c:v>
                </c:pt>
                <c:pt idx="16">
                  <c:v>254389</c:v>
                </c:pt>
                <c:pt idx="17">
                  <c:v>294710</c:v>
                </c:pt>
                <c:pt idx="18">
                  <c:v>130187.75</c:v>
                </c:pt>
                <c:pt idx="19">
                  <c:v>132232</c:v>
                </c:pt>
                <c:pt idx="20">
                  <c:v>63694</c:v>
                </c:pt>
                <c:pt idx="21">
                  <c:v>712</c:v>
                </c:pt>
                <c:pt idx="22">
                  <c:v>364018</c:v>
                </c:pt>
                <c:pt idx="23">
                  <c:v>104544</c:v>
                </c:pt>
              </c:numCache>
            </c:numRef>
          </c:val>
          <c:smooth val="0"/>
          <c:extLst>
            <c:ext xmlns:c16="http://schemas.microsoft.com/office/drawing/2014/chart" uri="{C3380CC4-5D6E-409C-BE32-E72D297353CC}">
              <c16:uniqueId val="{00000000-E083-4D8A-B20C-3F8948292522}"/>
            </c:ext>
          </c:extLst>
        </c:ser>
        <c:dLbls>
          <c:showLegendKey val="0"/>
          <c:showVal val="0"/>
          <c:showCatName val="0"/>
          <c:showSerName val="0"/>
          <c:showPercent val="0"/>
          <c:showBubbleSize val="0"/>
        </c:dLbls>
        <c:marker val="1"/>
        <c:smooth val="0"/>
        <c:axId val="690899584"/>
        <c:axId val="1060843344"/>
      </c:lineChart>
      <c:catAx>
        <c:axId val="69089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843344"/>
        <c:crosses val="autoZero"/>
        <c:auto val="1"/>
        <c:lblAlgn val="ctr"/>
        <c:lblOffset val="100"/>
        <c:noMultiLvlLbl val="0"/>
      </c:catAx>
      <c:valAx>
        <c:axId val="1060843344"/>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89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[Corporate_sales_data (1).xlsx]working Sales Dashboard !PivotTable2</c:name>
    <c:fmtId val="3"/>
  </c:pivotSource>
  <c:chart>
    <c:title>
      <c:tx>
        <c:rich>
          <a:bodyPr rot="0" spcFirstLastPara="1" vertOverflow="ellipsis" vert="horz" wrap="square" anchor="ctr" anchorCtr="1"/>
          <a:lstStyle/>
          <a:p>
            <a:pPr>
              <a:defRPr sz="1600" b="1" i="0" u="none" strike="noStrike" kern="1200" cap="none" spc="0" baseline="0">
                <a:ln w="0"/>
                <a:solidFill>
                  <a:schemeClr val="accent2">
                    <a:lumMod val="75000"/>
                  </a:schemeClr>
                </a:solidFill>
                <a:effectLst>
                  <a:outerShdw blurRad="38100" dist="25400" dir="5400000" algn="ctr" rotWithShape="0">
                    <a:srgbClr val="6E747A">
                      <a:alpha val="43000"/>
                    </a:srgbClr>
                  </a:outerShdw>
                </a:effectLst>
                <a:latin typeface="+mn-lt"/>
                <a:ea typeface="+mn-ea"/>
                <a:cs typeface="+mn-cs"/>
              </a:defRPr>
            </a:pPr>
            <a:r>
              <a:rPr lang="en-IN"/>
              <a:t> </a:t>
            </a:r>
            <a:r>
              <a:rPr lang="en-IN" sz="1600" b="1" i="0" u="none" strike="noStrike" cap="none" baseline="0">
                <a:effectLst>
                  <a:outerShdw blurRad="38100" dist="25400" dir="5400000" algn="ctr" rotWithShape="0">
                    <a:srgbClr val="6E747A">
                      <a:alpha val="43000"/>
                    </a:srgbClr>
                  </a:outerShdw>
                </a:effectLst>
              </a:rPr>
              <a:t>Total Sales by Region</a:t>
            </a:r>
            <a:endParaRPr lang="en-IN"/>
          </a:p>
        </c:rich>
      </c:tx>
      <c:layout>
        <c:manualLayout>
          <c:xMode val="edge"/>
          <c:yMode val="edge"/>
          <c:x val="0.25747375328083988"/>
          <c:y val="3.1730763224794969E-2"/>
        </c:manualLayout>
      </c:layout>
      <c:overlay val="0"/>
      <c:spPr>
        <a:noFill/>
        <a:ln>
          <a:noFill/>
        </a:ln>
        <a:effectLst/>
      </c:spPr>
      <c:txPr>
        <a:bodyPr rot="0" spcFirstLastPara="1" vertOverflow="ellipsis" vert="horz" wrap="square" anchor="ctr" anchorCtr="1"/>
        <a:lstStyle/>
        <a:p>
          <a:pPr>
            <a:defRPr sz="1600" b="1" i="0" u="none" strike="noStrike" kern="1200" cap="none" spc="0" baseline="0">
              <a:ln w="0"/>
              <a:solidFill>
                <a:schemeClr val="accent2">
                  <a:lumMod val="75000"/>
                </a:schemeClr>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62029746281715"/>
          <c:y val="0.37404673374161562"/>
          <c:w val="0.63597353455818018"/>
          <c:h val="0.54485710119568387"/>
        </c:manualLayout>
      </c:layout>
      <c:barChart>
        <c:barDir val="col"/>
        <c:grouping val="stacked"/>
        <c:varyColors val="0"/>
        <c:ser>
          <c:idx val="0"/>
          <c:order val="0"/>
          <c:tx>
            <c:strRef>
              <c:f>'working Sales Dashboard '!$D$9</c:f>
              <c:strCache>
                <c:ptCount val="1"/>
                <c:pt idx="0">
                  <c:v>Total</c:v>
                </c:pt>
              </c:strCache>
            </c:strRef>
          </c:tx>
          <c:spPr>
            <a:solidFill>
              <a:schemeClr val="accent5"/>
            </a:solidFill>
            <a:ln>
              <a:noFill/>
            </a:ln>
            <a:effectLst/>
          </c:spPr>
          <c:invertIfNegative val="0"/>
          <c:cat>
            <c:strRef>
              <c:f>'working Sales Dashboard '!$C$10:$C$14</c:f>
              <c:strCache>
                <c:ptCount val="4"/>
                <c:pt idx="0">
                  <c:v>East</c:v>
                </c:pt>
                <c:pt idx="1">
                  <c:v>North</c:v>
                </c:pt>
                <c:pt idx="2">
                  <c:v>South</c:v>
                </c:pt>
                <c:pt idx="3">
                  <c:v>West</c:v>
                </c:pt>
              </c:strCache>
            </c:strRef>
          </c:cat>
          <c:val>
            <c:numRef>
              <c:f>'working Sales Dashboard '!$D$10:$D$14</c:f>
              <c:numCache>
                <c:formatCode>_ [$₹-4009]\ * #,##0.00_ ;_ [$₹-4009]\ * \-#,##0.00_ ;_ [$₹-4009]\ * "-"??_ ;_ @_ </c:formatCode>
                <c:ptCount val="4"/>
                <c:pt idx="0">
                  <c:v>4041922</c:v>
                </c:pt>
                <c:pt idx="1">
                  <c:v>10022852.5</c:v>
                </c:pt>
                <c:pt idx="2">
                  <c:v>7493791.5</c:v>
                </c:pt>
                <c:pt idx="3">
                  <c:v>13203531.5</c:v>
                </c:pt>
              </c:numCache>
            </c:numRef>
          </c:val>
          <c:extLst>
            <c:ext xmlns:c16="http://schemas.microsoft.com/office/drawing/2014/chart" uri="{C3380CC4-5D6E-409C-BE32-E72D297353CC}">
              <c16:uniqueId val="{00000000-C70E-48AF-BDA9-56F78F1EDB7F}"/>
            </c:ext>
          </c:extLst>
        </c:ser>
        <c:dLbls>
          <c:showLegendKey val="0"/>
          <c:showVal val="0"/>
          <c:showCatName val="0"/>
          <c:showSerName val="0"/>
          <c:showPercent val="0"/>
          <c:showBubbleSize val="0"/>
        </c:dLbls>
        <c:gapWidth val="150"/>
        <c:overlap val="100"/>
        <c:axId val="914127952"/>
        <c:axId val="1060899024"/>
      </c:barChart>
      <c:catAx>
        <c:axId val="91412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60899024"/>
        <c:crosses val="autoZero"/>
        <c:auto val="1"/>
        <c:lblAlgn val="ctr"/>
        <c:lblOffset val="100"/>
        <c:noMultiLvlLbl val="0"/>
      </c:catAx>
      <c:valAx>
        <c:axId val="1060899024"/>
        <c:scaling>
          <c:orientation val="minMax"/>
        </c:scaling>
        <c:delete val="0"/>
        <c:axPos val="l"/>
        <c:majorGridlines>
          <c:spPr>
            <a:ln w="9525" cap="flat" cmpd="sng" algn="ctr">
              <a:no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91412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[Corporate_sales_data (1).xlsx]working Sales Dashboard !PivotTable3</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200" b="1" i="0" u="none" strike="noStrike" baseline="0"/>
              <a:t>Sales Distribution by Category</a:t>
            </a:r>
            <a:endParaRPr lang="en-IN" sz="1200" b="1"/>
          </a:p>
        </c:rich>
      </c:tx>
      <c:layout>
        <c:manualLayout>
          <c:xMode val="edge"/>
          <c:yMode val="edge"/>
          <c:x val="0.18380655587994707"/>
          <c:y val="5.363984674329502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38100" dist="25400" dir="5400000" rotWithShape="0">
              <a:srgbClr val="000000">
                <a:alpha val="5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38100" dist="25400" dir="5400000" rotWithShape="0">
              <a:srgbClr val="000000">
                <a:alpha val="55000"/>
              </a:srgbClr>
            </a:outerShdw>
          </a:effectLst>
        </c:spPr>
      </c:pivotFmt>
      <c:pivotFmt>
        <c:idx val="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38100" dist="25400" dir="5400000" rotWithShape="0">
              <a:srgbClr val="000000">
                <a:alpha val="5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38100" dist="25400" dir="5400000" rotWithShape="0">
              <a:srgbClr val="000000">
                <a:alpha val="55000"/>
              </a:srgbClr>
            </a:outerShdw>
          </a:effectLst>
        </c:spPr>
      </c:pivotFmt>
      <c:pivotFmt>
        <c:idx val="4"/>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38100" dist="25400" dir="5400000" rotWithShape="0">
              <a:srgbClr val="000000">
                <a:alpha val="55000"/>
              </a:srgbClr>
            </a:outerShdw>
          </a:effectLst>
        </c:spPr>
      </c:pivotFmt>
      <c:pivotFmt>
        <c:idx val="5"/>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38100" dist="25400" dir="5400000" rotWithShape="0">
              <a:srgbClr val="000000">
                <a:alpha val="55000"/>
              </a:srgbClr>
            </a:outerShdw>
          </a:effectLst>
        </c:spPr>
      </c:pivotFmt>
      <c:pivotFmt>
        <c:idx val="6"/>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38100" dist="25400" dir="5400000" rotWithShape="0">
              <a:srgbClr val="000000">
                <a:alpha val="5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38100" dist="25400" dir="5400000" rotWithShape="0">
              <a:srgbClr val="000000">
                <a:alpha val="55000"/>
              </a:srgbClr>
            </a:outerShdw>
          </a:effectLst>
        </c:spPr>
      </c:pivotFmt>
      <c:pivotFmt>
        <c:idx val="8"/>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38100" dist="25400" dir="5400000" rotWithShape="0">
              <a:srgbClr val="000000">
                <a:alpha val="55000"/>
              </a:srgbClr>
            </a:outerShdw>
          </a:effectLst>
        </c:spPr>
      </c:pivotFmt>
      <c:pivotFmt>
        <c:idx val="9"/>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38100" dist="25400" dir="5400000" rotWithShape="0">
              <a:srgbClr val="000000">
                <a:alpha val="55000"/>
              </a:srgbClr>
            </a:outerShdw>
          </a:effectLst>
        </c:spPr>
      </c:pivotFmt>
    </c:pivotFmts>
    <c:plotArea>
      <c:layout>
        <c:manualLayout>
          <c:layoutTarget val="inner"/>
          <c:xMode val="edge"/>
          <c:yMode val="edge"/>
          <c:x val="0.13413868056255307"/>
          <c:y val="0.21196184130829801"/>
          <c:w val="0.29413148310757314"/>
          <c:h val="0.61880738946093272"/>
        </c:manualLayout>
      </c:layout>
      <c:pieChart>
        <c:varyColors val="1"/>
        <c:ser>
          <c:idx val="0"/>
          <c:order val="0"/>
          <c:tx>
            <c:strRef>
              <c:f>'working Sales Dashboard '!$G$9</c:f>
              <c:strCache>
                <c:ptCount val="1"/>
                <c:pt idx="0">
                  <c:v>Total</c:v>
                </c:pt>
              </c:strCache>
            </c:strRef>
          </c:tx>
          <c:dPt>
            <c:idx val="0"/>
            <c:bubble3D val="0"/>
            <c:explosion val="27"/>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38100" dist="25400" dir="5400000" rotWithShape="0">
                  <a:srgbClr val="000000">
                    <a:alpha val="55000"/>
                  </a:srgbClr>
                </a:outerShdw>
              </a:effectLst>
            </c:spPr>
            <c:extLst>
              <c:ext xmlns:c16="http://schemas.microsoft.com/office/drawing/2014/chart" uri="{C3380CC4-5D6E-409C-BE32-E72D297353CC}">
                <c16:uniqueId val="{00000001-CA68-4C9A-BD40-3F91845A62DD}"/>
              </c:ext>
            </c:extLst>
          </c:dPt>
          <c:dPt>
            <c:idx val="1"/>
            <c:bubble3D val="0"/>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38100" dist="25400" dir="5400000" rotWithShape="0">
                  <a:srgbClr val="000000">
                    <a:alpha val="55000"/>
                  </a:srgbClr>
                </a:outerShdw>
              </a:effectLst>
            </c:spPr>
            <c:extLst>
              <c:ext xmlns:c16="http://schemas.microsoft.com/office/drawing/2014/chart" uri="{C3380CC4-5D6E-409C-BE32-E72D297353CC}">
                <c16:uniqueId val="{00000003-CA68-4C9A-BD40-3F91845A62DD}"/>
              </c:ext>
            </c:extLst>
          </c:dPt>
          <c:dPt>
            <c:idx val="2"/>
            <c:bubble3D val="0"/>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38100" dist="25400" dir="5400000" rotWithShape="0">
                  <a:srgbClr val="000000">
                    <a:alpha val="55000"/>
                  </a:srgbClr>
                </a:outerShdw>
              </a:effectLst>
            </c:spPr>
            <c:extLst>
              <c:ext xmlns:c16="http://schemas.microsoft.com/office/drawing/2014/chart" uri="{C3380CC4-5D6E-409C-BE32-E72D297353CC}">
                <c16:uniqueId val="{00000005-CA68-4C9A-BD40-3F91845A62DD}"/>
              </c:ext>
            </c:extLst>
          </c:dPt>
          <c:cat>
            <c:strRef>
              <c:f>'working Sales Dashboard '!$F$10:$F$13</c:f>
              <c:strCache>
                <c:ptCount val="3"/>
                <c:pt idx="0">
                  <c:v>Electronics</c:v>
                </c:pt>
                <c:pt idx="1">
                  <c:v>Home Appliances</c:v>
                </c:pt>
                <c:pt idx="2">
                  <c:v>Stationery</c:v>
                </c:pt>
              </c:strCache>
            </c:strRef>
          </c:cat>
          <c:val>
            <c:numRef>
              <c:f>'working Sales Dashboard '!$G$10:$G$13</c:f>
              <c:numCache>
                <c:formatCode>_ [$₹-4009]\ * #,##0.00_ ;_ [$₹-4009]\ * \-#,##0.00_ ;_ [$₹-4009]\ * "-"??_ ;_ @_ </c:formatCode>
                <c:ptCount val="3"/>
                <c:pt idx="0">
                  <c:v>27829619</c:v>
                </c:pt>
                <c:pt idx="1">
                  <c:v>6816975</c:v>
                </c:pt>
                <c:pt idx="2">
                  <c:v>115503.5</c:v>
                </c:pt>
              </c:numCache>
            </c:numRef>
          </c:val>
          <c:extLst>
            <c:ext xmlns:c16="http://schemas.microsoft.com/office/drawing/2014/chart" uri="{C3380CC4-5D6E-409C-BE32-E72D297353CC}">
              <c16:uniqueId val="{00000006-CA68-4C9A-BD40-3F91845A62D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[Corporate_sales_data (1).xlsx]working Sales Dashboard !PivotTable6</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rgbClr val="2683C6">
                    <a:lumMod val="75000"/>
                  </a:srgbClr>
                </a:solidFill>
                <a:latin typeface="+mn-lt"/>
                <a:ea typeface="+mn-ea"/>
                <a:cs typeface="+mn-cs"/>
              </a:defRPr>
            </a:pPr>
            <a:r>
              <a:rPr lang="en-IN">
                <a:effectLst/>
              </a:rPr>
              <a:t>Monthly Sales Trend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rgbClr val="2683C6">
                  <a:lumMod val="75000"/>
                </a:srgb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 Sales Dashboard '!$K$9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'working Sales Dashboard '!$J$10:$J$36</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2025</c:v>
                  </c:pt>
                  <c:pt idx="12">
                    <c:v>2026</c:v>
                  </c:pt>
                </c:lvl>
              </c:multiLvlStrCache>
            </c:multiLvlStrRef>
          </c:cat>
          <c:val>
            <c:numRef>
              <c:f>'working Sales Dashboard '!$K$10:$K$36</c:f>
              <c:numCache>
                <c:formatCode>_ [$₹-4009]\ * #,##0.00_ ;_ [$₹-4009]\ * \-#,##0.00_ ;_ [$₹-4009]\ * "-"??_ ;_ @_ </c:formatCode>
                <c:ptCount val="24"/>
                <c:pt idx="0">
                  <c:v>3848385</c:v>
                </c:pt>
                <c:pt idx="1">
                  <c:v>3367633.5</c:v>
                </c:pt>
                <c:pt idx="2">
                  <c:v>2087782.25</c:v>
                </c:pt>
                <c:pt idx="3">
                  <c:v>3169953.25</c:v>
                </c:pt>
                <c:pt idx="4">
                  <c:v>2344972.5</c:v>
                </c:pt>
                <c:pt idx="5">
                  <c:v>1579645.5</c:v>
                </c:pt>
                <c:pt idx="6">
                  <c:v>1332201.5</c:v>
                </c:pt>
                <c:pt idx="7">
                  <c:v>2527097.75</c:v>
                </c:pt>
                <c:pt idx="8">
                  <c:v>1812692.25</c:v>
                </c:pt>
                <c:pt idx="9">
                  <c:v>1600111.75</c:v>
                </c:pt>
                <c:pt idx="10">
                  <c:v>522077</c:v>
                </c:pt>
                <c:pt idx="11">
                  <c:v>2067729.75</c:v>
                </c:pt>
                <c:pt idx="12">
                  <c:v>2288950</c:v>
                </c:pt>
                <c:pt idx="13">
                  <c:v>1010360.25</c:v>
                </c:pt>
                <c:pt idx="14">
                  <c:v>2087134.5</c:v>
                </c:pt>
                <c:pt idx="15">
                  <c:v>1770884</c:v>
                </c:pt>
                <c:pt idx="16">
                  <c:v>254389</c:v>
                </c:pt>
                <c:pt idx="17">
                  <c:v>294710</c:v>
                </c:pt>
                <c:pt idx="18">
                  <c:v>130187.75</c:v>
                </c:pt>
                <c:pt idx="19">
                  <c:v>132232</c:v>
                </c:pt>
                <c:pt idx="20">
                  <c:v>63694</c:v>
                </c:pt>
                <c:pt idx="21">
                  <c:v>712</c:v>
                </c:pt>
                <c:pt idx="22">
                  <c:v>364018</c:v>
                </c:pt>
                <c:pt idx="23">
                  <c:v>104544</c:v>
                </c:pt>
              </c:numCache>
            </c:numRef>
          </c:val>
          <c:smooth val="0"/>
          <c:extLst>
            <c:ext xmlns:c16="http://schemas.microsoft.com/office/drawing/2014/chart" uri="{C3380CC4-5D6E-409C-BE32-E72D297353CC}">
              <c16:uniqueId val="{00000000-9B12-40EB-B48D-B9DDFE68075E}"/>
            </c:ext>
          </c:extLst>
        </c:ser>
        <c:dLbls>
          <c:showLegendKey val="0"/>
          <c:showVal val="0"/>
          <c:showCatName val="0"/>
          <c:showSerName val="0"/>
          <c:showPercent val="0"/>
          <c:showBubbleSize val="0"/>
        </c:dLbls>
        <c:marker val="1"/>
        <c:smooth val="0"/>
        <c:axId val="690899584"/>
        <c:axId val="1060843344"/>
      </c:lineChart>
      <c:catAx>
        <c:axId val="69089958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cap="none" spc="0" baseline="0">
                <a:ln w="0"/>
                <a:solidFill>
                  <a:schemeClr val="bg2">
                    <a:lumMod val="10000"/>
                  </a:schemeClr>
                </a:solidFill>
                <a:effectLst>
                  <a:outerShdw blurRad="38100" dist="25400" dir="5400000" algn="ctr" rotWithShape="0">
                    <a:srgbClr val="6E747A">
                      <a:alpha val="43000"/>
                    </a:srgbClr>
                  </a:outerShdw>
                </a:effectLst>
                <a:latin typeface="+mn-lt"/>
                <a:ea typeface="+mn-ea"/>
                <a:cs typeface="+mn-cs"/>
              </a:defRPr>
            </a:pPr>
            <a:endParaRPr lang="en-US"/>
          </a:p>
        </c:txPr>
        <c:crossAx val="1060843344"/>
        <c:crosses val="autoZero"/>
        <c:auto val="1"/>
        <c:lblAlgn val="ctr"/>
        <c:lblOffset val="100"/>
        <c:noMultiLvlLbl val="0"/>
      </c:catAx>
      <c:valAx>
        <c:axId val="1060843344"/>
        <c:scaling>
          <c:orientation val="minMax"/>
        </c:scaling>
        <c:delete val="0"/>
        <c:axPos val="l"/>
        <c:majorGridlines>
          <c:spPr>
            <a:ln w="9525" cap="flat" cmpd="sng" algn="ctr">
              <a:no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69089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88900</xdr:colOff>
      <xdr:row>6</xdr:row>
      <xdr:rowOff>0</xdr:rowOff>
    </xdr:from>
    <xdr:to>
      <xdr:col>2</xdr:col>
      <xdr:colOff>0</xdr:colOff>
      <xdr:row>8</xdr:row>
      <xdr:rowOff>0</xdr:rowOff>
    </xdr:to>
    <xdr:sp macro="" textlink="">
      <xdr:nvSpPr>
        <xdr:cNvPr id="2" name="Arrow: Right 1">
          <a:extLst>
            <a:ext uri="{FF2B5EF4-FFF2-40B4-BE49-F238E27FC236}">
              <a16:creationId xmlns:a16="http://schemas.microsoft.com/office/drawing/2014/main" id="{91AF913A-7DC8-2E32-3D76-3CFDC5956BC1}"/>
            </a:ext>
          </a:extLst>
        </xdr:cNvPr>
        <xdr:cNvSpPr/>
      </xdr:nvSpPr>
      <xdr:spPr>
        <a:xfrm>
          <a:off x="88900" y="1314450"/>
          <a:ext cx="1130300" cy="4635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n>
                <a:noFill/>
              </a:ln>
              <a:solidFill>
                <a:schemeClr val="tx1"/>
              </a:solidFill>
            </a:rPr>
            <a:t>Column</a:t>
          </a:r>
          <a:r>
            <a:rPr lang="en-IN" sz="1100"/>
            <a:t> </a:t>
          </a:r>
          <a:r>
            <a:rPr lang="en-IN" sz="1100">
              <a:solidFill>
                <a:schemeClr val="tx1"/>
              </a:solidFill>
            </a:rPr>
            <a:t>chart</a:t>
          </a:r>
        </a:p>
      </xdr:txBody>
    </xdr:sp>
    <xdr:clientData/>
  </xdr:twoCellAnchor>
  <xdr:twoCellAnchor>
    <xdr:from>
      <xdr:col>4</xdr:col>
      <xdr:colOff>139700</xdr:colOff>
      <xdr:row>6</xdr:row>
      <xdr:rowOff>6350</xdr:rowOff>
    </xdr:from>
    <xdr:to>
      <xdr:col>4</xdr:col>
      <xdr:colOff>1270000</xdr:colOff>
      <xdr:row>8</xdr:row>
      <xdr:rowOff>6350</xdr:rowOff>
    </xdr:to>
    <xdr:sp macro="" textlink="">
      <xdr:nvSpPr>
        <xdr:cNvPr id="3" name="Arrow: Right 2">
          <a:extLst>
            <a:ext uri="{FF2B5EF4-FFF2-40B4-BE49-F238E27FC236}">
              <a16:creationId xmlns:a16="http://schemas.microsoft.com/office/drawing/2014/main" id="{D3FBC9E9-452A-416B-9182-A55B6E586B57}"/>
            </a:ext>
          </a:extLst>
        </xdr:cNvPr>
        <xdr:cNvSpPr/>
      </xdr:nvSpPr>
      <xdr:spPr>
        <a:xfrm>
          <a:off x="3657600" y="1320800"/>
          <a:ext cx="1130300" cy="4635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n>
                <a:noFill/>
              </a:ln>
              <a:solidFill>
                <a:schemeClr val="tx1"/>
              </a:solidFill>
            </a:rPr>
            <a:t>Pie</a:t>
          </a:r>
          <a:r>
            <a:rPr lang="en-IN" sz="1100" baseline="0">
              <a:ln>
                <a:noFill/>
              </a:ln>
              <a:solidFill>
                <a:schemeClr val="tx1"/>
              </a:solidFill>
            </a:rPr>
            <a:t> </a:t>
          </a:r>
          <a:r>
            <a:rPr lang="en-IN" sz="1100">
              <a:solidFill>
                <a:schemeClr val="tx1"/>
              </a:solidFill>
            </a:rPr>
            <a:t>chart</a:t>
          </a:r>
        </a:p>
      </xdr:txBody>
    </xdr:sp>
    <xdr:clientData/>
  </xdr:twoCellAnchor>
  <xdr:twoCellAnchor>
    <xdr:from>
      <xdr:col>7</xdr:col>
      <xdr:colOff>173181</xdr:colOff>
      <xdr:row>6</xdr:row>
      <xdr:rowOff>6350</xdr:rowOff>
    </xdr:from>
    <xdr:to>
      <xdr:col>8</xdr:col>
      <xdr:colOff>287481</xdr:colOff>
      <xdr:row>8</xdr:row>
      <xdr:rowOff>6350</xdr:rowOff>
    </xdr:to>
    <xdr:sp macro="" textlink="">
      <xdr:nvSpPr>
        <xdr:cNvPr id="5" name="Arrow: Right 4">
          <a:extLst>
            <a:ext uri="{FF2B5EF4-FFF2-40B4-BE49-F238E27FC236}">
              <a16:creationId xmlns:a16="http://schemas.microsoft.com/office/drawing/2014/main" id="{3A27FD32-0C77-43F4-B2D7-E16C54D3EB00}"/>
            </a:ext>
          </a:extLst>
        </xdr:cNvPr>
        <xdr:cNvSpPr/>
      </xdr:nvSpPr>
      <xdr:spPr>
        <a:xfrm>
          <a:off x="7423726" y="1334077"/>
          <a:ext cx="1130300" cy="46181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ln>
                <a:noFill/>
              </a:ln>
              <a:solidFill>
                <a:schemeClr val="tx1"/>
              </a:solidFill>
            </a:rPr>
            <a:t>Line  </a:t>
          </a:r>
          <a:r>
            <a:rPr lang="en-IN" sz="1100">
              <a:solidFill>
                <a:schemeClr val="tx1"/>
              </a:solidFill>
            </a:rPr>
            <a:t>chart</a:t>
          </a:r>
        </a:p>
      </xdr:txBody>
    </xdr:sp>
    <xdr:clientData/>
  </xdr:twoCellAnchor>
  <xdr:twoCellAnchor>
    <xdr:from>
      <xdr:col>2</xdr:col>
      <xdr:colOff>0</xdr:colOff>
      <xdr:row>15</xdr:row>
      <xdr:rowOff>23519</xdr:rowOff>
    </xdr:from>
    <xdr:to>
      <xdr:col>4</xdr:col>
      <xdr:colOff>139700</xdr:colOff>
      <xdr:row>28</xdr:row>
      <xdr:rowOff>15053</xdr:rowOff>
    </xdr:to>
    <xdr:graphicFrame macro="">
      <xdr:nvGraphicFramePr>
        <xdr:cNvPr id="6" name="Chart 5">
          <a:extLst>
            <a:ext uri="{FF2B5EF4-FFF2-40B4-BE49-F238E27FC236}">
              <a16:creationId xmlns:a16="http://schemas.microsoft.com/office/drawing/2014/main" id="{3DE0509A-F0E8-01B0-64EA-B58331C69F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1730963</xdr:colOff>
      <xdr:row>15</xdr:row>
      <xdr:rowOff>0</xdr:rowOff>
    </xdr:from>
    <xdr:to>
      <xdr:col>7</xdr:col>
      <xdr:colOff>0</xdr:colOff>
      <xdr:row>27</xdr:row>
      <xdr:rowOff>203200</xdr:rowOff>
    </xdr:to>
    <xdr:graphicFrame macro="">
      <xdr:nvGraphicFramePr>
        <xdr:cNvPr id="7" name="Chart 6">
          <a:extLst>
            <a:ext uri="{FF2B5EF4-FFF2-40B4-BE49-F238E27FC236}">
              <a16:creationId xmlns:a16="http://schemas.microsoft.com/office/drawing/2014/main" id="{C8AB700C-E64A-DA60-8CF3-6CF0C95D10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582187</xdr:colOff>
      <xdr:row>0</xdr:row>
      <xdr:rowOff>0</xdr:rowOff>
    </xdr:from>
    <xdr:to>
      <xdr:col>17</xdr:col>
      <xdr:colOff>304646</xdr:colOff>
      <xdr:row>12</xdr:row>
      <xdr:rowOff>62263</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CEE8A3A1-5595-9360-98B5-4BD2DE72A69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332823" y="0"/>
              <a:ext cx="1846822" cy="2706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0</xdr:row>
      <xdr:rowOff>15488</xdr:rowOff>
    </xdr:from>
    <xdr:to>
      <xdr:col>14</xdr:col>
      <xdr:colOff>140627</xdr:colOff>
      <xdr:row>12</xdr:row>
      <xdr:rowOff>77751</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A38E5736-0E39-D4D0-FD6F-7CB275A89C4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053455" y="15488"/>
              <a:ext cx="1837809" cy="2706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337705</xdr:colOff>
      <xdr:row>2</xdr:row>
      <xdr:rowOff>69273</xdr:rowOff>
    </xdr:from>
    <xdr:to>
      <xdr:col>24</xdr:col>
      <xdr:colOff>2</xdr:colOff>
      <xdr:row>13</xdr:row>
      <xdr:rowOff>11545</xdr:rowOff>
    </xdr:to>
    <mc:AlternateContent xmlns:mc="http://schemas.openxmlformats.org/markup-compatibility/2006" xmlns:tsle="http://schemas.microsoft.com/office/drawing/2012/timeslicer">
      <mc:Choice Requires="tsle">
        <xdr:graphicFrame macro="">
          <xdr:nvGraphicFramePr>
            <xdr:cNvPr id="14" name="Dashboard_Order_Date">
              <a:extLst>
                <a:ext uri="{FF2B5EF4-FFF2-40B4-BE49-F238E27FC236}">
                  <a16:creationId xmlns:a16="http://schemas.microsoft.com/office/drawing/2014/main" id="{7ED5D3CA-B931-3A44-DFD2-29F72B702AC2}"/>
                </a:ext>
              </a:extLst>
            </xdr:cNvPr>
            <xdr:cNvGraphicFramePr/>
          </xdr:nvGraphicFramePr>
          <xdr:xfrm>
            <a:off x="0" y="0"/>
            <a:ext cx="0" cy="0"/>
          </xdr:xfrm>
          <a:graphic>
            <a:graphicData uri="http://schemas.microsoft.com/office/drawing/2012/timeslicer">
              <tsle:timeslicer name="Dashboard_Order_Date"/>
            </a:graphicData>
          </a:graphic>
        </xdr:graphicFrame>
      </mc:Choice>
      <mc:Fallback xmlns="">
        <xdr:sp macro="" textlink="">
          <xdr:nvSpPr>
            <xdr:cNvPr id="0" name=""/>
            <xdr:cNvSpPr>
              <a:spLocks noTextEdit="1"/>
            </xdr:cNvSpPr>
          </xdr:nvSpPr>
          <xdr:spPr>
            <a:xfrm>
              <a:off x="16824614" y="531091"/>
              <a:ext cx="3333751" cy="23437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11</xdr:col>
      <xdr:colOff>166098</xdr:colOff>
      <xdr:row>15</xdr:row>
      <xdr:rowOff>166255</xdr:rowOff>
    </xdr:from>
    <xdr:to>
      <xdr:col>17</xdr:col>
      <xdr:colOff>304644</xdr:colOff>
      <xdr:row>29</xdr:row>
      <xdr:rowOff>0</xdr:rowOff>
    </xdr:to>
    <xdr:graphicFrame macro="">
      <xdr:nvGraphicFramePr>
        <xdr:cNvPr id="15" name="Chart 14">
          <a:extLst>
            <a:ext uri="{FF2B5EF4-FFF2-40B4-BE49-F238E27FC236}">
              <a16:creationId xmlns:a16="http://schemas.microsoft.com/office/drawing/2014/main" id="{1F70AD8C-3846-35AF-75E2-FCC6E25664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35245</xdr:colOff>
      <xdr:row>0</xdr:row>
      <xdr:rowOff>0</xdr:rowOff>
    </xdr:from>
    <xdr:ext cx="11668125" cy="5410200"/>
    <xdr:grpSp>
      <xdr:nvGrpSpPr>
        <xdr:cNvPr id="4" name="Shape 2">
          <a:extLst>
            <a:ext uri="{FF2B5EF4-FFF2-40B4-BE49-F238E27FC236}">
              <a16:creationId xmlns:a16="http://schemas.microsoft.com/office/drawing/2014/main" id="{A2C0FC98-57C6-4C32-9A4D-034A3351A6C2}"/>
            </a:ext>
          </a:extLst>
        </xdr:cNvPr>
        <xdr:cNvGrpSpPr/>
      </xdr:nvGrpSpPr>
      <xdr:grpSpPr>
        <a:xfrm>
          <a:off x="35245" y="0"/>
          <a:ext cx="11668125" cy="5410200"/>
          <a:chOff x="0" y="1074900"/>
          <a:chExt cx="10692000" cy="5410200"/>
        </a:xfrm>
      </xdr:grpSpPr>
      <xdr:grpSp>
        <xdr:nvGrpSpPr>
          <xdr:cNvPr id="5" name="Shape 3">
            <a:extLst>
              <a:ext uri="{FF2B5EF4-FFF2-40B4-BE49-F238E27FC236}">
                <a16:creationId xmlns:a16="http://schemas.microsoft.com/office/drawing/2014/main" id="{FB34A055-C8B7-D94A-32E9-AB296D449A5F}"/>
              </a:ext>
            </a:extLst>
          </xdr:cNvPr>
          <xdr:cNvGrpSpPr/>
        </xdr:nvGrpSpPr>
        <xdr:grpSpPr>
          <a:xfrm>
            <a:off x="0" y="1074900"/>
            <a:ext cx="10692000" cy="5410200"/>
            <a:chOff x="0" y="0"/>
            <a:chExt cx="12046700" cy="5289550"/>
          </a:xfrm>
        </xdr:grpSpPr>
        <xdr:sp macro="" textlink="">
          <xdr:nvSpPr>
            <xdr:cNvPr id="6" name="Shape 4">
              <a:extLst>
                <a:ext uri="{FF2B5EF4-FFF2-40B4-BE49-F238E27FC236}">
                  <a16:creationId xmlns:a16="http://schemas.microsoft.com/office/drawing/2014/main" id="{6E238AAA-1C2E-0F34-F71F-05370406E11C}"/>
                </a:ext>
              </a:extLst>
            </xdr:cNvPr>
            <xdr:cNvSpPr/>
          </xdr:nvSpPr>
          <xdr:spPr>
            <a:xfrm>
              <a:off x="0" y="0"/>
              <a:ext cx="12046700" cy="5289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7" name="Shape 5">
              <a:extLst>
                <a:ext uri="{FF2B5EF4-FFF2-40B4-BE49-F238E27FC236}">
                  <a16:creationId xmlns:a16="http://schemas.microsoft.com/office/drawing/2014/main" id="{7A71106A-0D9D-19CD-DF12-1A907A4C9905}"/>
                </a:ext>
              </a:extLst>
            </xdr:cNvPr>
            <xdr:cNvSpPr/>
          </xdr:nvSpPr>
          <xdr:spPr>
            <a:xfrm>
              <a:off x="11652250" y="0"/>
              <a:ext cx="152400" cy="4499610"/>
            </a:xfrm>
            <a:prstGeom prst="rect">
              <a:avLst/>
            </a:prstGeom>
            <a:solidFill>
              <a:srgbClr val="319795"/>
            </a:solidFill>
            <a:ln>
              <a:noFill/>
            </a:ln>
            <a:effectLst>
              <a:outerShdw blurRad="50800" dist="38100" algn="l"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100" b="0" cap="none">
                <a:solidFill>
                  <a:schemeClr val="accent1"/>
                </a:solidFill>
              </a:endParaRPr>
            </a:p>
          </xdr:txBody>
        </xdr:sp>
        <xdr:sp macro="" textlink="">
          <xdr:nvSpPr>
            <xdr:cNvPr id="8" name="Shape 6">
              <a:extLst>
                <a:ext uri="{FF2B5EF4-FFF2-40B4-BE49-F238E27FC236}">
                  <a16:creationId xmlns:a16="http://schemas.microsoft.com/office/drawing/2014/main" id="{32C2F80E-65ED-8464-B972-420856A8D3DA}"/>
                </a:ext>
              </a:extLst>
            </xdr:cNvPr>
            <xdr:cNvSpPr/>
          </xdr:nvSpPr>
          <xdr:spPr>
            <a:xfrm>
              <a:off x="0" y="4508500"/>
              <a:ext cx="11804649" cy="177523"/>
            </a:xfrm>
            <a:prstGeom prst="rect">
              <a:avLst/>
            </a:prstGeom>
            <a:solidFill>
              <a:srgbClr val="319795"/>
            </a:solidFill>
            <a:ln>
              <a:noFill/>
            </a:ln>
            <a:effectLst>
              <a:outerShdw blurRad="63500" sx="102000" sy="102000" algn="ctr"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100" b="0" cap="none">
                <a:solidFill>
                  <a:schemeClr val="accent1"/>
                </a:solidFill>
              </a:endParaRPr>
            </a:p>
          </xdr:txBody>
        </xdr:sp>
      </xdr:grpSp>
    </xdr:grpSp>
    <xdr:clientData fLocksWithSheet="0"/>
  </xdr:oneCellAnchor>
  <xdr:oneCellAnchor>
    <xdr:from>
      <xdr:col>0</xdr:col>
      <xdr:colOff>19050</xdr:colOff>
      <xdr:row>0</xdr:row>
      <xdr:rowOff>0</xdr:rowOff>
    </xdr:from>
    <xdr:ext cx="11258550" cy="352425"/>
    <xdr:sp macro="" textlink="">
      <xdr:nvSpPr>
        <xdr:cNvPr id="9" name="Shape 7" descr="EDTECH PERFORMANCE &amp; REVENUE EXECUTIVE DASHBOARD&#10;">
          <a:extLst>
            <a:ext uri="{FF2B5EF4-FFF2-40B4-BE49-F238E27FC236}">
              <a16:creationId xmlns:a16="http://schemas.microsoft.com/office/drawing/2014/main" id="{BD940170-463F-4621-AF85-896A8394D8FF}"/>
            </a:ext>
          </a:extLst>
        </xdr:cNvPr>
        <xdr:cNvSpPr/>
      </xdr:nvSpPr>
      <xdr:spPr>
        <a:xfrm>
          <a:off x="19050" y="0"/>
          <a:ext cx="11258550" cy="352425"/>
        </a:xfrm>
        <a:prstGeom prst="roundRect">
          <a:avLst>
            <a:gd name="adj" fmla="val 16667"/>
          </a:avLst>
        </a:prstGeom>
        <a:solidFill>
          <a:srgbClr val="267D8C"/>
        </a:solidFill>
        <a:ln>
          <a:noFill/>
        </a:ln>
      </xdr:spPr>
      <xdr:txBody>
        <a:bodyPr spcFirstLastPara="1" wrap="square" lIns="91425" tIns="45700" rIns="91425" bIns="45700" anchor="ctr" anchorCtr="0">
          <a:noAutofit/>
        </a:bodyPr>
        <a:lstStyle/>
        <a:p>
          <a:pPr marL="457200" lvl="1" indent="0" algn="ctr" rtl="0">
            <a:spcBef>
              <a:spcPts val="0"/>
            </a:spcBef>
            <a:spcAft>
              <a:spcPts val="0"/>
            </a:spcAft>
            <a:buNone/>
          </a:pPr>
          <a:r>
            <a:rPr lang="en-IN" sz="2000" b="1">
              <a:solidFill>
                <a:schemeClr val="bg1">
                  <a:lumMod val="95000"/>
                </a:schemeClr>
              </a:solidFill>
              <a:latin typeface="Aptos Narrow" panose="020B0004020202020204" pitchFamily="34" charset="0"/>
            </a:rPr>
            <a:t>INTERACTIVE</a:t>
          </a:r>
          <a:r>
            <a:rPr lang="en-IN" sz="2000" b="1">
              <a:solidFill>
                <a:schemeClr val="bg1">
                  <a:lumMod val="95000"/>
                </a:schemeClr>
              </a:solidFill>
            </a:rPr>
            <a:t> </a:t>
          </a:r>
          <a:r>
            <a:rPr lang="en-IN" sz="2000" b="1">
              <a:solidFill>
                <a:schemeClr val="bg1">
                  <a:lumMod val="95000"/>
                </a:schemeClr>
              </a:solidFill>
              <a:latin typeface="Aptos Narrow" panose="020B0004020202020204" pitchFamily="34" charset="0"/>
            </a:rPr>
            <a:t>SALES</a:t>
          </a:r>
          <a:r>
            <a:rPr lang="en-IN" sz="2000" b="1">
              <a:solidFill>
                <a:schemeClr val="bg1">
                  <a:lumMod val="95000"/>
                </a:schemeClr>
              </a:solidFill>
            </a:rPr>
            <a:t> </a:t>
          </a:r>
          <a:r>
            <a:rPr lang="en-IN" sz="2000" b="1">
              <a:solidFill>
                <a:schemeClr val="bg1">
                  <a:lumMod val="95000"/>
                </a:schemeClr>
              </a:solidFill>
              <a:latin typeface="Aptos Narrow" panose="020B0004020202020204" pitchFamily="34" charset="0"/>
            </a:rPr>
            <a:t>PERFORMANCE</a:t>
          </a:r>
          <a:r>
            <a:rPr lang="en-IN" sz="2000" b="1">
              <a:solidFill>
                <a:schemeClr val="bg1">
                  <a:lumMod val="95000"/>
                </a:schemeClr>
              </a:solidFill>
            </a:rPr>
            <a:t> </a:t>
          </a:r>
          <a:r>
            <a:rPr lang="en-IN" sz="2000" b="1">
              <a:solidFill>
                <a:schemeClr val="bg1">
                  <a:lumMod val="95000"/>
                </a:schemeClr>
              </a:solidFill>
              <a:latin typeface="Aptos Narrow" panose="020B0004020202020204" pitchFamily="34" charset="0"/>
            </a:rPr>
            <a:t>DASHBOARD</a:t>
          </a:r>
          <a:endParaRPr sz="2000" b="1" i="0" cap="none">
            <a:solidFill>
              <a:schemeClr val="bg1">
                <a:lumMod val="95000"/>
              </a:schemeClr>
            </a:solidFill>
            <a:latin typeface="Aptos Narrow" panose="020B0004020202020204" pitchFamily="34" charset="0"/>
            <a:ea typeface="Arial Narrow"/>
            <a:cs typeface="Arial Narrow"/>
            <a:sym typeface="Arial Narrow"/>
          </a:endParaRPr>
        </a:p>
      </xdr:txBody>
    </xdr:sp>
    <xdr:clientData fLocksWithSheet="0"/>
  </xdr:oneCellAnchor>
  <xdr:oneCellAnchor>
    <xdr:from>
      <xdr:col>0</xdr:col>
      <xdr:colOff>95250</xdr:colOff>
      <xdr:row>2</xdr:row>
      <xdr:rowOff>28575</xdr:rowOff>
    </xdr:from>
    <xdr:ext cx="2628900" cy="4133850"/>
    <xdr:grpSp>
      <xdr:nvGrpSpPr>
        <xdr:cNvPr id="11" name="Shape 8">
          <a:extLst>
            <a:ext uri="{FF2B5EF4-FFF2-40B4-BE49-F238E27FC236}">
              <a16:creationId xmlns:a16="http://schemas.microsoft.com/office/drawing/2014/main" id="{F602A9A6-3719-E1F4-B7D7-0989E10CCD59}"/>
            </a:ext>
          </a:extLst>
        </xdr:cNvPr>
        <xdr:cNvGrpSpPr/>
      </xdr:nvGrpSpPr>
      <xdr:grpSpPr>
        <a:xfrm>
          <a:off x="95250" y="384175"/>
          <a:ext cx="2628900" cy="4133850"/>
          <a:chOff x="95250" y="400050"/>
          <a:chExt cx="2752090" cy="4203700"/>
        </a:xfrm>
      </xdr:grpSpPr>
      <xdr:sp macro="" textlink="">
        <xdr:nvSpPr>
          <xdr:cNvPr id="12" name="Shape 4">
            <a:extLst>
              <a:ext uri="{FF2B5EF4-FFF2-40B4-BE49-F238E27FC236}">
                <a16:creationId xmlns:a16="http://schemas.microsoft.com/office/drawing/2014/main" id="{A8187542-5E4E-4AC4-FEA5-14C334E03401}"/>
              </a:ext>
            </a:extLst>
          </xdr:cNvPr>
          <xdr:cNvSpPr/>
        </xdr:nvSpPr>
        <xdr:spPr>
          <a:xfrm>
            <a:off x="95250" y="400050"/>
            <a:ext cx="2752075" cy="4203700"/>
          </a:xfrm>
          <a:prstGeom prst="round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3" name="Shape 9">
            <a:extLst>
              <a:ext uri="{FF2B5EF4-FFF2-40B4-BE49-F238E27FC236}">
                <a16:creationId xmlns:a16="http://schemas.microsoft.com/office/drawing/2014/main" id="{A5C05DA8-F178-534C-461F-FFABFE598B22}"/>
              </a:ext>
            </a:extLst>
          </xdr:cNvPr>
          <xdr:cNvSpPr/>
        </xdr:nvSpPr>
        <xdr:spPr>
          <a:xfrm>
            <a:off x="104140" y="400050"/>
            <a:ext cx="2743200" cy="1352550"/>
          </a:xfrm>
          <a:prstGeom prst="roundRect">
            <a:avLst/>
          </a:prstGeom>
          <a:solidFill>
            <a:srgbClr val="A3E1E0"/>
          </a:solidFill>
          <a:ln w="15875" cap="flat" cmpd="sng">
            <a:solidFill>
              <a:srgbClr val="4FD1C5"/>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0">
            <a:extLst>
              <a:ext uri="{FF2B5EF4-FFF2-40B4-BE49-F238E27FC236}">
                <a16:creationId xmlns:a16="http://schemas.microsoft.com/office/drawing/2014/main" id="{2D434F3E-98E1-F065-7A69-5189D0222A23}"/>
              </a:ext>
            </a:extLst>
          </xdr:cNvPr>
          <xdr:cNvSpPr/>
        </xdr:nvSpPr>
        <xdr:spPr>
          <a:xfrm>
            <a:off x="95250" y="1816100"/>
            <a:ext cx="2743200" cy="1352550"/>
          </a:xfrm>
          <a:prstGeom prst="roundRect">
            <a:avLst/>
          </a:prstGeom>
          <a:solidFill>
            <a:srgbClr val="A3E1E0"/>
          </a:solidFill>
          <a:ln w="15875" cap="flat" cmpd="sng">
            <a:solidFill>
              <a:srgbClr val="4FD1C5"/>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5" name="Shape 11">
            <a:extLst>
              <a:ext uri="{FF2B5EF4-FFF2-40B4-BE49-F238E27FC236}">
                <a16:creationId xmlns:a16="http://schemas.microsoft.com/office/drawing/2014/main" id="{C288FD2E-B0FA-55EA-94AF-4C01F8F782A1}"/>
              </a:ext>
            </a:extLst>
          </xdr:cNvPr>
          <xdr:cNvSpPr/>
        </xdr:nvSpPr>
        <xdr:spPr>
          <a:xfrm>
            <a:off x="101600" y="3251200"/>
            <a:ext cx="2743200" cy="1352550"/>
          </a:xfrm>
          <a:prstGeom prst="roundRect">
            <a:avLst/>
          </a:prstGeom>
          <a:solidFill>
            <a:srgbClr val="A3E1E0"/>
          </a:solidFill>
          <a:ln w="15875" cap="flat" cmpd="sng">
            <a:solidFill>
              <a:srgbClr val="4FD1C5"/>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clientData fLocksWithSheet="0"/>
  </xdr:oneCellAnchor>
  <xdr:twoCellAnchor>
    <xdr:from>
      <xdr:col>4</xdr:col>
      <xdr:colOff>387105</xdr:colOff>
      <xdr:row>2</xdr:row>
      <xdr:rowOff>38588</xdr:rowOff>
    </xdr:from>
    <xdr:to>
      <xdr:col>9</xdr:col>
      <xdr:colOff>73268</xdr:colOff>
      <xdr:row>7</xdr:row>
      <xdr:rowOff>149957</xdr:rowOff>
    </xdr:to>
    <xdr:sp macro="" textlink="">
      <xdr:nvSpPr>
        <xdr:cNvPr id="16" name="Shape 12">
          <a:extLst>
            <a:ext uri="{FF2B5EF4-FFF2-40B4-BE49-F238E27FC236}">
              <a16:creationId xmlns:a16="http://schemas.microsoft.com/office/drawing/2014/main" id="{F758FC86-A7F9-465D-93DB-5A5608DAEA53}"/>
            </a:ext>
          </a:extLst>
        </xdr:cNvPr>
        <xdr:cNvSpPr/>
      </xdr:nvSpPr>
      <xdr:spPr>
        <a:xfrm>
          <a:off x="2809874" y="390280"/>
          <a:ext cx="2714625" cy="990600"/>
        </a:xfrm>
        <a:prstGeom prst="roundRect">
          <a:avLst>
            <a:gd name="adj" fmla="val 16667"/>
          </a:avLst>
        </a:prstGeom>
        <a:solidFill>
          <a:srgbClr val="267D8C"/>
        </a:solidFill>
        <a:ln w="15875" cap="flat" cmpd="sng">
          <a:solidFill>
            <a:srgbClr val="CBD5E0"/>
          </a:solidFill>
          <a:prstDash val="solid"/>
          <a:round/>
          <a:headEnd type="none" w="sm" len="sm"/>
          <a:tailEnd type="none" w="sm" len="sm"/>
        </a:ln>
      </xdr:spPr>
      <xdr:txBody>
        <a:bodyPr spcFirstLastPara="1" wrap="square" lIns="91425" tIns="45700" rIns="91425" bIns="45700" anchor="b" anchorCtr="0">
          <a:noAutofit/>
        </a:bodyPr>
        <a:lstStyle/>
        <a:p>
          <a:pPr marL="0" lvl="0" indent="0" algn="r" rtl="0">
            <a:spcBef>
              <a:spcPts val="0"/>
            </a:spcBef>
            <a:spcAft>
              <a:spcPts val="0"/>
            </a:spcAft>
            <a:buNone/>
          </a:pPr>
          <a:r>
            <a:rPr lang="en-US" sz="1400"/>
            <a:t> </a:t>
          </a:r>
          <a:endParaRPr sz="2400" b="1" i="0" u="none" strike="noStrike" cap="none">
            <a:solidFill>
              <a:srgbClr val="F2F2F2"/>
            </a:solidFill>
            <a:latin typeface="Play"/>
            <a:ea typeface="Play"/>
            <a:cs typeface="Play"/>
            <a:sym typeface="Play"/>
          </a:endParaRPr>
        </a:p>
      </xdr:txBody>
    </xdr:sp>
    <xdr:clientData fLocksWithSheet="0"/>
  </xdr:twoCellAnchor>
  <xdr:twoCellAnchor>
    <xdr:from>
      <xdr:col>9</xdr:col>
      <xdr:colOff>135792</xdr:colOff>
      <xdr:row>2</xdr:row>
      <xdr:rowOff>38588</xdr:rowOff>
    </xdr:from>
    <xdr:to>
      <xdr:col>13</xdr:col>
      <xdr:colOff>427648</xdr:colOff>
      <xdr:row>7</xdr:row>
      <xdr:rowOff>149957</xdr:rowOff>
    </xdr:to>
    <xdr:sp macro="" textlink="">
      <xdr:nvSpPr>
        <xdr:cNvPr id="17" name="Shape 13">
          <a:extLst>
            <a:ext uri="{FF2B5EF4-FFF2-40B4-BE49-F238E27FC236}">
              <a16:creationId xmlns:a16="http://schemas.microsoft.com/office/drawing/2014/main" id="{4CF087C7-EBDA-4A21-BAD1-1AAB4333876B}"/>
            </a:ext>
          </a:extLst>
        </xdr:cNvPr>
        <xdr:cNvSpPr/>
      </xdr:nvSpPr>
      <xdr:spPr>
        <a:xfrm>
          <a:off x="5587023" y="390280"/>
          <a:ext cx="2714625" cy="990600"/>
        </a:xfrm>
        <a:prstGeom prst="roundRect">
          <a:avLst>
            <a:gd name="adj" fmla="val 16667"/>
          </a:avLst>
        </a:prstGeom>
        <a:solidFill>
          <a:srgbClr val="267D8C"/>
        </a:solidFill>
        <a:ln w="15875" cap="flat" cmpd="sng">
          <a:solidFill>
            <a:srgbClr val="CBD5E0"/>
          </a:solidFill>
          <a:prstDash val="solid"/>
          <a:round/>
          <a:headEnd type="none" w="sm" len="sm"/>
          <a:tailEnd type="none" w="sm" len="sm"/>
        </a:ln>
      </xdr:spPr>
      <xdr:txBody>
        <a:bodyPr spcFirstLastPara="1" wrap="square" lIns="91425" tIns="45700" rIns="91425" bIns="45700" anchor="b" anchorCtr="0">
          <a:noAutofit/>
        </a:bodyPr>
        <a:lstStyle/>
        <a:p>
          <a:pPr marL="0" lvl="0" indent="0" algn="r" rtl="0">
            <a:spcBef>
              <a:spcPts val="0"/>
            </a:spcBef>
            <a:spcAft>
              <a:spcPts val="0"/>
            </a:spcAft>
            <a:buNone/>
          </a:pPr>
          <a:r>
            <a:rPr lang="en-US" sz="1400"/>
            <a:t> </a:t>
          </a:r>
          <a:endParaRPr sz="2400" b="1" cap="none">
            <a:solidFill>
              <a:srgbClr val="F2F2F2"/>
            </a:solidFill>
            <a:latin typeface="Play"/>
            <a:ea typeface="Play"/>
            <a:cs typeface="Play"/>
            <a:sym typeface="Play"/>
          </a:endParaRPr>
        </a:p>
      </xdr:txBody>
    </xdr:sp>
    <xdr:clientData fLocksWithSheet="0"/>
  </xdr:twoCellAnchor>
  <xdr:twoCellAnchor>
    <xdr:from>
      <xdr:col>13</xdr:col>
      <xdr:colOff>502955</xdr:colOff>
      <xdr:row>2</xdr:row>
      <xdr:rowOff>38588</xdr:rowOff>
    </xdr:from>
    <xdr:to>
      <xdr:col>18</xdr:col>
      <xdr:colOff>216228</xdr:colOff>
      <xdr:row>7</xdr:row>
      <xdr:rowOff>149957</xdr:rowOff>
    </xdr:to>
    <xdr:sp macro="" textlink="">
      <xdr:nvSpPr>
        <xdr:cNvPr id="18" name="Shape 14">
          <a:extLst>
            <a:ext uri="{FF2B5EF4-FFF2-40B4-BE49-F238E27FC236}">
              <a16:creationId xmlns:a16="http://schemas.microsoft.com/office/drawing/2014/main" id="{D4BF3D65-E046-4970-B5AB-DAA7F55E0A02}"/>
            </a:ext>
          </a:extLst>
        </xdr:cNvPr>
        <xdr:cNvSpPr/>
      </xdr:nvSpPr>
      <xdr:spPr>
        <a:xfrm>
          <a:off x="8376955" y="390280"/>
          <a:ext cx="2800350" cy="990600"/>
        </a:xfrm>
        <a:prstGeom prst="roundRect">
          <a:avLst>
            <a:gd name="adj" fmla="val 16667"/>
          </a:avLst>
        </a:prstGeom>
        <a:solidFill>
          <a:srgbClr val="267D8C"/>
        </a:solidFill>
        <a:ln w="15875" cap="flat" cmpd="sng">
          <a:solidFill>
            <a:srgbClr val="CBD5E0"/>
          </a:solidFill>
          <a:prstDash val="solid"/>
          <a:round/>
          <a:headEnd type="none" w="sm" len="sm"/>
          <a:tailEnd type="none" w="sm" len="sm"/>
        </a:ln>
      </xdr:spPr>
      <xdr:txBody>
        <a:bodyPr spcFirstLastPara="1" wrap="square" lIns="91425" tIns="45700" rIns="91425" bIns="45700" anchor="b" anchorCtr="0">
          <a:noAutofit/>
        </a:bodyPr>
        <a:lstStyle/>
        <a:p>
          <a:pPr marL="0" lvl="0" indent="0" algn="r" rtl="0">
            <a:spcBef>
              <a:spcPts val="0"/>
            </a:spcBef>
            <a:spcAft>
              <a:spcPts val="0"/>
            </a:spcAft>
            <a:buNone/>
          </a:pPr>
          <a:r>
            <a:rPr lang="en-US" sz="1400"/>
            <a:t> </a:t>
          </a:r>
          <a:endParaRPr sz="2400" b="1" i="0" u="none" strike="noStrike" cap="none">
            <a:solidFill>
              <a:srgbClr val="F2F2F2"/>
            </a:solidFill>
            <a:latin typeface="Arial"/>
            <a:ea typeface="Arial"/>
            <a:cs typeface="Arial"/>
            <a:sym typeface="Arial"/>
          </a:endParaRPr>
        </a:p>
      </xdr:txBody>
    </xdr:sp>
    <xdr:clientData fLocksWithSheet="0"/>
  </xdr:twoCellAnchor>
  <xdr:oneCellAnchor>
    <xdr:from>
      <xdr:col>4</xdr:col>
      <xdr:colOff>379780</xdr:colOff>
      <xdr:row>18</xdr:row>
      <xdr:rowOff>96964</xdr:rowOff>
    </xdr:from>
    <xdr:ext cx="8374756" cy="1335024"/>
    <xdr:sp macro="" textlink="">
      <xdr:nvSpPr>
        <xdr:cNvPr id="20" name="Shape 16">
          <a:extLst>
            <a:ext uri="{FF2B5EF4-FFF2-40B4-BE49-F238E27FC236}">
              <a16:creationId xmlns:a16="http://schemas.microsoft.com/office/drawing/2014/main" id="{8FDF0361-55AB-4C2B-A060-412EBE23C36A}"/>
            </a:ext>
          </a:extLst>
        </xdr:cNvPr>
        <xdr:cNvSpPr/>
      </xdr:nvSpPr>
      <xdr:spPr>
        <a:xfrm>
          <a:off x="2802549" y="3184041"/>
          <a:ext cx="8374756" cy="1335024"/>
        </a:xfrm>
        <a:prstGeom prst="roundRect">
          <a:avLst/>
        </a:prstGeom>
        <a:solidFill>
          <a:srgbClr val="A3E1E0"/>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6</xdr:col>
      <xdr:colOff>381000</xdr:colOff>
      <xdr:row>5</xdr:row>
      <xdr:rowOff>123825</xdr:rowOff>
    </xdr:from>
    <xdr:ext cx="190500" cy="266700"/>
    <xdr:sp macro="" textlink="">
      <xdr:nvSpPr>
        <xdr:cNvPr id="21" name="Shape 17">
          <a:extLst>
            <a:ext uri="{FF2B5EF4-FFF2-40B4-BE49-F238E27FC236}">
              <a16:creationId xmlns:a16="http://schemas.microsoft.com/office/drawing/2014/main" id="{70B51EE6-643D-4E0B-A9D5-5996395F32B3}"/>
            </a:ext>
          </a:extLst>
        </xdr:cNvPr>
        <xdr:cNvSpPr txBox="1"/>
      </xdr:nvSpPr>
      <xdr:spPr>
        <a:xfrm>
          <a:off x="4038600" y="101282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4</xdr:col>
      <xdr:colOff>533400</xdr:colOff>
      <xdr:row>2</xdr:row>
      <xdr:rowOff>95250</xdr:rowOff>
    </xdr:from>
    <xdr:ext cx="1781175" cy="304800"/>
    <xdr:sp macro="" textlink="">
      <xdr:nvSpPr>
        <xdr:cNvPr id="23" name="Shape 19">
          <a:extLst>
            <a:ext uri="{FF2B5EF4-FFF2-40B4-BE49-F238E27FC236}">
              <a16:creationId xmlns:a16="http://schemas.microsoft.com/office/drawing/2014/main" id="{139FE24A-A4A4-4B4A-BAFC-2B1610F85A98}"/>
            </a:ext>
          </a:extLst>
        </xdr:cNvPr>
        <xdr:cNvSpPr txBox="1"/>
      </xdr:nvSpPr>
      <xdr:spPr>
        <a:xfrm>
          <a:off x="2971800" y="450850"/>
          <a:ext cx="1781175" cy="3048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b="1">
              <a:solidFill>
                <a:srgbClr val="E9EBE6"/>
              </a:solidFill>
              <a:latin typeface="Arial"/>
              <a:ea typeface="Arial"/>
              <a:cs typeface="Arial"/>
              <a:sym typeface="Arial"/>
            </a:rPr>
            <a:t>Total Sales</a:t>
          </a:r>
          <a:endParaRPr sz="1400" b="1">
            <a:solidFill>
              <a:srgbClr val="E9EBE6"/>
            </a:solidFill>
            <a:latin typeface="Arial"/>
            <a:ea typeface="Arial"/>
            <a:cs typeface="Arial"/>
            <a:sym typeface="Arial"/>
          </a:endParaRPr>
        </a:p>
      </xdr:txBody>
    </xdr:sp>
    <xdr:clientData fLocksWithSheet="0"/>
  </xdr:oneCellAnchor>
  <xdr:oneCellAnchor>
    <xdr:from>
      <xdr:col>9</xdr:col>
      <xdr:colOff>279400</xdr:colOff>
      <xdr:row>2</xdr:row>
      <xdr:rowOff>104775</xdr:rowOff>
    </xdr:from>
    <xdr:ext cx="2006600" cy="302094"/>
    <xdr:sp macro="" textlink="">
      <xdr:nvSpPr>
        <xdr:cNvPr id="24" name="Shape 20">
          <a:extLst>
            <a:ext uri="{FF2B5EF4-FFF2-40B4-BE49-F238E27FC236}">
              <a16:creationId xmlns:a16="http://schemas.microsoft.com/office/drawing/2014/main" id="{6C09C4BC-93EB-42E0-96B7-229090228F3D}"/>
            </a:ext>
          </a:extLst>
        </xdr:cNvPr>
        <xdr:cNvSpPr txBox="1"/>
      </xdr:nvSpPr>
      <xdr:spPr>
        <a:xfrm>
          <a:off x="5765800" y="460375"/>
          <a:ext cx="2006600" cy="30209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b="1">
              <a:solidFill>
                <a:srgbClr val="E9EBE6"/>
              </a:solidFill>
              <a:latin typeface="Arial"/>
              <a:ea typeface="Arial"/>
              <a:cs typeface="Arial"/>
              <a:sym typeface="Arial"/>
            </a:rPr>
            <a:t>Avg.</a:t>
          </a:r>
          <a:r>
            <a:rPr lang="en-US" sz="1400" b="1" baseline="0">
              <a:solidFill>
                <a:srgbClr val="E9EBE6"/>
              </a:solidFill>
              <a:latin typeface="Arial"/>
              <a:ea typeface="Arial"/>
              <a:cs typeface="Arial"/>
              <a:sym typeface="Arial"/>
            </a:rPr>
            <a:t> Sales Per Order </a:t>
          </a:r>
          <a:endParaRPr sz="1400"/>
        </a:p>
      </xdr:txBody>
    </xdr:sp>
    <xdr:clientData fLocksWithSheet="0"/>
  </xdr:oneCellAnchor>
  <xdr:oneCellAnchor>
    <xdr:from>
      <xdr:col>14</xdr:col>
      <xdr:colOff>523875</xdr:colOff>
      <xdr:row>2</xdr:row>
      <xdr:rowOff>104775</xdr:rowOff>
    </xdr:from>
    <xdr:ext cx="190500" cy="266700"/>
    <xdr:sp macro="" textlink="">
      <xdr:nvSpPr>
        <xdr:cNvPr id="25" name="Shape 21">
          <a:extLst>
            <a:ext uri="{FF2B5EF4-FFF2-40B4-BE49-F238E27FC236}">
              <a16:creationId xmlns:a16="http://schemas.microsoft.com/office/drawing/2014/main" id="{078CB6A4-E4F7-458B-8921-77678C31A38B}"/>
            </a:ext>
          </a:extLst>
        </xdr:cNvPr>
        <xdr:cNvSpPr txBox="1"/>
      </xdr:nvSpPr>
      <xdr:spPr>
        <a:xfrm>
          <a:off x="9058275" y="460375"/>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14</xdr:col>
      <xdr:colOff>0</xdr:colOff>
      <xdr:row>2</xdr:row>
      <xdr:rowOff>123825</xdr:rowOff>
    </xdr:from>
    <xdr:ext cx="2295525" cy="304800"/>
    <xdr:sp macro="" textlink="">
      <xdr:nvSpPr>
        <xdr:cNvPr id="26" name="Shape 22">
          <a:extLst>
            <a:ext uri="{FF2B5EF4-FFF2-40B4-BE49-F238E27FC236}">
              <a16:creationId xmlns:a16="http://schemas.microsoft.com/office/drawing/2014/main" id="{5E5D7A32-C45A-403C-9A1E-EBE26D8BB607}"/>
            </a:ext>
          </a:extLst>
        </xdr:cNvPr>
        <xdr:cNvSpPr txBox="1"/>
      </xdr:nvSpPr>
      <xdr:spPr>
        <a:xfrm>
          <a:off x="8534400" y="479425"/>
          <a:ext cx="2295525" cy="3048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b="1" baseline="0">
              <a:solidFill>
                <a:srgbClr val="E9EBE6"/>
              </a:solidFill>
              <a:latin typeface="Arial"/>
              <a:cs typeface="Arial"/>
              <a:sym typeface="Arial"/>
            </a:rPr>
            <a:t>Total Order </a:t>
          </a:r>
          <a:endParaRPr sz="1400"/>
        </a:p>
      </xdr:txBody>
    </xdr:sp>
    <xdr:clientData fLocksWithSheet="0"/>
  </xdr:oneCellAnchor>
  <xdr:twoCellAnchor>
    <xdr:from>
      <xdr:col>4</xdr:col>
      <xdr:colOff>387104</xdr:colOff>
      <xdr:row>8</xdr:row>
      <xdr:rowOff>60814</xdr:rowOff>
    </xdr:from>
    <xdr:to>
      <xdr:col>18</xdr:col>
      <xdr:colOff>194247</xdr:colOff>
      <xdr:row>18</xdr:row>
      <xdr:rowOff>645</xdr:rowOff>
    </xdr:to>
    <xdr:grpSp>
      <xdr:nvGrpSpPr>
        <xdr:cNvPr id="28" name="Group 27">
          <a:extLst>
            <a:ext uri="{FF2B5EF4-FFF2-40B4-BE49-F238E27FC236}">
              <a16:creationId xmlns:a16="http://schemas.microsoft.com/office/drawing/2014/main" id="{F5BB3B65-6A42-4355-63B5-FBE79DF590E6}"/>
            </a:ext>
          </a:extLst>
        </xdr:cNvPr>
        <xdr:cNvGrpSpPr/>
      </xdr:nvGrpSpPr>
      <xdr:grpSpPr>
        <a:xfrm>
          <a:off x="2825504" y="1483214"/>
          <a:ext cx="8400810" cy="1641631"/>
          <a:chOff x="2825504" y="1483214"/>
          <a:chExt cx="8398693" cy="1635281"/>
        </a:xfrm>
      </xdr:grpSpPr>
      <xdr:sp macro="" textlink="">
        <xdr:nvSpPr>
          <xdr:cNvPr id="19" name="Shape 15">
            <a:extLst>
              <a:ext uri="{FF2B5EF4-FFF2-40B4-BE49-F238E27FC236}">
                <a16:creationId xmlns:a16="http://schemas.microsoft.com/office/drawing/2014/main" id="{BF0ED117-47EC-4D09-B1F8-76CAA338FC56}"/>
              </a:ext>
            </a:extLst>
          </xdr:cNvPr>
          <xdr:cNvSpPr/>
        </xdr:nvSpPr>
        <xdr:spPr>
          <a:xfrm>
            <a:off x="2825504" y="1483215"/>
            <a:ext cx="4310723" cy="1635280"/>
          </a:xfrm>
          <a:prstGeom prst="roundRect">
            <a:avLst/>
          </a:prstGeom>
          <a:solidFill>
            <a:srgbClr val="A3E1E0"/>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29" name="Shape 15">
            <a:extLst>
              <a:ext uri="{FF2B5EF4-FFF2-40B4-BE49-F238E27FC236}">
                <a16:creationId xmlns:a16="http://schemas.microsoft.com/office/drawing/2014/main" id="{90281891-EF92-31F5-D8BC-BBCF361F9EF4}"/>
              </a:ext>
            </a:extLst>
          </xdr:cNvPr>
          <xdr:cNvSpPr/>
        </xdr:nvSpPr>
        <xdr:spPr>
          <a:xfrm>
            <a:off x="7383717" y="1483214"/>
            <a:ext cx="3840480" cy="1635280"/>
          </a:xfrm>
          <a:prstGeom prst="roundRect">
            <a:avLst/>
          </a:prstGeom>
          <a:solidFill>
            <a:srgbClr val="A3E1E0"/>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clientData fLocksWithSheet="0"/>
  </xdr:twoCellAnchor>
  <xdr:twoCellAnchor>
    <xdr:from>
      <xdr:col>6</xdr:col>
      <xdr:colOff>44762</xdr:colOff>
      <xdr:row>5</xdr:row>
      <xdr:rowOff>139455</xdr:rowOff>
    </xdr:from>
    <xdr:to>
      <xdr:col>19</xdr:col>
      <xdr:colOff>0</xdr:colOff>
      <xdr:row>8</xdr:row>
      <xdr:rowOff>63500</xdr:rowOff>
    </xdr:to>
    <xdr:grpSp>
      <xdr:nvGrpSpPr>
        <xdr:cNvPr id="27" name="Group 26">
          <a:extLst>
            <a:ext uri="{FF2B5EF4-FFF2-40B4-BE49-F238E27FC236}">
              <a16:creationId xmlns:a16="http://schemas.microsoft.com/office/drawing/2014/main" id="{DF88382E-F407-E3D0-0275-B640D198B3D5}"/>
            </a:ext>
          </a:extLst>
        </xdr:cNvPr>
        <xdr:cNvGrpSpPr/>
      </xdr:nvGrpSpPr>
      <xdr:grpSpPr>
        <a:xfrm>
          <a:off x="3702362" y="1028455"/>
          <a:ext cx="7939305" cy="457445"/>
          <a:chOff x="3863975" y="999880"/>
          <a:chExt cx="7937188" cy="457445"/>
        </a:xfrm>
      </xdr:grpSpPr>
      <xdr:sp macro="" textlink="'working Sales Dashboard '!C4">
        <xdr:nvSpPr>
          <xdr:cNvPr id="22" name="Shape 18">
            <a:extLst>
              <a:ext uri="{FF2B5EF4-FFF2-40B4-BE49-F238E27FC236}">
                <a16:creationId xmlns:a16="http://schemas.microsoft.com/office/drawing/2014/main" id="{AD6780BC-6C32-42D0-BA74-4A0AF9B945EC}"/>
              </a:ext>
            </a:extLst>
          </xdr:cNvPr>
          <xdr:cNvSpPr txBox="1"/>
        </xdr:nvSpPr>
        <xdr:spPr>
          <a:xfrm>
            <a:off x="3863975" y="1000125"/>
            <a:ext cx="2047875" cy="4572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fld id="{590D8202-C938-4F48-911E-798D0079A3C8}" type="TxLink">
              <a:rPr lang="en-US" sz="1600" b="1" i="0" u="none" strike="noStrike">
                <a:solidFill>
                  <a:schemeClr val="bg1">
                    <a:lumMod val="95000"/>
                  </a:schemeClr>
                </a:solidFill>
                <a:latin typeface="Aptos Display" panose="020B0004020202020204" pitchFamily="34" charset="0"/>
              </a:rPr>
              <a:pPr marL="0" lvl="0" indent="0" algn="l" rtl="0">
                <a:spcBef>
                  <a:spcPts val="0"/>
                </a:spcBef>
                <a:spcAft>
                  <a:spcPts val="0"/>
                </a:spcAft>
                <a:buNone/>
              </a:pPr>
              <a:t> ₹ 34,762,097.50 </a:t>
            </a:fld>
            <a:endParaRPr sz="1600" b="0">
              <a:solidFill>
                <a:schemeClr val="bg1">
                  <a:lumMod val="95000"/>
                </a:schemeClr>
              </a:solidFill>
              <a:latin typeface="Aptos Display" panose="020B0004020202020204" pitchFamily="34" charset="0"/>
            </a:endParaRPr>
          </a:p>
        </xdr:txBody>
      </xdr:sp>
      <xdr:sp macro="" textlink="'working Sales Dashboard '!D4">
        <xdr:nvSpPr>
          <xdr:cNvPr id="2" name="TextBox 1">
            <a:extLst>
              <a:ext uri="{FF2B5EF4-FFF2-40B4-BE49-F238E27FC236}">
                <a16:creationId xmlns:a16="http://schemas.microsoft.com/office/drawing/2014/main" id="{AE6A93FD-AD9D-E346-D04F-5F58F9B1D2E9}"/>
              </a:ext>
            </a:extLst>
          </xdr:cNvPr>
          <xdr:cNvSpPr txBox="1"/>
        </xdr:nvSpPr>
        <xdr:spPr>
          <a:xfrm>
            <a:off x="6858000" y="1009650"/>
            <a:ext cx="1587500" cy="342851"/>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fld id="{C826C10F-3F3A-4744-A329-C4A7D8AA9C67}" type="TxLink">
              <a:rPr lang="en-US" sz="1800" b="1" i="0" u="none" strike="noStrike">
                <a:solidFill>
                  <a:schemeClr val="bg1">
                    <a:lumMod val="95000"/>
                  </a:schemeClr>
                </a:solidFill>
                <a:latin typeface="Aptos Display" panose="020B0004020202020204" pitchFamily="34" charset="0"/>
                <a:ea typeface="+mn-ea"/>
                <a:cs typeface="+mn-cs"/>
              </a:rPr>
              <a:pPr marL="0" lvl="0" indent="0" algn="l" rtl="0">
                <a:spcBef>
                  <a:spcPts val="0"/>
                </a:spcBef>
                <a:spcAft>
                  <a:spcPts val="0"/>
                </a:spcAft>
                <a:buNone/>
              </a:pPr>
              <a:t> ₹ 69,663.52 </a:t>
            </a:fld>
            <a:endParaRPr lang="en-IN" sz="1800" b="1" i="0" u="none" strike="noStrike">
              <a:solidFill>
                <a:schemeClr val="bg1">
                  <a:lumMod val="95000"/>
                </a:schemeClr>
              </a:solidFill>
              <a:latin typeface="Aptos Display" panose="020B0004020202020204" pitchFamily="34" charset="0"/>
              <a:ea typeface="+mn-ea"/>
              <a:cs typeface="+mn-cs"/>
            </a:endParaRPr>
          </a:p>
        </xdr:txBody>
      </xdr:sp>
      <xdr:sp macro="" textlink="'working Sales Dashboard '!E4">
        <xdr:nvSpPr>
          <xdr:cNvPr id="3" name="TextBox 2">
            <a:extLst>
              <a:ext uri="{FF2B5EF4-FFF2-40B4-BE49-F238E27FC236}">
                <a16:creationId xmlns:a16="http://schemas.microsoft.com/office/drawing/2014/main" id="{118BF90D-DEDC-426D-9A9A-3826DD1BC40E}"/>
              </a:ext>
            </a:extLst>
          </xdr:cNvPr>
          <xdr:cNvSpPr txBox="1"/>
        </xdr:nvSpPr>
        <xdr:spPr>
          <a:xfrm>
            <a:off x="10504205" y="999880"/>
            <a:ext cx="1296958" cy="342851"/>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fld id="{8AF3942F-D92F-4190-B137-9DD8D91D1EAD}" type="TxLink">
              <a:rPr lang="en-US" sz="2000" b="1" i="0" u="none" strike="noStrike">
                <a:solidFill>
                  <a:schemeClr val="bg1">
                    <a:lumMod val="95000"/>
                  </a:schemeClr>
                </a:solidFill>
                <a:latin typeface="Aptos Display" panose="020B0004020202020204" pitchFamily="34" charset="0"/>
                <a:ea typeface="+mn-ea"/>
                <a:cs typeface="+mn-cs"/>
              </a:rPr>
              <a:pPr marL="0" lvl="0" indent="0" algn="l" rtl="0">
                <a:spcBef>
                  <a:spcPts val="0"/>
                </a:spcBef>
                <a:spcAft>
                  <a:spcPts val="0"/>
                </a:spcAft>
                <a:buNone/>
              </a:pPr>
              <a:t>500</a:t>
            </a:fld>
            <a:endParaRPr lang="en-IN" sz="2000" b="1" i="0" u="none" strike="noStrike">
              <a:solidFill>
                <a:schemeClr val="bg1">
                  <a:lumMod val="95000"/>
                </a:schemeClr>
              </a:solidFill>
              <a:latin typeface="Aptos Display" panose="020B0004020202020204" pitchFamily="34" charset="0"/>
              <a:ea typeface="+mn-ea"/>
              <a:cs typeface="+mn-cs"/>
            </a:endParaRPr>
          </a:p>
        </xdr:txBody>
      </xdr:sp>
    </xdr:grpSp>
    <xdr:clientData fLocksWithSheet="0"/>
  </xdr:twoCellAnchor>
  <xdr:twoCellAnchor>
    <xdr:from>
      <xdr:col>5</xdr:col>
      <xdr:colOff>0</xdr:colOff>
      <xdr:row>8</xdr:row>
      <xdr:rowOff>100830</xdr:rowOff>
    </xdr:from>
    <xdr:to>
      <xdr:col>11</xdr:col>
      <xdr:colOff>0</xdr:colOff>
      <xdr:row>18</xdr:row>
      <xdr:rowOff>0</xdr:rowOff>
    </xdr:to>
    <xdr:graphicFrame macro="">
      <xdr:nvGraphicFramePr>
        <xdr:cNvPr id="30" name="Chart 29">
          <a:extLst>
            <a:ext uri="{FF2B5EF4-FFF2-40B4-BE49-F238E27FC236}">
              <a16:creationId xmlns:a16="http://schemas.microsoft.com/office/drawing/2014/main" id="{253DACD9-D495-49DF-9187-5AD4A0594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241300</xdr:colOff>
      <xdr:row>8</xdr:row>
      <xdr:rowOff>44450</xdr:rowOff>
    </xdr:from>
    <xdr:to>
      <xdr:col>18</xdr:col>
      <xdr:colOff>0</xdr:colOff>
      <xdr:row>18</xdr:row>
      <xdr:rowOff>0</xdr:rowOff>
    </xdr:to>
    <xdr:graphicFrame macro="">
      <xdr:nvGraphicFramePr>
        <xdr:cNvPr id="31" name="Chart 30">
          <a:extLst>
            <a:ext uri="{FF2B5EF4-FFF2-40B4-BE49-F238E27FC236}">
              <a16:creationId xmlns:a16="http://schemas.microsoft.com/office/drawing/2014/main" id="{A4CF437C-310A-40E3-B775-476E13247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463550</xdr:colOff>
      <xdr:row>18</xdr:row>
      <xdr:rowOff>66191</xdr:rowOff>
    </xdr:from>
    <xdr:to>
      <xdr:col>18</xdr:col>
      <xdr:colOff>99401</xdr:colOff>
      <xdr:row>26</xdr:row>
      <xdr:rowOff>0</xdr:rowOff>
    </xdr:to>
    <xdr:graphicFrame macro="">
      <xdr:nvGraphicFramePr>
        <xdr:cNvPr id="32" name="Chart 31">
          <a:extLst>
            <a:ext uri="{FF2B5EF4-FFF2-40B4-BE49-F238E27FC236}">
              <a16:creationId xmlns:a16="http://schemas.microsoft.com/office/drawing/2014/main" id="{18D4A047-6606-4FCF-829E-C33D678AF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279188</xdr:colOff>
      <xdr:row>2</xdr:row>
      <xdr:rowOff>59178</xdr:rowOff>
    </xdr:from>
    <xdr:to>
      <xdr:col>4</xdr:col>
      <xdr:colOff>83113</xdr:colOff>
      <xdr:row>9</xdr:row>
      <xdr:rowOff>121751</xdr:rowOff>
    </xdr:to>
    <mc:AlternateContent xmlns:mc="http://schemas.openxmlformats.org/markup-compatibility/2006" xmlns:a14="http://schemas.microsoft.com/office/drawing/2010/main">
      <mc:Choice Requires="a14">
        <xdr:graphicFrame macro="">
          <xdr:nvGraphicFramePr>
            <xdr:cNvPr id="33" name="Category 1">
              <a:extLst>
                <a:ext uri="{FF2B5EF4-FFF2-40B4-BE49-F238E27FC236}">
                  <a16:creationId xmlns:a16="http://schemas.microsoft.com/office/drawing/2014/main" id="{5ADE138D-D538-4A77-8B90-282D81D1C3A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79188" y="410099"/>
              <a:ext cx="2243662" cy="12907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270834</xdr:colOff>
      <xdr:row>10</xdr:row>
      <xdr:rowOff>106149</xdr:rowOff>
    </xdr:from>
    <xdr:to>
      <xdr:col>4</xdr:col>
      <xdr:colOff>71377</xdr:colOff>
      <xdr:row>18</xdr:row>
      <xdr:rowOff>41900</xdr:rowOff>
    </xdr:to>
    <mc:AlternateContent xmlns:mc="http://schemas.openxmlformats.org/markup-compatibility/2006" xmlns:a14="http://schemas.microsoft.com/office/drawing/2010/main">
      <mc:Choice Requires="a14">
        <xdr:graphicFrame macro="">
          <xdr:nvGraphicFramePr>
            <xdr:cNvPr id="34" name="Region 1">
              <a:extLst>
                <a:ext uri="{FF2B5EF4-FFF2-40B4-BE49-F238E27FC236}">
                  <a16:creationId xmlns:a16="http://schemas.microsoft.com/office/drawing/2014/main" id="{AD24E4F9-E7C4-4A91-8165-9FD9D1DA147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70834" y="1835688"/>
              <a:ext cx="2240280" cy="1289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270611</xdr:colOff>
      <xdr:row>18</xdr:row>
      <xdr:rowOff>123972</xdr:rowOff>
    </xdr:from>
    <xdr:to>
      <xdr:col>4</xdr:col>
      <xdr:colOff>71154</xdr:colOff>
      <xdr:row>26</xdr:row>
      <xdr:rowOff>9592</xdr:rowOff>
    </xdr:to>
    <mc:AlternateContent xmlns:mc="http://schemas.openxmlformats.org/markup-compatibility/2006" xmlns:tsle="http://schemas.microsoft.com/office/drawing/2012/timeslicer">
      <mc:Choice Requires="tsle">
        <xdr:graphicFrame macro="">
          <xdr:nvGraphicFramePr>
            <xdr:cNvPr id="35" name="Dashboard_Order_Date 1">
              <a:extLst>
                <a:ext uri="{FF2B5EF4-FFF2-40B4-BE49-F238E27FC236}">
                  <a16:creationId xmlns:a16="http://schemas.microsoft.com/office/drawing/2014/main" id="{6A3F9990-B833-4A57-B744-D279D7A1C687}"/>
                </a:ext>
              </a:extLst>
            </xdr:cNvPr>
            <xdr:cNvGraphicFramePr/>
          </xdr:nvGraphicFramePr>
          <xdr:xfrm>
            <a:off x="0" y="0"/>
            <a:ext cx="0" cy="0"/>
          </xdr:xfrm>
          <a:graphic>
            <a:graphicData uri="http://schemas.microsoft.com/office/drawing/2012/timeslicer">
              <tsle:timeslicer name="Dashboard_Order_Date 1"/>
            </a:graphicData>
          </a:graphic>
        </xdr:graphicFrame>
      </mc:Choice>
      <mc:Fallback xmlns="">
        <xdr:sp macro="" textlink="">
          <xdr:nvSpPr>
            <xdr:cNvPr id="0" name=""/>
            <xdr:cNvSpPr>
              <a:spLocks noTextEdit="1"/>
            </xdr:cNvSpPr>
          </xdr:nvSpPr>
          <xdr:spPr>
            <a:xfrm>
              <a:off x="270611" y="3207064"/>
              <a:ext cx="2240280" cy="128930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esh patel" refreshedDate="46309.968621990738" createdVersion="8" refreshedVersion="8" minRefreshableVersion="3" recordCount="500" xr:uid="{5490361D-04FC-476A-8F8E-A0CC8B3BA16A}">
  <cacheSource type="worksheet">
    <worksheetSource ref="A1:AQ501" sheet="Cleaned_Data"/>
  </cacheSource>
  <cacheFields count="45">
    <cacheField name="Order_ID" numFmtId="0">
      <sharedItems/>
    </cacheField>
    <cacheField name="Customer_ID" numFmtId="0">
      <sharedItems/>
    </cacheField>
    <cacheField name="Product_ID" numFmtId="0">
      <sharedItems/>
    </cacheField>
    <cacheField name="Order_Date" numFmtId="167">
      <sharedItems containsDate="1" containsMixedTypes="1" minDate="2025-01-01T00:00:00" maxDate="2026-05-17T00:00:00" count="326">
        <d v="2025-09-18T00:00:00"/>
        <d v="2025-04-27T00:00:00"/>
        <d v="2025-09-03T00:00:00"/>
        <d v="2026-03-21T00:00:00"/>
        <d v="2025-09-27T00:00:00"/>
        <d v="2026-01-04T00:00:00"/>
        <s v="28/02/2025"/>
        <d v="2025-04-13T00:00:00"/>
        <d v="2026-01-31T00:00:00"/>
        <d v="2025-03-25T00:00:00"/>
        <d v="2025-09-19T00:00:00"/>
        <d v="2025-03-08T00:00:00"/>
        <d v="2025-01-10T00:00:00"/>
        <d v="2025-03-09T00:00:00"/>
        <d v="2025-07-26T00:00:00"/>
        <d v="2026-04-08T00:00:00"/>
        <d v="2026-02-22T00:00:00"/>
        <d v="2026-02-28T00:00:00"/>
        <d v="2025-12-01T00:00:00"/>
        <d v="2025-06-25T00:00:00"/>
        <d v="2025-04-26T00:00:00"/>
        <d v="2025-01-03T00:00:00"/>
        <d v="2025-04-19T00:00:00"/>
        <d v="2025-12-22T00:00:00"/>
        <d v="2026-04-09T00:00:00"/>
        <d v="2025-06-24T00:00:00"/>
        <d v="2025-05-22T00:00:00"/>
        <d v="2026-03-13T00:00:00"/>
        <d v="2025-09-08T00:00:00"/>
        <d v="2026-01-11T00:00:00"/>
        <d v="2025-06-16T00:00:00"/>
        <d v="2025-07-01T00:00:00"/>
        <d v="2025-03-07T00:00:00"/>
        <d v="2025-10-09T00:00:00"/>
        <d v="2025-11-19T00:00:00"/>
        <d v="2025-11-05T00:00:00"/>
        <d v="2026-03-08T00:00:00"/>
        <d v="2025-02-13T00:00:00"/>
        <d v="2025-10-05T00:00:00"/>
        <d v="2026-02-10T00:00:00"/>
        <d v="2025-06-04T00:00:00"/>
        <d v="2026-02-08T00:00:00"/>
        <d v="2025-03-30T00:00:00"/>
        <d v="2025-04-25T00:00:00"/>
        <d v="2025-10-13T00:00:00"/>
        <d v="2025-10-11T00:00:00"/>
        <d v="2025-11-27T00:00:00"/>
        <d v="2026-04-19T00:00:00"/>
        <d v="2025-03-28T00:00:00"/>
        <d v="2025-08-25T00:00:00"/>
        <d v="2025-08-19T00:00:00"/>
        <d v="2025-07-27T00:00:00"/>
        <d v="2025-02-21T00:00:00"/>
        <d v="2025-08-10T00:00:00"/>
        <d v="2026-03-24T00:00:00"/>
        <d v="2025-06-15T00:00:00"/>
        <d v="2025-03-05T00:00:00"/>
        <d v="2025-08-16T00:00:00"/>
        <d v="2026-05-13T00:00:00"/>
        <d v="2025-03-01T00:00:00"/>
        <d v="2025-02-09T00:00:00"/>
        <d v="2026-01-09T00:00:00"/>
        <d v="2025-09-01T00:00:00"/>
        <d v="2026-02-09T00:00:00"/>
        <d v="2025-12-14T00:00:00"/>
        <d v="2025-04-07T00:00:00"/>
        <d v="2025-12-24T00:00:00"/>
        <d v="2025-08-30T00:00:00"/>
        <d v="2025-12-13T00:00:00"/>
        <d v="2026-02-04T00:00:00"/>
        <d v="2026-01-26T00:00:00"/>
        <d v="2025-06-27T00:00:00"/>
        <d v="2026-03-17T00:00:00"/>
        <d v="2025-06-09T00:00:00"/>
        <d v="2025-11-15T00:00:00"/>
        <d v="2025-11-06T00:00:00"/>
        <d v="2025-01-01T00:00:00"/>
        <d v="2026-04-25T00:00:00"/>
        <d v="2025-03-18T00:00:00"/>
        <d v="2025-10-30T00:00:00"/>
        <d v="2025-10-31T00:00:00"/>
        <d v="2025-04-10T00:00:00"/>
        <d v="2026-03-16T00:00:00"/>
        <d v="2025-09-15T00:00:00"/>
        <d v="2026-03-11T00:00:00"/>
        <d v="2025-08-20T00:00:00"/>
        <d v="2025-08-13T00:00:00"/>
        <d v="2025-03-16T00:00:00"/>
        <d v="2025-09-04T00:00:00"/>
        <d v="2025-04-12T00:00:00"/>
        <d v="2026-05-04T00:00:00"/>
        <d v="2026-01-18T00:00:00"/>
        <d v="2026-03-14T00:00:00"/>
        <d v="2025-05-09T00:00:00"/>
        <d v="2026-05-07T00:00:00"/>
        <d v="2025-04-21T00:00:00"/>
        <d v="2025-12-11T00:00:00"/>
        <d v="2025-01-13T00:00:00"/>
        <d v="2025-03-17T00:00:00"/>
        <d v="2025-02-25T00:00:00"/>
        <d v="2025-02-26T00:00:00"/>
        <d v="2025-07-10T00:00:00"/>
        <d v="2025-11-18T00:00:00"/>
        <d v="2025-04-09T00:00:00"/>
        <d v="2026-04-03T00:00:00"/>
        <d v="2025-10-23T00:00:00"/>
        <d v="2025-04-03T00:00:00"/>
        <d v="2025-08-24T00:00:00"/>
        <d v="2025-05-31T00:00:00"/>
        <d v="2025-05-30T00:00:00"/>
        <d v="2026-01-03T00:00:00"/>
        <d v="2025-10-20T00:00:00"/>
        <d v="2025-05-11T00:00:00"/>
        <d v="2026-01-02T00:00:00"/>
        <d v="2026-04-20T00:00:00"/>
        <d v="2025-08-04T00:00:00"/>
        <d v="2026-04-27T00:00:00"/>
        <d v="2026-02-17T00:00:00"/>
        <d v="2026-04-04T00:00:00"/>
        <d v="2025-06-08T00:00:00"/>
        <d v="2025-07-25T00:00:00"/>
        <d v="2025-01-16T00:00:00"/>
        <d v="2025-02-04T00:00:00"/>
        <d v="2025-01-22T00:00:00"/>
        <d v="2025-04-11T00:00:00"/>
        <d v="2025-07-04T00:00:00"/>
        <d v="2025-12-17T00:00:00"/>
        <d v="2025-10-10T00:00:00"/>
        <d v="2026-03-07T00:00:00"/>
        <d v="2025-12-23T00:00:00"/>
        <d v="2025-07-07T00:00:00"/>
        <d v="2026-05-03T00:00:00"/>
        <d v="2025-11-29T00:00:00"/>
        <d v="2025-07-14T00:00:00"/>
        <d v="2025-03-13T00:00:00"/>
        <d v="2025-07-22T00:00:00"/>
        <d v="2025-07-21T00:00:00"/>
        <d v="2025-07-19T00:00:00"/>
        <d v="2025-11-04T00:00:00"/>
        <d v="2025-06-19T00:00:00"/>
        <d v="2025-03-26T00:00:00"/>
        <d v="2025-07-06T00:00:00"/>
        <d v="2026-04-01T00:00:00"/>
        <d v="2025-10-28T00:00:00"/>
        <d v="2025-02-06T00:00:00"/>
        <d v="2025-03-14T00:00:00"/>
        <d v="2025-12-02T00:00:00"/>
        <d v="2026-02-14T00:00:00"/>
        <d v="2025-11-09T00:00:00"/>
        <d v="2025-02-07T00:00:00"/>
        <d v="2025-05-26T00:00:00"/>
        <d v="2025-10-04T00:00:00"/>
        <d v="2025-05-15T00:00:00"/>
        <d v="2025-06-14T00:00:00"/>
        <d v="2025-04-22T00:00:00"/>
        <d v="2025-12-16T00:00:00"/>
        <d v="2026-05-12T00:00:00"/>
        <d v="2025-11-16T00:00:00"/>
        <d v="2025-02-16T00:00:00"/>
        <d v="2025-04-28T00:00:00"/>
        <d v="2026-04-15T00:00:00"/>
        <d v="2025-02-20T00:00:00"/>
        <d v="2025-05-24T00:00:00"/>
        <d v="2026-01-06T00:00:00"/>
        <d v="2025-03-06T00:00:00"/>
        <d v="2026-04-06T00:00:00"/>
        <d v="2026-01-17T00:00:00"/>
        <d v="2025-09-21T00:00:00"/>
        <d v="2025-12-18T00:00:00"/>
        <d v="2025-06-02T00:00:00"/>
        <d v="2026-04-22T00:00:00"/>
        <d v="2026-03-06T00:00:00"/>
        <d v="2025-02-28T00:00:00"/>
        <d v="2026-01-30T00:00:00"/>
        <d v="2026-04-29T00:00:00"/>
        <d v="2025-05-18T00:00:00"/>
        <d v="2026-03-26T00:00:00"/>
        <d v="2026-01-19T00:00:00"/>
        <d v="2026-05-02T00:00:00"/>
        <d v="2025-07-20T00:00:00"/>
        <d v="2025-02-19T00:00:00"/>
        <d v="2025-04-20T00:00:00"/>
        <d v="2025-06-05T00:00:00"/>
        <d v="2025-05-20T00:00:00"/>
        <d v="2026-01-24T00:00:00"/>
        <d v="2025-06-11T00:00:00"/>
        <d v="2026-01-16T00:00:00"/>
        <d v="2026-02-20T00:00:00"/>
        <d v="2025-07-09T00:00:00"/>
        <d v="2025-02-08T00:00:00"/>
        <d v="2026-01-27T00:00:00"/>
        <d v="2026-01-08T00:00:00"/>
        <d v="2026-05-16T00:00:00"/>
        <d v="2025-05-25T00:00:00"/>
        <d v="2025-12-28T00:00:00"/>
        <d v="2025-03-23T00:00:00"/>
        <d v="2025-12-15T00:00:00"/>
        <d v="2025-11-03T00:00:00"/>
        <d v="2026-05-09T00:00:00"/>
        <d v="2025-07-08T00:00:00"/>
        <d v="2025-12-12T00:00:00"/>
        <d v="2025-05-03T00:00:00"/>
        <d v="2025-01-09T00:00:00"/>
        <d v="2025-04-17T00:00:00"/>
        <d v="2025-08-09T00:00:00"/>
        <d v="2025-06-22T00:00:00"/>
        <d v="2025-05-19T00:00:00"/>
        <d v="2025-03-29T00:00:00"/>
        <d v="2026-02-18T00:00:00"/>
        <d v="2026-01-21T00:00:00"/>
        <d v="2025-09-17T00:00:00"/>
        <d v="2025-05-12T00:00:00"/>
        <d v="2025-09-06T00:00:00"/>
        <d v="2025-04-23T00:00:00"/>
        <d v="2026-02-21T00:00:00"/>
        <d v="2025-09-22T00:00:00"/>
        <d v="2026-05-08T00:00:00"/>
        <d v="2025-03-27T00:00:00"/>
        <d v="2025-03-12T00:00:00"/>
        <d v="2026-02-13T00:00:00"/>
        <d v="2025-02-11T00:00:00"/>
        <d v="2025-01-17T00:00:00"/>
        <d v="2025-04-01T00:00:00"/>
        <d v="2026-02-25T00:00:00"/>
        <d v="2025-05-16T00:00:00"/>
        <d v="2025-07-23T00:00:00"/>
        <d v="2026-04-23T00:00:00"/>
        <d v="2025-03-02T00:00:00"/>
        <d v="2025-08-28T00:00:00"/>
        <d v="2025-10-06T00:00:00"/>
        <d v="2026-04-26T00:00:00"/>
        <d v="2025-05-08T00:00:00"/>
        <d v="2025-12-26T00:00:00"/>
        <d v="2026-02-24T00:00:00"/>
        <d v="2025-02-27T00:00:00"/>
        <d v="2025-06-03T00:00:00"/>
        <d v="2025-12-10T00:00:00"/>
        <d v="2025-11-25T00:00:00"/>
        <d v="2025-10-29T00:00:00"/>
        <d v="2026-03-05T00:00:00"/>
        <d v="2025-08-26T00:00:00"/>
        <d v="2025-04-05T00:00:00"/>
        <d v="2025-12-04T00:00:00"/>
        <d v="2026-01-05T00:00:00"/>
        <d v="2025-07-28T00:00:00"/>
        <d v="2025-10-15T00:00:00"/>
        <d v="2025-12-06T00:00:00"/>
        <d v="2025-08-05T00:00:00"/>
        <d v="2026-04-16T00:00:00"/>
        <d v="2025-12-05T00:00:00"/>
        <d v="2025-07-30T00:00:00"/>
        <d v="2025-07-18T00:00:00"/>
        <s v="Pending "/>
        <d v="2026-04-11T00:00:00"/>
        <d v="2026-05-10T00:00:00"/>
        <d v="2026-01-23T00:00:00"/>
        <d v="2025-04-30T00:00:00"/>
        <d v="2025-02-03T00:00:00"/>
        <d v="2025-06-12T00:00:00"/>
        <d v="2025-11-01T00:00:00"/>
        <d v="2025-01-24T00:00:00"/>
        <d v="2025-10-01T00:00:00"/>
        <d v="2025-09-29T00:00:00"/>
        <d v="2025-05-14T00:00:00"/>
        <d v="2026-02-19T00:00:00"/>
        <d v="2025-01-25T00:00:00"/>
        <d v="2025-06-20T00:00:00"/>
        <d v="2025-05-28T00:00:00"/>
        <d v="2025-01-28T00:00:00"/>
        <d v="2025-08-03T00:00:00"/>
        <d v="2025-01-15T00:00:00"/>
        <d v="2025-01-31T00:00:00"/>
        <d v="2025-05-13T00:00:00"/>
        <d v="2025-12-27T00:00:00"/>
        <d v="2025-07-02T00:00:00"/>
        <d v="2025-01-27T00:00:00"/>
        <d v="2026-05-11T00:00:00"/>
        <d v="2026-02-11T00:00:00"/>
        <d v="2026-03-27T00:00:00"/>
        <d v="2026-04-17T00:00:00"/>
        <d v="2025-12-29T00:00:00"/>
        <d v="2025-01-12T00:00:00"/>
        <d v="2026-01-13T00:00:00"/>
        <d v="2026-03-15T00:00:00"/>
        <d v="2025-08-27T00:00:00"/>
        <d v="2025-10-12T00:00:00"/>
        <d v="2026-01-14T00:00:00"/>
        <d v="2025-02-01T00:00:00"/>
        <d v="2025-02-22T00:00:00"/>
        <d v="2025-04-18T00:00:00"/>
        <d v="2025-03-20T00:00:00"/>
        <d v="2025-10-22T00:00:00"/>
        <d v="2025-12-31T00:00:00"/>
        <d v="2025-06-21T00:00:00"/>
        <d v="2025-05-02T00:00:00"/>
        <d v="2025-06-29T00:00:00"/>
        <d v="2026-02-12T00:00:00"/>
        <d v="2025-03-03T00:00:00"/>
        <d v="2026-04-24T00:00:00"/>
        <d v="2025-02-17T00:00:00"/>
        <d v="2026-03-22T00:00:00"/>
        <d v="2026-04-02T00:00:00"/>
        <d v="2025-02-18T00:00:00"/>
        <d v="2026-03-29T00:00:00"/>
        <d v="2025-05-04T00:00:00"/>
        <d v="2025-08-23T00:00:00"/>
        <d v="2025-05-29T00:00:00"/>
        <d v="2025-09-12T00:00:00"/>
        <d v="2026-03-04T00:00:00"/>
        <d v="2025-08-01T00:00:00"/>
        <d v="2025-04-08T00:00:00"/>
        <d v="2025-11-02T00:00:00"/>
        <d v="2025-10-18T00:00:00"/>
        <d v="2026-01-28T00:00:00"/>
        <d v="2025-01-21T00:00:00"/>
        <d v="2025-10-19T00:00:00"/>
        <d v="2026-01-12T00:00:00"/>
        <d v="2025-01-26T00:00:00"/>
        <d v="2026-04-07T00:00:00"/>
        <d v="2025-06-26T00:00:00"/>
        <d v="2026-03-23T00:00:00"/>
        <d v="2026-05-05T00:00:00"/>
        <d v="2025-02-23T00:00:00"/>
        <d v="2025-07-29T00:00:00"/>
        <d v="2025-10-21T00:00:00"/>
        <d v="2025-09-16T00:00:00"/>
      </sharedItems>
    </cacheField>
    <cacheField name="Delivery_Date" numFmtId="0">
      <sharedItems containsDate="1" containsBlank="1" containsMixedTypes="1" minDate="2026-02-25T00:00:00" maxDate="2026-02-26T00:00:00"/>
    </cacheField>
    <cacheField name="Customer_Name" numFmtId="0">
      <sharedItems/>
    </cacheField>
    <cacheField name="Gender" numFmtId="0">
      <sharedItems/>
    </cacheField>
    <cacheField name="DOB" numFmtId="0">
      <sharedItems/>
    </cacheField>
    <cacheField name="City" numFmtId="0">
      <sharedItems containsBlank="1"/>
    </cacheField>
    <cacheField name="Region" numFmtId="0">
      <sharedItems count="4">
        <s v="South"/>
        <s v="North"/>
        <s v="West"/>
        <s v="East"/>
      </sharedItems>
    </cacheField>
    <cacheField name="Category" numFmtId="0">
      <sharedItems count="3">
        <s v="Home Appliances"/>
        <s v="Electronics"/>
        <s v="Stationery"/>
      </sharedItems>
    </cacheField>
    <cacheField name="Product_Name" numFmtId="0">
      <sharedItems/>
    </cacheField>
    <cacheField name="Quantity" numFmtId="0">
      <sharedItems containsString="0" containsBlank="1" containsNumber="1" containsInteger="1" minValue="1" maxValue="20"/>
    </cacheField>
    <cacheField name="Unit_Price" numFmtId="0">
      <sharedItems containsMixedTypes="1" containsNumber="1" containsInteger="1" minValue="20" maxValue="55000"/>
    </cacheField>
    <cacheField name="Discount_%" numFmtId="9">
      <sharedItems containsSemiMixedTypes="0" containsString="0" containsNumber="1" minValue="0" maxValue="0.65"/>
    </cacheField>
    <cacheField name="Sales" numFmtId="0">
      <sharedItems containsMixedTypes="1" containsNumber="1" minValue="19" maxValue="1045000"/>
    </cacheField>
    <cacheField name="Rating" numFmtId="0">
      <sharedItems containsSemiMixedTypes="0" containsString="0" containsNumber="1" containsInteger="1" minValue="1" maxValue="5"/>
    </cacheField>
    <cacheField name="Cash" numFmtId="0">
      <sharedItems/>
    </cacheField>
    <cacheField name="Salesperson" numFmtId="0">
      <sharedItems/>
    </cacheField>
    <cacheField name="Email " numFmtId="0">
      <sharedItems/>
    </cacheField>
    <cacheField name="Phone" numFmtId="0">
      <sharedItems containsSemiMixedTypes="0" containsString="0" containsNumber="1" containsInteger="1" minValue="98765" maxValue="9999889465"/>
    </cacheField>
    <cacheField name="Order_Status" numFmtId="0">
      <sharedItems/>
    </cacheField>
    <cacheField name="Field23" caption="Field23" numFmtId="0">
      <sharedItems containsNonDate="0" containsString="0" containsBlank="1"/>
    </cacheField>
    <cacheField name="Field24" caption="Field24" numFmtId="0">
      <sharedItems containsNonDate="0" containsString="0" containsBlank="1"/>
    </cacheField>
    <cacheField name="Field25" caption="Field25" numFmtId="0">
      <sharedItems containsNonDate="0" containsString="0" containsBlank="1"/>
    </cacheField>
    <cacheField name="Field26" caption="Field26" numFmtId="0">
      <sharedItems containsNonDate="0" containsString="0" containsBlank="1"/>
    </cacheField>
    <cacheField name="Field27" caption="Field27" numFmtId="0">
      <sharedItems containsNonDate="0" containsString="0" containsBlank="1"/>
    </cacheField>
    <cacheField name="Field28" caption="Field28" numFmtId="0">
      <sharedItems containsNonDate="0" containsString="0" containsBlank="1"/>
    </cacheField>
    <cacheField name="Field29" caption="Field29" numFmtId="0">
      <sharedItems containsNonDate="0" containsString="0" containsBlank="1"/>
    </cacheField>
    <cacheField name="Field30" caption="Field30" numFmtId="0">
      <sharedItems containsNonDate="0" containsString="0" containsBlank="1"/>
    </cacheField>
    <cacheField name="Field31" caption="Field31" numFmtId="0">
      <sharedItems containsNonDate="0" containsString="0" containsBlank="1"/>
    </cacheField>
    <cacheField name="Field32" caption="Field32" numFmtId="0">
      <sharedItems containsNonDate="0" containsString="0" containsBlank="1"/>
    </cacheField>
    <cacheField name="Field33" caption="Field33" numFmtId="0">
      <sharedItems containsNonDate="0" containsString="0" containsBlank="1"/>
    </cacheField>
    <cacheField name="Field34" caption="Field34" numFmtId="0">
      <sharedItems containsNonDate="0" containsString="0" containsBlank="1"/>
    </cacheField>
    <cacheField name="Field35" caption="Field35" numFmtId="0">
      <sharedItems containsNonDate="0" containsString="0" containsBlank="1"/>
    </cacheField>
    <cacheField name="Field36" caption="Field36" numFmtId="0">
      <sharedItems containsNonDate="0" containsString="0" containsBlank="1"/>
    </cacheField>
    <cacheField name="Field37" caption="Field37" numFmtId="0">
      <sharedItems containsNonDate="0" containsString="0" containsBlank="1"/>
    </cacheField>
    <cacheField name="Field38" caption="Field38" numFmtId="0">
      <sharedItems containsNonDate="0" containsString="0" containsBlank="1"/>
    </cacheField>
    <cacheField name="Field39" caption="Field39" numFmtId="0">
      <sharedItems containsNonDate="0" containsString="0" containsBlank="1"/>
    </cacheField>
    <cacheField name="Field40" caption="Field40" numFmtId="0">
      <sharedItems containsNonDate="0" containsString="0" containsBlank="1"/>
    </cacheField>
    <cacheField name="Field41" caption="Field41" numFmtId="0">
      <sharedItems containsNonDate="0" containsString="0" containsBlank="1"/>
    </cacheField>
    <cacheField name="Field42" caption="Field42" numFmtId="0">
      <sharedItems containsNonDate="0" containsString="0" containsBlank="1"/>
    </cacheField>
    <cacheField name="Dashboard_Order_Date" numFmtId="167">
      <sharedItems containsSemiMixedTypes="0" containsNonDate="0" containsDate="1" containsString="0" minDate="2025-01-01T00:00:00" maxDate="2026-12-06T00:00:00" count="324">
        <d v="2025-09-18T00:00:00"/>
        <d v="2025-04-27T00:00:00"/>
        <d v="2025-03-09T00:00:00"/>
        <d v="2026-03-21T00:00:00"/>
        <d v="2025-09-27T00:00:00"/>
        <d v="2026-04-01T00:00:00"/>
        <d v="2025-02-28T00:00:00"/>
        <d v="2025-04-13T00:00:00"/>
        <d v="2026-01-31T00:00:00"/>
        <d v="2025-03-25T00:00:00"/>
        <d v="2025-09-19T00:00:00"/>
        <d v="2025-08-03T00:00:00"/>
        <d v="2025-10-01T00:00:00"/>
        <d v="2025-09-03T00:00:00"/>
        <d v="2025-07-26T00:00:00"/>
        <d v="2026-08-04T00:00:00"/>
        <d v="2026-02-22T00:00:00"/>
        <d v="2026-02-28T00:00:00"/>
        <d v="2025-01-12T00:00:00"/>
        <d v="2025-06-25T00:00:00"/>
        <d v="2025-04-26T00:00:00"/>
        <d v="2025-03-01T00:00:00"/>
        <d v="2025-04-19T00:00:00"/>
        <d v="2025-12-22T00:00:00"/>
        <d v="2026-09-04T00:00:00"/>
        <d v="2025-06-24T00:00:00"/>
        <d v="2025-05-22T00:00:00"/>
        <d v="2026-03-13T00:00:00"/>
        <d v="2025-08-09T00:00:00"/>
        <d v="2026-11-01T00:00:00"/>
        <d v="2025-06-16T00:00:00"/>
        <d v="2025-01-07T00:00:00"/>
        <d v="2025-07-03T00:00:00"/>
        <d v="2025-09-10T00:00:00"/>
        <d v="2025-11-19T00:00:00"/>
        <d v="2025-05-11T00:00:00"/>
        <d v="2026-08-03T00:00:00"/>
        <d v="2025-02-13T00:00:00"/>
        <d v="2025-05-10T00:00:00"/>
        <d v="2026-10-02T00:00:00"/>
        <d v="2025-04-06T00:00:00"/>
        <d v="2026-08-02T00:00:00"/>
        <d v="2025-03-30T00:00:00"/>
        <d v="2025-04-25T00:00:00"/>
        <d v="2025-10-13T00:00:00"/>
        <d v="2025-11-10T00:00:00"/>
        <d v="2025-11-27T00:00:00"/>
        <d v="2026-04-19T00:00:00"/>
        <d v="2025-03-28T00:00:00"/>
        <d v="2025-08-25T00:00:00"/>
        <d v="2025-08-19T00:00:00"/>
        <d v="2025-07-27T00:00:00"/>
        <d v="2025-02-21T00:00:00"/>
        <d v="2025-10-08T00:00:00"/>
        <d v="2026-03-24T00:00:00"/>
        <d v="2025-06-15T00:00:00"/>
        <d v="2025-05-03T00:00:00"/>
        <d v="2025-08-16T00:00:00"/>
        <d v="2026-05-13T00:00:00"/>
        <d v="2025-01-03T00:00:00"/>
        <d v="2025-09-02T00:00:00"/>
        <d v="2026-09-01T00:00:00"/>
        <d v="2025-01-09T00:00:00"/>
        <d v="2026-09-02T00:00:00"/>
        <d v="2025-12-14T00:00:00"/>
        <d v="2025-07-04T00:00:00"/>
        <d v="2025-12-24T00:00:00"/>
        <d v="2025-08-30T00:00:00"/>
        <d v="2025-12-13T00:00:00"/>
        <d v="2026-04-02T00:00:00"/>
        <d v="2026-01-26T00:00:00"/>
        <d v="2025-06-27T00:00:00"/>
        <d v="2026-03-17T00:00:00"/>
        <d v="2025-09-06T00:00:00"/>
        <d v="2025-11-15T00:00:00"/>
        <d v="2025-06-11T00:00:00"/>
        <d v="2025-01-01T00:00:00"/>
        <d v="2026-04-25T00:00:00"/>
        <d v="2025-03-18T00:00:00"/>
        <d v="2025-10-30T00:00:00"/>
        <d v="2025-10-31T00:00:00"/>
        <d v="2025-10-04T00:00:00"/>
        <d v="2026-03-16T00:00:00"/>
        <d v="2025-09-15T00:00:00"/>
        <d v="2026-11-03T00:00:00"/>
        <d v="2025-08-20T00:00:00"/>
        <d v="2025-08-13T00:00:00"/>
        <d v="2025-03-16T00:00:00"/>
        <d v="2025-04-09T00:00:00"/>
        <d v="2025-12-04T00:00:00"/>
        <d v="2026-04-05T00:00:00"/>
        <d v="2026-01-18T00:00:00"/>
        <d v="2026-03-14T00:00:00"/>
        <d v="2025-09-05T00:00:00"/>
        <d v="2026-07-05T00:00:00"/>
        <d v="2025-04-21T00:00:00"/>
        <d v="2025-11-12T00:00:00"/>
        <d v="2025-01-13T00:00:00"/>
        <d v="2025-03-17T00:00:00"/>
        <d v="2025-02-25T00:00:00"/>
        <d v="2025-02-26T00:00:00"/>
        <d v="2025-10-07T00:00:00"/>
        <d v="2025-11-18T00:00:00"/>
        <d v="2025-09-04T00:00:00"/>
        <d v="2026-03-04T00:00:00"/>
        <d v="2025-10-23T00:00:00"/>
        <d v="2025-03-04T00:00:00"/>
        <d v="2025-08-24T00:00:00"/>
        <d v="2025-05-31T00:00:00"/>
        <d v="2025-05-30T00:00:00"/>
        <d v="2026-03-01T00:00:00"/>
        <d v="2025-10-20T00:00:00"/>
        <d v="2025-11-05T00:00:00"/>
        <d v="2026-02-01T00:00:00"/>
        <d v="2026-04-20T00:00:00"/>
        <d v="2025-04-08T00:00:00"/>
        <d v="2026-04-27T00:00:00"/>
        <d v="2026-02-17T00:00:00"/>
        <d v="2026-04-04T00:00:00"/>
        <d v="2025-08-06T00:00:00"/>
        <d v="2025-07-25T00:00:00"/>
        <d v="2025-01-16T00:00:00"/>
        <d v="2025-04-02T00:00:00"/>
        <d v="2025-01-22T00:00:00"/>
        <d v="2025-11-04T00:00:00"/>
        <d v="2025-04-07T00:00:00"/>
        <d v="2025-12-17T00:00:00"/>
        <d v="2025-10-10T00:00:00"/>
        <d v="2026-07-03T00:00:00"/>
        <d v="2025-12-23T00:00:00"/>
        <d v="2025-07-07T00:00:00"/>
        <d v="2026-03-05T00:00:00"/>
        <d v="2025-11-29T00:00:00"/>
        <d v="2025-07-14T00:00:00"/>
        <d v="2025-03-13T00:00:00"/>
        <d v="2025-07-22T00:00:00"/>
        <d v="2025-07-21T00:00:00"/>
        <d v="2025-07-19T00:00:00"/>
        <d v="2025-04-11T00:00:00"/>
        <d v="2025-06-19T00:00:00"/>
        <d v="2025-03-26T00:00:00"/>
        <d v="2025-06-07T00:00:00"/>
        <d v="2026-01-04T00:00:00"/>
        <d v="2025-10-28T00:00:00"/>
        <d v="2025-06-02T00:00:00"/>
        <d v="2025-03-14T00:00:00"/>
        <d v="2025-02-12T00:00:00"/>
        <d v="2026-02-14T00:00:00"/>
        <d v="2025-09-11T00:00:00"/>
        <d v="2025-07-02T00:00:00"/>
        <d v="2025-05-26T00:00:00"/>
        <d v="2025-04-10T00:00:00"/>
        <d v="2025-05-15T00:00:00"/>
        <d v="2025-06-14T00:00:00"/>
        <d v="2025-04-22T00:00:00"/>
        <d v="2025-12-16T00:00:00"/>
        <d v="2026-12-05T00:00:00"/>
        <d v="2025-11-16T00:00:00"/>
        <d v="2025-02-16T00:00:00"/>
        <d v="2025-04-28T00:00:00"/>
        <d v="2026-04-15T00:00:00"/>
        <d v="2025-02-20T00:00:00"/>
        <d v="2025-05-24T00:00:00"/>
        <d v="2026-06-01T00:00:00"/>
        <d v="2025-06-03T00:00:00"/>
        <d v="2026-06-04T00:00:00"/>
        <d v="2026-01-17T00:00:00"/>
        <d v="2025-09-21T00:00:00"/>
        <d v="2025-12-18T00:00:00"/>
        <d v="2025-02-06T00:00:00"/>
        <d v="2026-04-22T00:00:00"/>
        <d v="2026-06-03T00:00:00"/>
        <d v="2026-01-30T00:00:00"/>
        <d v="2026-04-29T00:00:00"/>
        <d v="2025-05-18T00:00:00"/>
        <d v="2026-03-26T00:00:00"/>
        <d v="2026-01-19T00:00:00"/>
        <d v="2026-02-05T00:00:00"/>
        <d v="2025-07-20T00:00:00"/>
        <d v="2025-02-19T00:00:00"/>
        <d v="2025-04-20T00:00:00"/>
        <d v="2025-05-06T00:00:00"/>
        <d v="2025-05-20T00:00:00"/>
        <d v="2026-01-24T00:00:00"/>
        <d v="2025-11-06T00:00:00"/>
        <d v="2026-01-16T00:00:00"/>
        <d v="2026-02-20T00:00:00"/>
        <d v="2025-09-07T00:00:00"/>
        <d v="2025-08-02T00:00:00"/>
        <d v="2026-01-27T00:00:00"/>
        <d v="2026-08-01T00:00:00"/>
        <d v="2026-05-16T00:00:00"/>
        <d v="2025-05-25T00:00:00"/>
        <d v="2025-12-28T00:00:00"/>
        <d v="2025-03-23T00:00:00"/>
        <d v="2025-12-15T00:00:00"/>
        <d v="2025-03-11T00:00:00"/>
        <d v="2026-09-05T00:00:00"/>
        <d v="2025-08-07T00:00:00"/>
        <d v="2025-12-12T00:00:00"/>
        <d v="2025-03-05T00:00:00"/>
        <d v="2025-09-01T00:00:00"/>
        <d v="2025-04-17T00:00:00"/>
        <d v="2025-09-08T00:00:00"/>
        <d v="2025-06-22T00:00:00"/>
        <d v="2025-05-19T00:00:00"/>
        <d v="2025-03-29T00:00:00"/>
        <d v="2026-02-18T00:00:00"/>
        <d v="2026-01-21T00:00:00"/>
        <d v="2025-09-17T00:00:00"/>
        <d v="2025-12-05T00:00:00"/>
        <d v="2025-06-09T00:00:00"/>
        <d v="2025-04-23T00:00:00"/>
        <d v="2026-02-21T00:00:00"/>
        <d v="2025-09-22T00:00:00"/>
        <d v="2026-08-05T00:00:00"/>
        <d v="2025-03-27T00:00:00"/>
        <d v="2025-12-03T00:00:00"/>
        <d v="2026-02-13T00:00:00"/>
        <d v="2025-11-02T00:00:00"/>
        <d v="2025-01-17T00:00:00"/>
        <d v="2025-01-04T00:00:00"/>
        <d v="2026-02-25T00:00:00"/>
        <d v="2025-05-16T00:00:00"/>
        <d v="2025-07-23T00:00:00"/>
        <d v="2026-04-23T00:00:00"/>
        <d v="2025-02-03T00:00:00"/>
        <d v="2025-08-28T00:00:00"/>
        <d v="2025-06-10T00:00:00"/>
        <d v="2026-04-26T00:00:00"/>
        <d v="2025-08-05T00:00:00"/>
        <d v="2025-12-26T00:00:00"/>
        <d v="2026-02-24T00:00:00"/>
        <d v="2025-02-27T00:00:00"/>
        <d v="2025-03-06T00:00:00"/>
        <d v="2025-10-12T00:00:00"/>
        <d v="2025-11-25T00:00:00"/>
        <d v="2025-10-29T00:00:00"/>
        <d v="2026-05-03T00:00:00"/>
        <d v="2025-08-26T00:00:00"/>
        <d v="2025-05-04T00:00:00"/>
        <d v="2025-04-12T00:00:00"/>
        <d v="2026-05-01T00:00:00"/>
        <d v="2025-07-28T00:00:00"/>
        <d v="2025-10-15T00:00:00"/>
        <d v="2025-06-12T00:00:00"/>
        <d v="2025-05-08T00:00:00"/>
        <d v="2026-04-16T00:00:00"/>
        <d v="2025-05-12T00:00:00"/>
        <d v="2025-07-30T00:00:00"/>
        <d v="2025-07-18T00:00:00"/>
        <d v="2026-11-04T00:00:00"/>
        <d v="2026-10-05T00:00:00"/>
        <d v="2026-01-23T00:00:00"/>
        <d v="2025-04-30T00:00:00"/>
        <d v="2025-03-02T00:00:00"/>
        <d v="2025-12-06T00:00:00"/>
        <d v="2025-01-11T00:00:00"/>
        <d v="2025-01-24T00:00:00"/>
        <d v="2025-01-10T00:00:00"/>
        <d v="2025-09-29T00:00:00"/>
        <d v="2025-05-14T00:00:00"/>
        <d v="2026-02-19T00:00:00"/>
        <d v="2025-01-25T00:00:00"/>
        <d v="2025-06-20T00:00:00"/>
        <d v="2025-05-28T00:00:00"/>
        <d v="2025-01-28T00:00:00"/>
        <d v="2025-03-08T00:00:00"/>
        <d v="2025-01-15T00:00:00"/>
        <d v="2025-01-31T00:00:00"/>
        <d v="2025-05-13T00:00:00"/>
        <d v="2025-12-27T00:00:00"/>
        <d v="2025-02-07T00:00:00"/>
        <d v="2025-01-27T00:00:00"/>
        <d v="2026-11-05T00:00:00"/>
        <d v="2026-11-02T00:00:00"/>
        <d v="2026-03-27T00:00:00"/>
        <d v="2026-04-17T00:00:00"/>
        <d v="2025-12-29T00:00:00"/>
        <d v="2025-12-01T00:00:00"/>
        <d v="2026-01-13T00:00:00"/>
        <d v="2026-03-15T00:00:00"/>
        <d v="2025-08-27T00:00:00"/>
        <d v="2025-12-10T00:00:00"/>
        <d v="2026-01-14T00:00:00"/>
        <d v="2025-01-02T00:00:00"/>
        <d v="2025-02-22T00:00:00"/>
        <d v="2025-04-18T00:00:00"/>
        <d v="2025-03-20T00:00:00"/>
        <d v="2025-10-22T00:00:00"/>
        <d v="2025-12-31T00:00:00"/>
        <d v="2025-06-21T00:00:00"/>
        <d v="2025-02-05T00:00:00"/>
        <d v="2025-06-29T00:00:00"/>
        <d v="2026-12-02T00:00:00"/>
        <d v="2025-03-03T00:00:00"/>
        <d v="2026-04-24T00:00:00"/>
        <d v="2025-02-17T00:00:00"/>
        <d v="2026-03-22T00:00:00"/>
        <d v="2026-02-04T00:00:00"/>
        <d v="2025-02-18T00:00:00"/>
        <d v="2026-03-29T00:00:00"/>
        <d v="2025-04-05T00:00:00"/>
        <d v="2025-08-23T00:00:00"/>
        <d v="2025-05-29T00:00:00"/>
        <d v="2025-12-09T00:00:00"/>
        <d v="2026-04-03T00:00:00"/>
        <d v="2025-01-08T00:00:00"/>
        <d v="2025-08-04T00:00:00"/>
        <d v="2025-02-11T00:00:00"/>
        <d v="2025-10-18T00:00:00"/>
        <d v="2026-01-28T00:00:00"/>
        <d v="2025-01-21T00:00:00"/>
        <d v="2025-10-19T00:00:00"/>
        <d v="2026-12-01T00:00:00"/>
        <d v="2025-01-26T00:00:00"/>
        <d v="2026-07-04T00:00:00"/>
        <d v="2025-06-26T00:00:00"/>
        <d v="2026-03-23T00:00:00"/>
        <d v="2026-05-05T00:00:00"/>
        <d v="2025-02-23T00:00:00"/>
        <d v="2025-07-29T00:00:00"/>
        <d v="2025-10-21T00:00:00"/>
        <d v="2025-09-16T00:00:00"/>
      </sharedItems>
      <fieldGroup par="44"/>
    </cacheField>
    <cacheField name="Months (Dashboard_Order_Date)" numFmtId="0" databaseField="0">
      <fieldGroup base="42">
        <rangePr groupBy="months" startDate="2025-01-01T00:00:00" endDate="2026-12-06T00:00:00"/>
        <groupItems count="14">
          <s v="&lt;1/1/2025"/>
          <s v="Jan"/>
          <s v="Feb"/>
          <s v="Mar"/>
          <s v="Apr"/>
          <s v="May"/>
          <s v="Jun"/>
          <s v="Jul"/>
          <s v="Aug"/>
          <s v="Sep"/>
          <s v="Oct"/>
          <s v="Nov"/>
          <s v="Dec"/>
          <s v="&gt;12/6/2026"/>
        </groupItems>
      </fieldGroup>
    </cacheField>
    <cacheField name="Years (Dashboard_Order_Date)" numFmtId="0" databaseField="0">
      <fieldGroup base="42">
        <rangePr groupBy="years" startDate="2025-01-01T00:00:00" endDate="2026-12-06T00:00:00"/>
        <groupItems count="4">
          <s v="&lt;1/1/2025"/>
          <s v="2025"/>
          <s v="2026"/>
          <s v="&gt;12/6/2026"/>
        </groupItems>
      </fieldGroup>
    </cacheField>
  </cacheFields>
  <extLst>
    <ext xmlns:x14="http://schemas.microsoft.com/office/spreadsheetml/2009/9/main" uri="{725AE2AE-9491-48be-B2B4-4EB974FC3084}">
      <x14:pivotCacheDefinition pivotCacheId="19989985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01"/>
    <s v="C008"/>
    <s v="P202"/>
    <x v="0"/>
    <s v="22/09/2025"/>
    <s v="Kavya Nair"/>
    <s v="Female"/>
    <s v="01/08/1976"/>
    <s v="Hyderabad"/>
    <x v="0"/>
    <x v="0"/>
    <s v="Iron"/>
    <n v="4"/>
    <n v="2200"/>
    <n v="0.1"/>
    <n v="7920"/>
    <n v="4"/>
    <s v="Cash"/>
    <s v="Ritika"/>
    <s v="kavya.nair@company.com"/>
    <n v="9431429797"/>
    <s v="Completed"/>
    <m/>
    <m/>
    <m/>
    <m/>
    <m/>
    <m/>
    <m/>
    <m/>
    <m/>
    <m/>
    <m/>
    <m/>
    <m/>
    <m/>
    <m/>
    <m/>
    <m/>
    <m/>
    <m/>
    <m/>
    <x v="0"/>
  </r>
  <r>
    <s v="ORD10002"/>
    <s v="C008"/>
    <s v="P104"/>
    <x v="1"/>
    <s v="04/05/2025"/>
    <s v="Kavya Nair"/>
    <s v="Female"/>
    <s v="16/10/2000"/>
    <s v="Delhi"/>
    <x v="1"/>
    <x v="1"/>
    <s v="Monitor"/>
    <n v="17"/>
    <n v="12000"/>
    <n v="0.1"/>
    <n v="183600"/>
    <n v="1"/>
    <s v="NetBanking"/>
    <s v="Rahul"/>
    <s v="kavya.nair@company.com"/>
    <n v="9129865339"/>
    <s v="Completed"/>
    <m/>
    <m/>
    <m/>
    <m/>
    <m/>
    <m/>
    <m/>
    <m/>
    <m/>
    <m/>
    <m/>
    <m/>
    <m/>
    <m/>
    <m/>
    <m/>
    <m/>
    <m/>
    <m/>
    <m/>
    <x v="1"/>
  </r>
  <r>
    <s v="ORD10003"/>
    <s v="C010"/>
    <s v="P101"/>
    <x v="2"/>
    <s v="14/09/2025"/>
    <s v="Pooja Shah"/>
    <s v="Female"/>
    <s v="16/09/1994"/>
    <s v="Bengaluru"/>
    <x v="0"/>
    <x v="1"/>
    <s v="Laptop"/>
    <n v="5"/>
    <n v="55000"/>
    <n v="0.05"/>
    <n v="261250"/>
    <n v="3"/>
    <s v="NetBanking"/>
    <s v="Aisha"/>
    <s v="pooja.shah@company.com"/>
    <n v="9380975626"/>
    <s v="Pending"/>
    <m/>
    <m/>
    <m/>
    <m/>
    <m/>
    <m/>
    <m/>
    <m/>
    <m/>
    <m/>
    <m/>
    <m/>
    <m/>
    <m/>
    <m/>
    <m/>
    <m/>
    <m/>
    <m/>
    <m/>
    <x v="2"/>
  </r>
  <r>
    <s v="ORD10002"/>
    <s v="C008"/>
    <s v="P202"/>
    <x v="3"/>
    <s v="02/04/2026"/>
    <s v="Kavya Nair"/>
    <s v="Female"/>
    <s v="07/03/2004"/>
    <s v="Bengaluru"/>
    <x v="0"/>
    <x v="0"/>
    <s v="Iron"/>
    <n v="5"/>
    <n v="2200"/>
    <n v="0.05"/>
    <n v="10450"/>
    <n v="5"/>
    <s v="NetBanking"/>
    <s v="Aisha"/>
    <s v="kavya.nair@company.com"/>
    <n v="9600261125"/>
    <s v="Cancelled"/>
    <m/>
    <m/>
    <m/>
    <m/>
    <m/>
    <m/>
    <m/>
    <m/>
    <m/>
    <m/>
    <m/>
    <m/>
    <m/>
    <m/>
    <m/>
    <m/>
    <m/>
    <m/>
    <m/>
    <m/>
    <x v="3"/>
  </r>
  <r>
    <s v="ORD10005"/>
    <s v="C009"/>
    <s v="P103"/>
    <x v="4"/>
    <s v="07/10/2025"/>
    <s v="Mohit Verma"/>
    <s v="Male"/>
    <s v="13/04/1976"/>
    <s v="Delhi"/>
    <x v="1"/>
    <x v="1"/>
    <s v="Keyboard"/>
    <n v="8"/>
    <n v="1200"/>
    <n v="0.05"/>
    <n v="9120"/>
    <n v="2"/>
    <s v="Card"/>
    <s v="Aisha"/>
    <s v="mohit.verma@company.com"/>
    <n v="9724635978"/>
    <s v="Pending"/>
    <m/>
    <m/>
    <m/>
    <m/>
    <m/>
    <m/>
    <m/>
    <m/>
    <m/>
    <m/>
    <m/>
    <m/>
    <m/>
    <m/>
    <m/>
    <m/>
    <m/>
    <m/>
    <m/>
    <m/>
    <x v="4"/>
  </r>
  <r>
    <s v="ORD10006"/>
    <s v="C007"/>
    <s v="P202"/>
    <x v="5"/>
    <s v="12/01/2026"/>
    <s v="Arjun Rao"/>
    <s v="Male"/>
    <s v="07/02/1988"/>
    <s v="Hyderabad"/>
    <x v="0"/>
    <x v="0"/>
    <s v="Iron"/>
    <n v="4"/>
    <n v="2200"/>
    <n v="0"/>
    <n v="8800"/>
    <n v="1"/>
    <s v="UPI"/>
    <s v="Ritika"/>
    <s v="arjun.rao@company.com"/>
    <n v="9780584905"/>
    <s v="Completed"/>
    <m/>
    <m/>
    <m/>
    <m/>
    <m/>
    <m/>
    <m/>
    <m/>
    <m/>
    <m/>
    <m/>
    <m/>
    <m/>
    <m/>
    <m/>
    <m/>
    <m/>
    <m/>
    <m/>
    <m/>
    <x v="5"/>
  </r>
  <r>
    <s v="ORD10007"/>
    <s v="C008"/>
    <s v="P201"/>
    <x v="6"/>
    <d v="2026-02-25T00:00:00"/>
    <s v="Kavya Nair"/>
    <s v="Female"/>
    <s v="20/03/2003"/>
    <s v="Hyderabad"/>
    <x v="0"/>
    <x v="0"/>
    <s v="Mixer"/>
    <n v="2"/>
    <n v="3500"/>
    <n v="0.05"/>
    <n v="6650"/>
    <n v="1"/>
    <s v="UPI"/>
    <s v="Ritika"/>
    <s v="kavya.nair@company.com"/>
    <n v="9958252176"/>
    <s v="Completed"/>
    <m/>
    <m/>
    <m/>
    <m/>
    <m/>
    <m/>
    <m/>
    <m/>
    <m/>
    <m/>
    <m/>
    <m/>
    <m/>
    <m/>
    <m/>
    <m/>
    <m/>
    <m/>
    <m/>
    <m/>
    <x v="6"/>
  </r>
  <r>
    <s v="ORD10008"/>
    <s v="C002"/>
    <s v="P104"/>
    <x v="7"/>
    <s v="19/04/2025"/>
    <s v="Priya Patel"/>
    <s v="Female"/>
    <s v="07/03/1995"/>
    <s v="Mumbai"/>
    <x v="2"/>
    <x v="1"/>
    <s v="Monitor"/>
    <n v="14"/>
    <n v="12000"/>
    <n v="0.15"/>
    <n v="142800"/>
    <n v="4"/>
    <s v="NetBanking"/>
    <s v="Ritika"/>
    <s v="priya.patel@company.com"/>
    <n v="9705521654"/>
    <s v="Completed"/>
    <m/>
    <m/>
    <m/>
    <m/>
    <m/>
    <m/>
    <m/>
    <m/>
    <m/>
    <m/>
    <m/>
    <m/>
    <m/>
    <m/>
    <m/>
    <m/>
    <m/>
    <m/>
    <m/>
    <m/>
    <x v="7"/>
  </r>
  <r>
    <s v="ORD10009"/>
    <s v="C008"/>
    <s v="P104"/>
    <x v="8"/>
    <s v="02/02/2026"/>
    <s v="Kavya Nair"/>
    <s v="Female"/>
    <s v="06/04/1997"/>
    <s v="Pune"/>
    <x v="2"/>
    <x v="1"/>
    <s v="Monitor"/>
    <n v="4"/>
    <n v="12000"/>
    <n v="0.15"/>
    <n v="40800"/>
    <n v="4"/>
    <s v="UPI"/>
    <s v="Neha"/>
    <s v="kavya.nair@company.com"/>
    <n v="9588041011"/>
    <s v="Completed"/>
    <m/>
    <m/>
    <m/>
    <m/>
    <m/>
    <m/>
    <m/>
    <m/>
    <m/>
    <m/>
    <m/>
    <m/>
    <m/>
    <m/>
    <m/>
    <m/>
    <m/>
    <m/>
    <m/>
    <m/>
    <x v="8"/>
  </r>
  <r>
    <s v="ORD10010"/>
    <s v="C002"/>
    <s v="P301"/>
    <x v="9"/>
    <s v="27/03/2025"/>
    <s v="Priya Patel"/>
    <s v="Female"/>
    <s v="07/01/1990"/>
    <s v="Mumbai"/>
    <x v="2"/>
    <x v="2"/>
    <s v="Notebook"/>
    <n v="6"/>
    <n v="60"/>
    <n v="0"/>
    <n v="360"/>
    <n v="4"/>
    <s v="Card"/>
    <s v="Neha"/>
    <s v="priya.patel@company.com"/>
    <n v="9340540608"/>
    <s v="Completed"/>
    <m/>
    <m/>
    <m/>
    <m/>
    <m/>
    <m/>
    <m/>
    <m/>
    <m/>
    <m/>
    <m/>
    <m/>
    <m/>
    <m/>
    <m/>
    <m/>
    <m/>
    <m/>
    <m/>
    <m/>
    <x v="9"/>
  </r>
  <r>
    <s v="ORD10011"/>
    <s v="C003"/>
    <s v="P202"/>
    <x v="10"/>
    <s v="23/09/2025"/>
    <s v="Rohit Singh"/>
    <s v="Male"/>
    <s v="10/05/1982"/>
    <s v="Delhi"/>
    <x v="1"/>
    <x v="0"/>
    <s v="Iron"/>
    <n v="3"/>
    <n v="2200"/>
    <n v="0"/>
    <n v="35200"/>
    <n v="2"/>
    <s v="Card"/>
    <s v="Rahul"/>
    <s v="rohit.singh@company.com"/>
    <n v="9521710321"/>
    <s v="Pending"/>
    <m/>
    <m/>
    <m/>
    <m/>
    <m/>
    <m/>
    <m/>
    <m/>
    <m/>
    <m/>
    <m/>
    <m/>
    <m/>
    <m/>
    <m/>
    <m/>
    <m/>
    <m/>
    <m/>
    <m/>
    <x v="10"/>
  </r>
  <r>
    <s v="ORD10012"/>
    <s v="C008"/>
    <s v="P201"/>
    <x v="11"/>
    <s v="15/03/2025"/>
    <s v="Kavya Nair"/>
    <s v="Female"/>
    <s v="23/01/1982"/>
    <s v="Ahmedabad"/>
    <x v="2"/>
    <x v="0"/>
    <s v="Mixer"/>
    <n v="10"/>
    <n v="3500"/>
    <n v="0.05"/>
    <n v="33250"/>
    <n v="5"/>
    <s v="Card"/>
    <s v="Aisha"/>
    <s v="kavya.nair@company.com"/>
    <n v="9123535241"/>
    <s v="Cancelled"/>
    <m/>
    <m/>
    <m/>
    <m/>
    <m/>
    <m/>
    <m/>
    <m/>
    <m/>
    <m/>
    <m/>
    <m/>
    <m/>
    <m/>
    <m/>
    <m/>
    <m/>
    <m/>
    <m/>
    <m/>
    <x v="11"/>
  </r>
  <r>
    <s v="ORD10013"/>
    <s v="C002"/>
    <s v="P202"/>
    <x v="12"/>
    <s v="15/01/2025"/>
    <s v="Priya Patel"/>
    <s v="Female"/>
    <s v="06/07/1992"/>
    <s v="Pune"/>
    <x v="2"/>
    <x v="0"/>
    <s v="Iron"/>
    <n v="15"/>
    <n v="2200"/>
    <n v="0.1"/>
    <n v="29700"/>
    <n v="1"/>
    <s v="UPI"/>
    <s v="Neha"/>
    <s v="priya.patel@company.com"/>
    <n v="9367316892"/>
    <s v="Pending"/>
    <m/>
    <m/>
    <m/>
    <m/>
    <m/>
    <m/>
    <m/>
    <m/>
    <m/>
    <m/>
    <m/>
    <m/>
    <m/>
    <m/>
    <m/>
    <m/>
    <m/>
    <m/>
    <m/>
    <m/>
    <x v="12"/>
  </r>
  <r>
    <s v="ORD10014"/>
    <s v="C003"/>
    <s v="P202"/>
    <x v="13"/>
    <s v="13/03/2025"/>
    <s v="Rohit Singh"/>
    <s v="Male"/>
    <s v="19/03/2002"/>
    <s v="Mumbai"/>
    <x v="2"/>
    <x v="0"/>
    <s v="Iron"/>
    <n v="17"/>
    <n v="2200"/>
    <n v="0.05"/>
    <n v="35530"/>
    <n v="1"/>
    <s v="Cash"/>
    <s v="Karan"/>
    <s v="rohit.singh@company.com"/>
    <n v="9778489803"/>
    <s v="Completed"/>
    <m/>
    <m/>
    <m/>
    <m/>
    <m/>
    <m/>
    <m/>
    <m/>
    <m/>
    <m/>
    <m/>
    <m/>
    <m/>
    <m/>
    <m/>
    <m/>
    <m/>
    <m/>
    <m/>
    <m/>
    <x v="13"/>
  </r>
  <r>
    <s v="ORD10015"/>
    <s v="C008"/>
    <s v="P201"/>
    <x v="14"/>
    <s v="07/08/2025"/>
    <s v="Kavya Nair"/>
    <s v="Female"/>
    <s v="17/01/2001"/>
    <s v="Mumbai"/>
    <x v="2"/>
    <x v="0"/>
    <s v="Mixer"/>
    <n v="15"/>
    <n v="3500"/>
    <n v="0.15"/>
    <n v="44625"/>
    <n v="2"/>
    <s v="Cash"/>
    <s v="Neha"/>
    <s v="kavya.nair@company.com"/>
    <n v="9582960180"/>
    <s v="Cancelled"/>
    <m/>
    <m/>
    <m/>
    <m/>
    <m/>
    <m/>
    <m/>
    <m/>
    <m/>
    <m/>
    <m/>
    <m/>
    <m/>
    <m/>
    <m/>
    <m/>
    <m/>
    <m/>
    <m/>
    <m/>
    <x v="14"/>
  </r>
  <r>
    <s v="ORD10016"/>
    <s v="C010"/>
    <s v="P103"/>
    <x v="15"/>
    <s v="11/04/2026"/>
    <s v="Pooja Shah"/>
    <s v="Female"/>
    <s v="11/04/2002"/>
    <s v="Hyderabad"/>
    <x v="0"/>
    <x v="1"/>
    <s v="Keyboard"/>
    <n v="3"/>
    <n v="1200"/>
    <n v="0.05"/>
    <n v="3420"/>
    <n v="5"/>
    <s v="UPI"/>
    <s v="Ritika"/>
    <s v="pooja.shahcompany.com"/>
    <n v="9611394005"/>
    <s v="Completed"/>
    <m/>
    <m/>
    <m/>
    <m/>
    <m/>
    <m/>
    <m/>
    <m/>
    <m/>
    <m/>
    <m/>
    <m/>
    <m/>
    <m/>
    <m/>
    <m/>
    <m/>
    <m/>
    <m/>
    <m/>
    <x v="15"/>
  </r>
  <r>
    <s v="ORD10017"/>
    <s v="C004"/>
    <s v="P203"/>
    <x v="16"/>
    <s v="03/03/2026"/>
    <s v="Amit Sharma"/>
    <s v="Female"/>
    <s v="16/01/2002"/>
    <s v="Pune"/>
    <x v="2"/>
    <x v="0"/>
    <s v="Microwave"/>
    <n v="13"/>
    <n v="8500"/>
    <n v="0.2"/>
    <n v="88400"/>
    <n v="4"/>
    <s v="Card"/>
    <s v="Rahul"/>
    <s v="anita.gupta@company.com"/>
    <n v="9692599404"/>
    <s v="Pending"/>
    <m/>
    <m/>
    <m/>
    <m/>
    <m/>
    <m/>
    <m/>
    <m/>
    <m/>
    <m/>
    <m/>
    <m/>
    <m/>
    <m/>
    <m/>
    <m/>
    <m/>
    <m/>
    <m/>
    <m/>
    <x v="16"/>
  </r>
  <r>
    <s v="ORD10018"/>
    <s v="C007"/>
    <s v="P203"/>
    <x v="17"/>
    <s v="05/03/2026"/>
    <s v="Arjun Rao"/>
    <s v="Male"/>
    <s v="09/10/1989"/>
    <s v="Ahmedabad"/>
    <x v="2"/>
    <x v="0"/>
    <s v="Microwave"/>
    <n v="4"/>
    <n v="8500"/>
    <n v="0.2"/>
    <n v="27200"/>
    <n v="5"/>
    <s v="Card"/>
    <s v="Aisha"/>
    <s v="arjun.rao@company.com"/>
    <n v="9426119622"/>
    <s v="Pending"/>
    <m/>
    <m/>
    <m/>
    <m/>
    <m/>
    <m/>
    <m/>
    <m/>
    <m/>
    <m/>
    <m/>
    <m/>
    <m/>
    <m/>
    <m/>
    <m/>
    <m/>
    <m/>
    <m/>
    <m/>
    <x v="17"/>
  </r>
  <r>
    <s v="ORD10019"/>
    <s v="C007"/>
    <s v="P102"/>
    <x v="18"/>
    <s v="04/12/2025"/>
    <s v="Arjun Rao"/>
    <s v="Male"/>
    <s v="28/10/1991"/>
    <s v="Mumbai"/>
    <x v="2"/>
    <x v="1"/>
    <s v="Mouse"/>
    <n v="9"/>
    <n v="700"/>
    <n v="0.05"/>
    <n v="5985"/>
    <n v="3"/>
    <s v="UPI"/>
    <s v="Ritika"/>
    <s v="arjun.rao@company.com"/>
    <n v="9184436009"/>
    <s v="Pending"/>
    <m/>
    <m/>
    <m/>
    <m/>
    <m/>
    <m/>
    <m/>
    <m/>
    <m/>
    <m/>
    <m/>
    <m/>
    <m/>
    <m/>
    <m/>
    <m/>
    <m/>
    <m/>
    <m/>
    <m/>
    <x v="18"/>
  </r>
  <r>
    <s v="ORD10020"/>
    <s v="C008"/>
    <s v="P101"/>
    <x v="19"/>
    <s v="03/07/2025"/>
    <s v="Kavya Nair"/>
    <s v="Female"/>
    <s v="01/03/1990"/>
    <s v="Ahmedabad"/>
    <x v="2"/>
    <x v="1"/>
    <s v="Laptop"/>
    <n v="8"/>
    <n v="55000"/>
    <n v="0.2"/>
    <n v="352000"/>
    <n v="1"/>
    <s v="Cash"/>
    <s v="Karan"/>
    <s v="kavya.nair@company.com"/>
    <n v="9263774934"/>
    <s v="Completed"/>
    <m/>
    <m/>
    <m/>
    <m/>
    <m/>
    <m/>
    <m/>
    <m/>
    <m/>
    <m/>
    <m/>
    <m/>
    <m/>
    <m/>
    <m/>
    <m/>
    <m/>
    <m/>
    <m/>
    <m/>
    <x v="19"/>
  </r>
  <r>
    <s v="ORD10021"/>
    <s v="C003"/>
    <s v="P102"/>
    <x v="20"/>
    <s v="05/05/2025"/>
    <s v="Rohit Singh"/>
    <s v="Male"/>
    <s v="18/07/2002"/>
    <s v="Delhi"/>
    <x v="1"/>
    <x v="1"/>
    <s v="Mouse"/>
    <n v="10"/>
    <n v="700"/>
    <n v="0.2"/>
    <n v="5600"/>
    <n v="4"/>
    <s v="Card"/>
    <s v="Aisha"/>
    <s v="rohit.singh@company.com"/>
    <n v="9473159572"/>
    <s v="Cancelled"/>
    <m/>
    <m/>
    <m/>
    <m/>
    <m/>
    <m/>
    <m/>
    <m/>
    <m/>
    <m/>
    <m/>
    <m/>
    <m/>
    <m/>
    <m/>
    <m/>
    <m/>
    <m/>
    <m/>
    <m/>
    <x v="20"/>
  </r>
  <r>
    <s v="ORD10022"/>
    <s v="C008"/>
    <s v="P201"/>
    <x v="21"/>
    <s v="08/01/2025"/>
    <s v="Kavya Nair"/>
    <s v="Female"/>
    <s v="15/12/2004"/>
    <s v="Bengaluru"/>
    <x v="0"/>
    <x v="0"/>
    <s v="Mixer"/>
    <n v="1"/>
    <n v="3500"/>
    <n v="0.05"/>
    <n v="3325"/>
    <n v="3"/>
    <s v="UPI"/>
    <s v="Neha"/>
    <s v="kavya.nair@company.com"/>
    <n v="9660493688"/>
    <s v="Cancelled"/>
    <m/>
    <m/>
    <m/>
    <m/>
    <m/>
    <m/>
    <m/>
    <m/>
    <m/>
    <m/>
    <m/>
    <m/>
    <m/>
    <m/>
    <m/>
    <m/>
    <m/>
    <m/>
    <m/>
    <m/>
    <x v="21"/>
  </r>
  <r>
    <s v="ORD10023"/>
    <s v="C002"/>
    <s v="P102"/>
    <x v="22"/>
    <s v="30/04/2025"/>
    <s v="Priya Patel"/>
    <s v="Female"/>
    <s v="04/07/1984"/>
    <s v="Jaipur"/>
    <x v="1"/>
    <x v="1"/>
    <s v="Mouse"/>
    <n v="19"/>
    <n v="700"/>
    <n v="0.15"/>
    <n v="11305"/>
    <n v="3"/>
    <s v="NetBanking"/>
    <s v="Karan"/>
    <s v="priya.patel@company.com"/>
    <n v="9513325819"/>
    <s v="Pending"/>
    <m/>
    <m/>
    <m/>
    <m/>
    <m/>
    <m/>
    <m/>
    <m/>
    <m/>
    <m/>
    <m/>
    <m/>
    <m/>
    <m/>
    <m/>
    <m/>
    <m/>
    <m/>
    <m/>
    <m/>
    <x v="22"/>
  </r>
  <r>
    <s v="ORD10024"/>
    <s v="C009"/>
    <s v="P101"/>
    <x v="23"/>
    <s v="01/01/2026"/>
    <s v="Mohit Verma"/>
    <s v="Male"/>
    <s v="25/02/1978"/>
    <s v="Bengaluru"/>
    <x v="0"/>
    <x v="1"/>
    <s v="Laptop"/>
    <n v="12"/>
    <n v="55000"/>
    <n v="0"/>
    <n v="660000"/>
    <n v="1"/>
    <s v="Card"/>
    <s v="Rahul"/>
    <s v="mohit.verma@company.com"/>
    <n v="9641063242"/>
    <s v="Pending"/>
    <m/>
    <m/>
    <m/>
    <m/>
    <m/>
    <m/>
    <m/>
    <m/>
    <m/>
    <m/>
    <m/>
    <m/>
    <m/>
    <m/>
    <m/>
    <m/>
    <m/>
    <m/>
    <m/>
    <m/>
    <x v="23"/>
  </r>
  <r>
    <s v="ORD10025"/>
    <s v="C005"/>
    <s v="P302"/>
    <x v="24"/>
    <s v="20/04/2026"/>
    <s v="Vikas Mehta"/>
    <s v="Male"/>
    <s v="03/08/1991"/>
    <s v="Mumbai"/>
    <x v="2"/>
    <x v="2"/>
    <s v="Pen"/>
    <n v="1"/>
    <n v="20"/>
    <n v="0.05"/>
    <n v="19"/>
    <n v="5"/>
    <s v="Card"/>
    <s v="Ritika"/>
    <s v="vikas.mehta@company.com"/>
    <n v="9277372518"/>
    <s v="Cancelled"/>
    <m/>
    <m/>
    <m/>
    <m/>
    <m/>
    <m/>
    <m/>
    <m/>
    <m/>
    <m/>
    <m/>
    <m/>
    <m/>
    <m/>
    <m/>
    <m/>
    <m/>
    <m/>
    <m/>
    <m/>
    <x v="24"/>
  </r>
  <r>
    <s v="ORD10026"/>
    <s v="C007"/>
    <s v="P302"/>
    <x v="25"/>
    <s v="02/07/2025"/>
    <s v="Arjun Rao"/>
    <s v="Male"/>
    <s v="11/12/1977"/>
    <s v="Mumbai"/>
    <x v="2"/>
    <x v="2"/>
    <s v="Pen"/>
    <n v="2"/>
    <n v="20"/>
    <n v="0.15"/>
    <n v="34"/>
    <n v="1"/>
    <s v="UPI"/>
    <s v="Ritika"/>
    <s v="arjun.rao@company.com"/>
    <n v="9193154372"/>
    <s v="Pending"/>
    <m/>
    <m/>
    <m/>
    <m/>
    <m/>
    <m/>
    <m/>
    <m/>
    <m/>
    <m/>
    <m/>
    <m/>
    <m/>
    <m/>
    <m/>
    <m/>
    <m/>
    <m/>
    <m/>
    <m/>
    <x v="25"/>
  </r>
  <r>
    <s v="ORD10027"/>
    <s v="C009"/>
    <s v="P201"/>
    <x v="26"/>
    <s v="25/05/2025"/>
    <s v="Mohit Verma"/>
    <s v="Male"/>
    <s v="08/02/1992"/>
    <s v="Ahmedabad"/>
    <x v="2"/>
    <x v="0"/>
    <s v="Mixer"/>
    <n v="12"/>
    <n v="3500"/>
    <n v="0.15"/>
    <n v="35700"/>
    <n v="4"/>
    <s v="Cash"/>
    <s v="Rahul"/>
    <s v="mohit.verma@company.com"/>
    <n v="9400073244"/>
    <s v="Cancelled"/>
    <m/>
    <m/>
    <m/>
    <m/>
    <m/>
    <m/>
    <m/>
    <m/>
    <m/>
    <m/>
    <m/>
    <m/>
    <m/>
    <m/>
    <m/>
    <m/>
    <m/>
    <m/>
    <m/>
    <m/>
    <x v="26"/>
  </r>
  <r>
    <s v="ORD10028"/>
    <s v="C008"/>
    <s v="P103"/>
    <x v="27"/>
    <s v="20/03/2026"/>
    <s v="Kavya Nair"/>
    <s v="Female"/>
    <s v="05/06/2004"/>
    <s v="Ahmedabad"/>
    <x v="2"/>
    <x v="1"/>
    <s v="Keyboard"/>
    <n v="11"/>
    <n v="1200"/>
    <n v="0"/>
    <n v="13200"/>
    <n v="2"/>
    <s v="UPI"/>
    <s v="Karan"/>
    <s v="kavya.nair@company.com"/>
    <n v="9771556720"/>
    <s v="Completed"/>
    <m/>
    <m/>
    <m/>
    <m/>
    <m/>
    <m/>
    <m/>
    <m/>
    <m/>
    <m/>
    <m/>
    <m/>
    <m/>
    <m/>
    <m/>
    <m/>
    <m/>
    <m/>
    <m/>
    <m/>
    <x v="27"/>
  </r>
  <r>
    <s v="ORD10029"/>
    <s v="C003"/>
    <s v="P203"/>
    <x v="28"/>
    <s v="20/09/2025"/>
    <s v="Rohit Singh"/>
    <s v="Male"/>
    <s v="11/08/2001"/>
    <s v="Pune"/>
    <x v="2"/>
    <x v="0"/>
    <s v="Microwave"/>
    <n v="6"/>
    <n v="8500"/>
    <n v="0.65"/>
    <n v="51000"/>
    <n v="1"/>
    <s v="Card"/>
    <s v="Aisha"/>
    <s v="rohit.singh@company.com"/>
    <n v="9127480734"/>
    <s v="Completed"/>
    <m/>
    <m/>
    <m/>
    <m/>
    <m/>
    <m/>
    <m/>
    <m/>
    <m/>
    <m/>
    <m/>
    <m/>
    <m/>
    <m/>
    <m/>
    <m/>
    <m/>
    <m/>
    <m/>
    <m/>
    <x v="28"/>
  </r>
  <r>
    <s v="ORD10030"/>
    <s v="C006"/>
    <s v="P301"/>
    <x v="29"/>
    <s v="16/01/2026"/>
    <s v="Sneha Joshi"/>
    <s v="Female"/>
    <s v="04/04/1981"/>
    <s v="Pune"/>
    <x v="2"/>
    <x v="2"/>
    <s v="Notebook"/>
    <n v="2"/>
    <n v="60"/>
    <n v="0.05"/>
    <n v="114"/>
    <n v="3"/>
    <s v="Cash"/>
    <s v="Karan"/>
    <s v="sneha.joshi@company.com"/>
    <n v="9512997042"/>
    <s v="Cancelled"/>
    <m/>
    <m/>
    <m/>
    <m/>
    <m/>
    <m/>
    <m/>
    <m/>
    <m/>
    <m/>
    <m/>
    <m/>
    <m/>
    <m/>
    <m/>
    <m/>
    <m/>
    <m/>
    <m/>
    <m/>
    <x v="29"/>
  </r>
  <r>
    <s v="ORD10031"/>
    <s v="C008"/>
    <s v="P303"/>
    <x v="30"/>
    <s v="26/06/2025"/>
    <s v="Kavya Nair"/>
    <s v="Female"/>
    <s v="02/07/1996"/>
    <s v="Bengaluru"/>
    <x v="0"/>
    <x v="2"/>
    <s v="Marker"/>
    <n v="19"/>
    <n v="45"/>
    <n v="0.2"/>
    <n v="684"/>
    <n v="4"/>
    <s v="NetBanking"/>
    <s v="Aisha"/>
    <s v="kavya.nair@company.com"/>
    <n v="9372748661"/>
    <s v="Cancelled"/>
    <m/>
    <m/>
    <m/>
    <m/>
    <m/>
    <m/>
    <m/>
    <m/>
    <m/>
    <m/>
    <m/>
    <m/>
    <m/>
    <m/>
    <m/>
    <m/>
    <m/>
    <m/>
    <m/>
    <m/>
    <x v="30"/>
  </r>
  <r>
    <s v="ORD10032"/>
    <s v="C002"/>
    <s v="P104"/>
    <x v="31"/>
    <s v="13/07/2025"/>
    <s v="Priya Patel"/>
    <s v="Female"/>
    <s v="15/11/1976"/>
    <s v="Ahmedabad"/>
    <x v="2"/>
    <x v="1"/>
    <s v="Monitor"/>
    <n v="11"/>
    <n v="12000"/>
    <n v="0"/>
    <n v="132000"/>
    <n v="3"/>
    <s v="UPI"/>
    <s v="Ritika"/>
    <s v="priya.patel@company.com"/>
    <n v="9570437805"/>
    <s v="Pending"/>
    <m/>
    <m/>
    <m/>
    <m/>
    <m/>
    <m/>
    <m/>
    <m/>
    <m/>
    <m/>
    <m/>
    <m/>
    <m/>
    <m/>
    <m/>
    <m/>
    <m/>
    <m/>
    <m/>
    <m/>
    <x v="31"/>
  </r>
  <r>
    <s v="ORD10033"/>
    <s v="C006"/>
    <s v="P202"/>
    <x v="32"/>
    <s v="15/03/2025"/>
    <s v="Sneha Joshi"/>
    <s v="Female"/>
    <s v="28/10/1988"/>
    <s v="Bengaluru"/>
    <x v="0"/>
    <x v="0"/>
    <s v="Iron"/>
    <n v="20"/>
    <n v="2200"/>
    <n v="0.05"/>
    <n v="41800"/>
    <n v="1"/>
    <s v="Cash"/>
    <s v="Rahul"/>
    <s v="sneha.joshi@company.com"/>
    <n v="9310669113"/>
    <s v="Pending"/>
    <m/>
    <m/>
    <m/>
    <m/>
    <m/>
    <m/>
    <m/>
    <m/>
    <m/>
    <m/>
    <m/>
    <m/>
    <m/>
    <m/>
    <m/>
    <m/>
    <m/>
    <m/>
    <m/>
    <m/>
    <x v="32"/>
  </r>
  <r>
    <s v="ORD10034"/>
    <s v="C007"/>
    <s v="P302"/>
    <x v="25"/>
    <s v="04/07/2025"/>
    <s v="Arjun Rao"/>
    <s v="Male"/>
    <s v="23/06/2004"/>
    <s v="Ahmedabad"/>
    <x v="2"/>
    <x v="2"/>
    <s v="Pen"/>
    <n v="3"/>
    <n v="20"/>
    <n v="0"/>
    <n v="60"/>
    <n v="2"/>
    <s v="Card"/>
    <s v="Ritika"/>
    <s v="Invaild "/>
    <n v="9437132894"/>
    <s v="Cancelled"/>
    <m/>
    <m/>
    <m/>
    <m/>
    <m/>
    <m/>
    <m/>
    <m/>
    <m/>
    <m/>
    <m/>
    <m/>
    <m/>
    <m/>
    <m/>
    <m/>
    <m/>
    <m/>
    <m/>
    <m/>
    <x v="25"/>
  </r>
  <r>
    <s v="ORD10035"/>
    <s v="C003"/>
    <s v="P303"/>
    <x v="33"/>
    <s v="19/10/2025"/>
    <s v="Rohit Singh"/>
    <s v="Male"/>
    <s v="22/04/1996"/>
    <s v="Pune"/>
    <x v="2"/>
    <x v="2"/>
    <s v="Marker"/>
    <n v="18"/>
    <n v="45"/>
    <n v="0.2"/>
    <n v="648"/>
    <n v="4"/>
    <s v="NetBanking"/>
    <s v="Ritika"/>
    <s v="rohit.singh@company.com"/>
    <n v="9762437243"/>
    <s v="Cancelled"/>
    <m/>
    <m/>
    <m/>
    <m/>
    <m/>
    <m/>
    <m/>
    <m/>
    <m/>
    <m/>
    <m/>
    <m/>
    <m/>
    <m/>
    <m/>
    <m/>
    <m/>
    <m/>
    <m/>
    <m/>
    <x v="33"/>
  </r>
  <r>
    <s v="ORD10036"/>
    <s v="C003"/>
    <s v="P103"/>
    <x v="34"/>
    <s v="26/11/2025"/>
    <s v="Rohit Singh"/>
    <s v="Male"/>
    <s v="07/07/1979"/>
    <s v="Bengaluru"/>
    <x v="0"/>
    <x v="1"/>
    <s v="Keyboard"/>
    <n v="4"/>
    <n v="1200"/>
    <n v="0.2"/>
    <s v="3840P14"/>
    <n v="3"/>
    <s v="NetBanking"/>
    <s v="Aisha"/>
    <s v="rohit.singh@company.com"/>
    <n v="9149046970"/>
    <s v="Completed"/>
    <m/>
    <m/>
    <m/>
    <m/>
    <m/>
    <m/>
    <m/>
    <m/>
    <m/>
    <m/>
    <m/>
    <m/>
    <m/>
    <m/>
    <m/>
    <m/>
    <m/>
    <m/>
    <m/>
    <m/>
    <x v="34"/>
  </r>
  <r>
    <s v="ORD10037"/>
    <s v="C009"/>
    <s v="P101"/>
    <x v="35"/>
    <s v="14/11/2025"/>
    <s v="Mohit Verma"/>
    <s v="Male"/>
    <s v="27/09/1980"/>
    <s v="Kolkata"/>
    <x v="3"/>
    <x v="1"/>
    <s v="Laptop"/>
    <n v="10"/>
    <n v="55000"/>
    <n v="0"/>
    <n v="550000"/>
    <n v="1"/>
    <s v="UPI"/>
    <s v="Rahul"/>
    <s v="mohit.verma@company.com"/>
    <n v="9869182901"/>
    <s v="Cancelled"/>
    <m/>
    <m/>
    <m/>
    <m/>
    <m/>
    <m/>
    <m/>
    <m/>
    <m/>
    <m/>
    <m/>
    <m/>
    <m/>
    <m/>
    <m/>
    <m/>
    <m/>
    <m/>
    <m/>
    <m/>
    <x v="35"/>
  </r>
  <r>
    <s v="ORD10038"/>
    <s v="C006"/>
    <s v="P201"/>
    <x v="36"/>
    <s v="20/03/2026"/>
    <s v="Sneha Joshi"/>
    <s v="Female"/>
    <s v="21/06/1980"/>
    <s v="Delhi"/>
    <x v="1"/>
    <x v="0"/>
    <s v="Mixer"/>
    <n v="20"/>
    <n v="3500"/>
    <n v="0.1"/>
    <n v="63000"/>
    <n v="3"/>
    <s v="Card"/>
    <s v="Rahul"/>
    <s v="sneha.joshi@company.com"/>
    <n v="9283578533"/>
    <s v="Cancelled"/>
    <m/>
    <m/>
    <m/>
    <m/>
    <m/>
    <m/>
    <m/>
    <m/>
    <m/>
    <m/>
    <m/>
    <m/>
    <m/>
    <m/>
    <m/>
    <m/>
    <m/>
    <m/>
    <m/>
    <m/>
    <x v="36"/>
  </r>
  <r>
    <s v="ORD10039"/>
    <s v="C008"/>
    <s v="P302"/>
    <x v="37"/>
    <s v="19/02/2025"/>
    <s v="Kavya Nair"/>
    <s v="Female"/>
    <s v="17/06/1979"/>
    <s v="Pune"/>
    <x v="2"/>
    <x v="2"/>
    <s v="Pen"/>
    <n v="5"/>
    <s v="1200 "/>
    <n v="0"/>
    <n v="100"/>
    <n v="1"/>
    <s v="Cash"/>
    <s v="Rahul"/>
    <s v="kavya.nair@company.com"/>
    <n v="9963005771"/>
    <s v="Cancelled"/>
    <m/>
    <m/>
    <m/>
    <m/>
    <m/>
    <m/>
    <m/>
    <m/>
    <m/>
    <m/>
    <m/>
    <m/>
    <m/>
    <m/>
    <m/>
    <m/>
    <m/>
    <m/>
    <m/>
    <m/>
    <x v="37"/>
  </r>
  <r>
    <s v="ORD10040"/>
    <s v="C010"/>
    <s v="P203"/>
    <x v="38"/>
    <s v="15/10/2025"/>
    <s v="Pooja Shah"/>
    <s v="Female"/>
    <s v="18/06/1992"/>
    <s v="Mumbai"/>
    <x v="2"/>
    <x v="0"/>
    <s v="Microwave"/>
    <n v="20"/>
    <n v="8500"/>
    <n v="0"/>
    <n v="170000"/>
    <n v="1"/>
    <s v="UPI"/>
    <s v="Neha"/>
    <s v="pooja.shah@company.com"/>
    <n v="9484632635"/>
    <s v="Cancelled"/>
    <m/>
    <m/>
    <m/>
    <m/>
    <m/>
    <m/>
    <m/>
    <m/>
    <m/>
    <m/>
    <m/>
    <m/>
    <m/>
    <m/>
    <m/>
    <m/>
    <m/>
    <m/>
    <m/>
    <m/>
    <x v="38"/>
  </r>
  <r>
    <s v="ORD10041"/>
    <s v="C007"/>
    <s v="P301"/>
    <x v="39"/>
    <s v="12/02/2026"/>
    <s v="Arjun Rao"/>
    <s v="Male"/>
    <s v="06/06/1994"/>
    <s v="Bengaluru"/>
    <x v="0"/>
    <x v="2"/>
    <s v="Notebook"/>
    <n v="8"/>
    <n v="60"/>
    <n v="0.15"/>
    <n v="408"/>
    <n v="5"/>
    <s v="UPI"/>
    <s v="Rahul"/>
    <s v="arjun.rao@company.com"/>
    <n v="9276319484"/>
    <s v="Pending"/>
    <m/>
    <m/>
    <m/>
    <m/>
    <m/>
    <m/>
    <m/>
    <m/>
    <m/>
    <m/>
    <m/>
    <m/>
    <m/>
    <m/>
    <m/>
    <m/>
    <m/>
    <m/>
    <m/>
    <m/>
    <x v="39"/>
  </r>
  <r>
    <s v="ORD10042"/>
    <s v="C010"/>
    <s v="P201"/>
    <x v="40"/>
    <s v="16/06/2025"/>
    <s v="Pooja Shah"/>
    <s v="Female"/>
    <s v="22/09/1988"/>
    <s v="Pune"/>
    <x v="2"/>
    <x v="0"/>
    <s v="Mixer"/>
    <n v="8"/>
    <n v="3500"/>
    <n v="0.05"/>
    <n v="26600"/>
    <n v="1"/>
    <s v="Card"/>
    <s v="Neha"/>
    <s v="pooja.shah@company.com"/>
    <n v="9619034852"/>
    <s v="Pending"/>
    <m/>
    <m/>
    <m/>
    <m/>
    <m/>
    <m/>
    <m/>
    <m/>
    <m/>
    <m/>
    <m/>
    <m/>
    <m/>
    <m/>
    <m/>
    <m/>
    <m/>
    <m/>
    <m/>
    <m/>
    <x v="40"/>
  </r>
  <r>
    <s v="ORD10043"/>
    <s v="C009"/>
    <s v="P203"/>
    <x v="41"/>
    <s v="14/02/2026"/>
    <s v="Mohit Verma"/>
    <s v="Male"/>
    <s v="14/07/2001"/>
    <s v="Jaipur"/>
    <x v="1"/>
    <x v="0"/>
    <s v="Microwave"/>
    <n v="1"/>
    <n v="8500"/>
    <n v="0"/>
    <n v="8500"/>
    <n v="2"/>
    <s v="Card"/>
    <s v="Neha"/>
    <s v="mohit.verma@company.com"/>
    <n v="9636416962"/>
    <s v="Pending"/>
    <m/>
    <m/>
    <m/>
    <m/>
    <m/>
    <m/>
    <m/>
    <m/>
    <m/>
    <m/>
    <m/>
    <m/>
    <m/>
    <m/>
    <m/>
    <m/>
    <m/>
    <m/>
    <m/>
    <m/>
    <x v="41"/>
  </r>
  <r>
    <s v="ORD10044"/>
    <s v="C001"/>
    <s v="P303"/>
    <x v="42"/>
    <s v="31/03/2025"/>
    <s v="Amit Sharma"/>
    <s v="Male"/>
    <s v="09/08/1991"/>
    <s v="Pune"/>
    <x v="2"/>
    <x v="2"/>
    <s v="Marker"/>
    <n v="8"/>
    <n v="45"/>
    <n v="0.15"/>
    <n v="306"/>
    <n v="2"/>
    <s v="Card"/>
    <s v="Aisha"/>
    <s v="amit.sharma@company.com"/>
    <n v="9357133880"/>
    <s v="Completed"/>
    <m/>
    <m/>
    <m/>
    <m/>
    <m/>
    <m/>
    <m/>
    <m/>
    <m/>
    <m/>
    <m/>
    <m/>
    <m/>
    <m/>
    <m/>
    <m/>
    <m/>
    <m/>
    <m/>
    <m/>
    <x v="42"/>
  </r>
  <r>
    <s v="ORD10045"/>
    <s v="C006"/>
    <s v="P202"/>
    <x v="43"/>
    <s v="28/04/2025"/>
    <s v="Sneha Joshi"/>
    <s v="Female"/>
    <s v="21/10/1988"/>
    <s v="Pune"/>
    <x v="2"/>
    <x v="0"/>
    <s v="Iron"/>
    <n v="16"/>
    <n v="2200"/>
    <n v="0.05"/>
    <n v="33440"/>
    <n v="5"/>
    <s v="Card"/>
    <s v="Aisha"/>
    <s v="sneha.joshi@company.com"/>
    <n v="9575210324"/>
    <s v="Cancelled"/>
    <m/>
    <m/>
    <m/>
    <m/>
    <m/>
    <m/>
    <m/>
    <m/>
    <m/>
    <m/>
    <m/>
    <m/>
    <m/>
    <m/>
    <m/>
    <m/>
    <m/>
    <m/>
    <m/>
    <m/>
    <x v="43"/>
  </r>
  <r>
    <s v="ORD10046"/>
    <s v="C009"/>
    <s v="P201"/>
    <x v="44"/>
    <s v="23/10/2025"/>
    <s v="Mohit Verma"/>
    <s v="Male"/>
    <s v="19/11/2002"/>
    <s v="Bengaluru"/>
    <x v="0"/>
    <x v="0"/>
    <s v="Mixer"/>
    <n v="19"/>
    <n v="3500"/>
    <n v="0.2"/>
    <n v="53200"/>
    <n v="3"/>
    <s v="Cash"/>
    <s v="Karan"/>
    <s v="mohit.verma@company.com"/>
    <n v="9276080204"/>
    <s v="Cancelled"/>
    <m/>
    <m/>
    <m/>
    <m/>
    <m/>
    <m/>
    <m/>
    <m/>
    <m/>
    <m/>
    <m/>
    <m/>
    <m/>
    <m/>
    <m/>
    <m/>
    <m/>
    <m/>
    <m/>
    <m/>
    <x v="44"/>
  </r>
  <r>
    <s v="ORD10047"/>
    <s v="C006"/>
    <s v="P102"/>
    <x v="45"/>
    <s v="14/10/2025"/>
    <s v="Sneha Joshi"/>
    <s v="Female"/>
    <s v="06/07/2000"/>
    <s v="Pune"/>
    <x v="2"/>
    <x v="1"/>
    <s v="Mouse"/>
    <n v="15"/>
    <n v="700"/>
    <n v="0.15"/>
    <n v="8925"/>
    <n v="4"/>
    <s v="UPI"/>
    <s v="Neha"/>
    <s v="sneha.joshicompany.com"/>
    <n v="9856624471"/>
    <s v="Completed"/>
    <m/>
    <m/>
    <m/>
    <m/>
    <m/>
    <m/>
    <m/>
    <m/>
    <m/>
    <m/>
    <m/>
    <m/>
    <m/>
    <m/>
    <m/>
    <m/>
    <m/>
    <m/>
    <m/>
    <m/>
    <x v="45"/>
  </r>
  <r>
    <s v="ORD10048"/>
    <s v="C006"/>
    <s v="P102"/>
    <x v="46"/>
    <s v="03/12/2025"/>
    <s v="Sneha Joshi"/>
    <s v="Female"/>
    <s v="26/11/1998"/>
    <s v="Jaipur"/>
    <x v="1"/>
    <x v="1"/>
    <s v="Mouse"/>
    <n v="19"/>
    <n v="700"/>
    <n v="0.2"/>
    <n v="10640"/>
    <n v="1"/>
    <s v="Cash"/>
    <s v="Neha"/>
    <s v="sneha.joshi@company.com"/>
    <n v="9238141322"/>
    <s v="Completed"/>
    <m/>
    <m/>
    <m/>
    <m/>
    <m/>
    <m/>
    <m/>
    <m/>
    <m/>
    <m/>
    <m/>
    <m/>
    <m/>
    <m/>
    <m/>
    <m/>
    <m/>
    <m/>
    <m/>
    <m/>
    <x v="46"/>
  </r>
  <r>
    <s v="ORD10049"/>
    <s v="C009"/>
    <s v="P104"/>
    <x v="47"/>
    <m/>
    <s v="Mohit Verma"/>
    <s v="Male"/>
    <s v="03/06/1996"/>
    <s v="Delhi"/>
    <x v="1"/>
    <x v="1"/>
    <s v="Monitor"/>
    <n v="19"/>
    <n v="12000"/>
    <n v="0"/>
    <n v="228000"/>
    <n v="1"/>
    <s v="NetBanking"/>
    <s v="Aisha"/>
    <s v="mohit.verma@company.com"/>
    <n v="9890380030"/>
    <s v="Completed"/>
    <m/>
    <m/>
    <m/>
    <m/>
    <m/>
    <m/>
    <m/>
    <m/>
    <m/>
    <m/>
    <m/>
    <m/>
    <m/>
    <m/>
    <m/>
    <m/>
    <m/>
    <m/>
    <m/>
    <m/>
    <x v="47"/>
  </r>
  <r>
    <s v="ORD10050"/>
    <s v="C004"/>
    <s v="P103"/>
    <x v="47"/>
    <s v="21/04/2026"/>
    <s v="Anita Gupta"/>
    <s v="Female"/>
    <s v="15/03/1987"/>
    <s v="Pune"/>
    <x v="2"/>
    <x v="1"/>
    <s v="Keyboard"/>
    <n v="6"/>
    <n v="1200"/>
    <n v="0.05"/>
    <n v="6840"/>
    <n v="2"/>
    <s v="Cash"/>
    <s v="Ritika"/>
    <s v="anita.gupta@company.com"/>
    <n v="9495893170"/>
    <s v="Pending"/>
    <m/>
    <m/>
    <m/>
    <m/>
    <m/>
    <m/>
    <m/>
    <m/>
    <m/>
    <m/>
    <m/>
    <m/>
    <m/>
    <m/>
    <m/>
    <m/>
    <m/>
    <m/>
    <m/>
    <m/>
    <x v="47"/>
  </r>
  <r>
    <s v="ORD10051"/>
    <s v="C010"/>
    <s v="P202"/>
    <x v="48"/>
    <s v="07/04/2025"/>
    <s v="Pooja Shah"/>
    <s v="Female"/>
    <s v="20/02/1979"/>
    <s v="Bengaluru"/>
    <x v="0"/>
    <x v="0"/>
    <s v="Iron"/>
    <n v="7"/>
    <n v="2200"/>
    <n v="0.15"/>
    <n v="13090"/>
    <n v="1"/>
    <s v="UPI"/>
    <s v="Aisha"/>
    <s v="pooja.shah@company.com"/>
    <n v="9485166307"/>
    <s v="Completed"/>
    <m/>
    <m/>
    <m/>
    <m/>
    <m/>
    <m/>
    <m/>
    <m/>
    <m/>
    <m/>
    <m/>
    <m/>
    <m/>
    <m/>
    <m/>
    <m/>
    <m/>
    <m/>
    <m/>
    <m/>
    <x v="48"/>
  </r>
  <r>
    <s v="ORD10052"/>
    <s v="C002"/>
    <s v="P301"/>
    <x v="49"/>
    <s v="28/08/2025"/>
    <s v="Priya Patel"/>
    <s v="Female"/>
    <s v="09/08/2000"/>
    <s v="Jaipur"/>
    <x v="1"/>
    <x v="2"/>
    <s v="Notebook"/>
    <n v="8"/>
    <n v="60"/>
    <n v="0.1"/>
    <n v="432"/>
    <n v="5"/>
    <s v="Card"/>
    <s v="Aisha"/>
    <s v="priya.patel@company.com"/>
    <n v="9924709648"/>
    <s v="Cancelled"/>
    <m/>
    <m/>
    <m/>
    <m/>
    <m/>
    <m/>
    <m/>
    <m/>
    <m/>
    <m/>
    <m/>
    <m/>
    <m/>
    <m/>
    <m/>
    <m/>
    <m/>
    <m/>
    <m/>
    <m/>
    <x v="49"/>
  </r>
  <r>
    <s v="ORD10053"/>
    <s v="C005"/>
    <s v="P101"/>
    <x v="50"/>
    <s v="23/08/2025"/>
    <s v="Vikas Mehta"/>
    <s v="Male"/>
    <s v="17/01/1976"/>
    <s v="Kolkata"/>
    <x v="3"/>
    <x v="1"/>
    <s v="Laptop"/>
    <n v="12"/>
    <n v="55000"/>
    <n v="0.05"/>
    <n v="627000"/>
    <n v="2"/>
    <s v="UPI"/>
    <s v="Rahul"/>
    <s v="vikas.mehta@company.com"/>
    <n v="9350554626"/>
    <s v="Pending"/>
    <m/>
    <m/>
    <m/>
    <m/>
    <m/>
    <m/>
    <m/>
    <m/>
    <m/>
    <m/>
    <m/>
    <m/>
    <m/>
    <m/>
    <m/>
    <m/>
    <m/>
    <m/>
    <m/>
    <m/>
    <x v="50"/>
  </r>
  <r>
    <s v="ORD10054"/>
    <s v="C008"/>
    <s v="P102"/>
    <x v="51"/>
    <s v="05/08/2025"/>
    <s v="Kavya Nair"/>
    <s v="Female"/>
    <s v="04/04/1975"/>
    <s v="Jaipur"/>
    <x v="1"/>
    <x v="1"/>
    <s v="Mouse"/>
    <n v="3"/>
    <n v="700"/>
    <n v="0"/>
    <n v="2100"/>
    <n v="3"/>
    <s v="Card"/>
    <s v="Karan"/>
    <s v="kavya.nair@company.com"/>
    <n v="9743295580"/>
    <s v="Cancelled"/>
    <m/>
    <m/>
    <m/>
    <m/>
    <m/>
    <m/>
    <m/>
    <m/>
    <m/>
    <m/>
    <m/>
    <m/>
    <m/>
    <m/>
    <m/>
    <m/>
    <m/>
    <m/>
    <m/>
    <m/>
    <x v="51"/>
  </r>
  <r>
    <s v="ORD10055"/>
    <s v="C003"/>
    <s v="P301"/>
    <x v="52"/>
    <s v="26/02/2025"/>
    <s v="Rohit Singh"/>
    <s v="Male"/>
    <s v="11/12/1976"/>
    <s v="Ahmedabad"/>
    <x v="2"/>
    <x v="2"/>
    <s v="Notebook"/>
    <n v="19"/>
    <n v="60"/>
    <n v="0.15"/>
    <n v="969"/>
    <n v="4"/>
    <s v="Card"/>
    <s v="Rahul"/>
    <s v="rohit.singh@company.com"/>
    <n v="9822926495"/>
    <s v="Cancelled"/>
    <m/>
    <m/>
    <m/>
    <m/>
    <m/>
    <m/>
    <m/>
    <m/>
    <m/>
    <m/>
    <m/>
    <m/>
    <m/>
    <m/>
    <m/>
    <m/>
    <m/>
    <m/>
    <m/>
    <m/>
    <x v="52"/>
  </r>
  <r>
    <s v="ORD10056"/>
    <s v="C001"/>
    <s v="P301"/>
    <x v="53"/>
    <s v="11/08/2025"/>
    <s v="Amit Sharma"/>
    <s v="Male"/>
    <s v="03/12/1979"/>
    <s v="Jaipur"/>
    <x v="1"/>
    <x v="2"/>
    <s v="Notebook"/>
    <n v="9"/>
    <n v="60"/>
    <n v="0.2"/>
    <n v="432"/>
    <n v="1"/>
    <s v="NetBanking"/>
    <s v="Neha"/>
    <s v="amit.sharma@company.com"/>
    <n v="9518298190"/>
    <s v="Pending"/>
    <m/>
    <m/>
    <m/>
    <m/>
    <m/>
    <m/>
    <m/>
    <m/>
    <m/>
    <m/>
    <m/>
    <m/>
    <m/>
    <m/>
    <m/>
    <m/>
    <m/>
    <m/>
    <m/>
    <m/>
    <x v="53"/>
  </r>
  <r>
    <s v="ORD10057"/>
    <s v="C001"/>
    <s v="P102"/>
    <x v="54"/>
    <s v="30/03/2026"/>
    <s v="Amit Sharma"/>
    <s v="Male"/>
    <s v="27/12/1978"/>
    <s v="Bengaluru"/>
    <x v="0"/>
    <x v="1"/>
    <s v="Mouse"/>
    <n v="6"/>
    <n v="700"/>
    <n v="0"/>
    <n v="4200"/>
    <n v="4"/>
    <s v="UPI"/>
    <s v="Rahul"/>
    <s v="amit.sharmcompany.com"/>
    <n v="9366223547"/>
    <s v="Cancelled"/>
    <m/>
    <m/>
    <m/>
    <m/>
    <m/>
    <m/>
    <m/>
    <m/>
    <m/>
    <m/>
    <m/>
    <m/>
    <m/>
    <m/>
    <m/>
    <m/>
    <m/>
    <m/>
    <m/>
    <m/>
    <x v="54"/>
  </r>
  <r>
    <s v="ORD10058"/>
    <s v="C003"/>
    <s v="P303"/>
    <x v="27"/>
    <s v="19/03/2026"/>
    <s v="Rohit Singh"/>
    <s v="Male"/>
    <s v="15/04/1975"/>
    <s v="Delhi"/>
    <x v="1"/>
    <x v="2"/>
    <s v="Marker"/>
    <n v="18"/>
    <n v="45"/>
    <n v="0.05"/>
    <n v="769.5"/>
    <n v="1"/>
    <s v="Card"/>
    <s v="Aisha"/>
    <s v="rohit.singh@company.com"/>
    <n v="9701988524"/>
    <s v="Pending"/>
    <m/>
    <m/>
    <m/>
    <m/>
    <m/>
    <m/>
    <m/>
    <m/>
    <m/>
    <m/>
    <m/>
    <m/>
    <m/>
    <m/>
    <m/>
    <m/>
    <m/>
    <m/>
    <m/>
    <m/>
    <x v="27"/>
  </r>
  <r>
    <s v="ORD10059"/>
    <s v="C007"/>
    <s v="P302"/>
    <x v="55"/>
    <s v="26/06/2025"/>
    <s v="Arjun Rao"/>
    <s v="Male"/>
    <s v="19/12/1988"/>
    <s v="Jaipur"/>
    <x v="1"/>
    <x v="2"/>
    <s v="Pen"/>
    <n v="8"/>
    <n v="20"/>
    <n v="0.05"/>
    <n v="152"/>
    <n v="1"/>
    <s v="Card"/>
    <s v="Ritika"/>
    <s v="arjun.rao@company.com"/>
    <n v="9836327649"/>
    <s v="Completed"/>
    <m/>
    <m/>
    <m/>
    <m/>
    <m/>
    <m/>
    <m/>
    <m/>
    <m/>
    <m/>
    <m/>
    <m/>
    <m/>
    <m/>
    <m/>
    <m/>
    <m/>
    <m/>
    <m/>
    <m/>
    <x v="55"/>
  </r>
  <r>
    <s v="ORD10060"/>
    <s v="C005"/>
    <s v="P102"/>
    <x v="56"/>
    <s v="06/03/2025"/>
    <s v="Vikas Mehta"/>
    <s v="Male"/>
    <s v="07/03/1979"/>
    <s v="Jaipur"/>
    <x v="1"/>
    <x v="1"/>
    <s v="Mouse"/>
    <n v="8"/>
    <n v="700"/>
    <n v="0.1"/>
    <n v="5040"/>
    <n v="1"/>
    <s v="NetBanking"/>
    <s v="Aisha"/>
    <s v="vikas.mehta@company.com"/>
    <n v="9261800516"/>
    <s v="Cancelled"/>
    <m/>
    <m/>
    <m/>
    <m/>
    <m/>
    <m/>
    <m/>
    <m/>
    <m/>
    <m/>
    <m/>
    <m/>
    <m/>
    <m/>
    <m/>
    <m/>
    <m/>
    <m/>
    <m/>
    <m/>
    <x v="56"/>
  </r>
  <r>
    <s v="ORD10061"/>
    <s v="C008"/>
    <s v="P302"/>
    <x v="24"/>
    <s v="19/04/2026"/>
    <s v="Kavya Nair"/>
    <s v="Female"/>
    <s v="17/12/2003"/>
    <s v="Delhi"/>
    <x v="1"/>
    <x v="2"/>
    <s v="Pen"/>
    <n v="7"/>
    <n v="20"/>
    <n v="0.15"/>
    <n v="119"/>
    <n v="5"/>
    <s v="Card"/>
    <s v="Rahul"/>
    <s v="kavya.nair@company.com"/>
    <n v="9950802015"/>
    <s v="Completed"/>
    <m/>
    <m/>
    <m/>
    <m/>
    <m/>
    <m/>
    <m/>
    <m/>
    <m/>
    <m/>
    <m/>
    <m/>
    <m/>
    <m/>
    <m/>
    <m/>
    <m/>
    <m/>
    <m/>
    <m/>
    <x v="24"/>
  </r>
  <r>
    <s v="ORD10062"/>
    <s v="C002"/>
    <s v="P302"/>
    <x v="57"/>
    <s v="25/08/2025"/>
    <s v="Priya Patel"/>
    <s v="Female"/>
    <s v="05/04/1984"/>
    <s v="Pune"/>
    <x v="2"/>
    <x v="2"/>
    <s v="Pen"/>
    <n v="16"/>
    <n v="20"/>
    <n v="0"/>
    <n v="320"/>
    <n v="5"/>
    <s v="NetBanking"/>
    <s v="Aisha"/>
    <s v="priya.patel@company.com"/>
    <n v="9595183767"/>
    <s v="Pending"/>
    <m/>
    <m/>
    <m/>
    <m/>
    <m/>
    <m/>
    <m/>
    <m/>
    <m/>
    <m/>
    <m/>
    <m/>
    <m/>
    <m/>
    <m/>
    <m/>
    <m/>
    <m/>
    <m/>
    <m/>
    <x v="57"/>
  </r>
  <r>
    <s v="ORD10063"/>
    <s v="C010"/>
    <s v="P303"/>
    <x v="58"/>
    <s v="20/05/2026"/>
    <s v="Pooja Shah"/>
    <s v="Female"/>
    <s v="13/04/1996"/>
    <s v="Mumbai"/>
    <x v="2"/>
    <x v="2"/>
    <s v="Marker"/>
    <n v="15"/>
    <n v="45"/>
    <n v="0"/>
    <n v="675"/>
    <n v="4"/>
    <s v="Cash"/>
    <s v="Aisha"/>
    <s v="pooja.shah@company.com"/>
    <n v="9560201307"/>
    <s v="Cancelled"/>
    <m/>
    <m/>
    <m/>
    <m/>
    <m/>
    <m/>
    <m/>
    <m/>
    <m/>
    <m/>
    <m/>
    <m/>
    <m/>
    <m/>
    <m/>
    <m/>
    <m/>
    <m/>
    <m/>
    <m/>
    <x v="58"/>
  </r>
  <r>
    <s v="ORD10064"/>
    <s v="C006"/>
    <s v="P102"/>
    <x v="59"/>
    <s v="05/03/2025"/>
    <s v="Sneha Joshi"/>
    <s v="Female"/>
    <s v="08/09/2003"/>
    <s v="Ahmedabad"/>
    <x v="2"/>
    <x v="1"/>
    <s v="Mouse"/>
    <n v="15"/>
    <n v="700"/>
    <n v="0.1"/>
    <n v="9450"/>
    <n v="3"/>
    <s v="NetBanking"/>
    <s v="Karan"/>
    <s v="sneha.joshi@company.com"/>
    <n v="9826484650"/>
    <s v="Completed"/>
    <m/>
    <m/>
    <m/>
    <m/>
    <m/>
    <m/>
    <m/>
    <m/>
    <m/>
    <m/>
    <m/>
    <m/>
    <m/>
    <m/>
    <m/>
    <m/>
    <m/>
    <m/>
    <m/>
    <m/>
    <x v="59"/>
  </r>
  <r>
    <s v="ORD10065"/>
    <s v="C010"/>
    <s v="P303"/>
    <x v="60"/>
    <s v="12/02/2025"/>
    <s v="Pooja Shah"/>
    <s v="Female"/>
    <s v="24/09/1992"/>
    <s v="Kolkata"/>
    <x v="3"/>
    <x v="2"/>
    <s v="Marker"/>
    <n v="3"/>
    <n v="45"/>
    <n v="0.15"/>
    <n v="114.75"/>
    <n v="2"/>
    <s v="UPI"/>
    <s v="Neha"/>
    <s v="pooja.shah@company.com"/>
    <n v="9219978007"/>
    <s v="Pending"/>
    <m/>
    <m/>
    <m/>
    <m/>
    <m/>
    <m/>
    <m/>
    <m/>
    <m/>
    <m/>
    <m/>
    <m/>
    <m/>
    <m/>
    <m/>
    <m/>
    <m/>
    <m/>
    <m/>
    <m/>
    <x v="60"/>
  </r>
  <r>
    <s v="ORD10066"/>
    <s v="C002"/>
    <s v="P202"/>
    <x v="61"/>
    <s v="10/01/2026"/>
    <s v="Priya Patel"/>
    <s v="Female"/>
    <s v="19/09/1986"/>
    <s v="Kolkata"/>
    <x v="3"/>
    <x v="0"/>
    <s v="Iron"/>
    <n v="7"/>
    <n v="2200"/>
    <n v="0.15"/>
    <n v="13090"/>
    <n v="5"/>
    <s v="UPI"/>
    <s v="Neha"/>
    <s v="priya.patel@company.com"/>
    <n v="9662063276"/>
    <s v="Completed"/>
    <m/>
    <m/>
    <m/>
    <m/>
    <m/>
    <m/>
    <m/>
    <m/>
    <m/>
    <m/>
    <m/>
    <m/>
    <m/>
    <m/>
    <m/>
    <m/>
    <m/>
    <m/>
    <m/>
    <m/>
    <x v="61"/>
  </r>
  <r>
    <s v="ORD10067"/>
    <s v="C008"/>
    <s v="P303"/>
    <x v="62"/>
    <s v="05/09/2025"/>
    <s v="Kavya Nair"/>
    <s v="Female"/>
    <s v="28/05/1985"/>
    <s v="Delhi"/>
    <x v="1"/>
    <x v="2"/>
    <s v="Marker"/>
    <n v="19"/>
    <n v="45"/>
    <n v="0.1"/>
    <n v="769.5"/>
    <n v="5"/>
    <s v="Card"/>
    <s v="Neha"/>
    <s v="kavya.nair@company.com"/>
    <n v="9190393639"/>
    <s v="Cancelled"/>
    <m/>
    <m/>
    <m/>
    <m/>
    <m/>
    <m/>
    <m/>
    <m/>
    <m/>
    <m/>
    <m/>
    <m/>
    <m/>
    <m/>
    <m/>
    <m/>
    <m/>
    <m/>
    <m/>
    <m/>
    <x v="62"/>
  </r>
  <r>
    <s v="ORD10068"/>
    <s v="C006"/>
    <s v="P201"/>
    <x v="63"/>
    <s v="14/02/2026"/>
    <s v="Sneha Joshi"/>
    <s v="Female"/>
    <s v="27/08/1979"/>
    <s v="Hyderabad"/>
    <x v="0"/>
    <x v="0"/>
    <s v="Mixer"/>
    <n v="7"/>
    <n v="3500"/>
    <n v="0.15"/>
    <n v="20825"/>
    <n v="1"/>
    <s v="Cash"/>
    <s v="Karan"/>
    <s v="sneha.joshi@company.com"/>
    <n v="9106328582"/>
    <s v="Pending"/>
    <m/>
    <m/>
    <m/>
    <m/>
    <m/>
    <m/>
    <m/>
    <m/>
    <m/>
    <m/>
    <m/>
    <m/>
    <m/>
    <m/>
    <m/>
    <m/>
    <m/>
    <m/>
    <m/>
    <m/>
    <x v="63"/>
  </r>
  <r>
    <s v="ORD10069"/>
    <s v="C010"/>
    <s v="P203"/>
    <x v="64"/>
    <s v="19/12/2025"/>
    <s v="Pooja Shah"/>
    <s v="Female"/>
    <s v="22/12/1976"/>
    <s v="Jaipur"/>
    <x v="1"/>
    <x v="0"/>
    <s v="Microwave"/>
    <n v="7"/>
    <n v="8500"/>
    <n v="0.2"/>
    <n v="47600"/>
    <n v="4"/>
    <s v="NetBanking"/>
    <s v="Neha"/>
    <s v="pooja.shah@company.com"/>
    <n v="9264401015"/>
    <s v="Completed"/>
    <m/>
    <m/>
    <m/>
    <m/>
    <m/>
    <m/>
    <m/>
    <m/>
    <m/>
    <m/>
    <m/>
    <m/>
    <m/>
    <m/>
    <m/>
    <m/>
    <m/>
    <m/>
    <m/>
    <m/>
    <x v="64"/>
  </r>
  <r>
    <s v="ORD10070"/>
    <s v="C008"/>
    <s v="P101"/>
    <x v="65"/>
    <s v="10/04/2025"/>
    <s v="Kavya Nair"/>
    <s v="Female"/>
    <s v="05/02/2000"/>
    <s v="Bengaluru"/>
    <x v="0"/>
    <x v="1"/>
    <s v="Laptop"/>
    <n v="16"/>
    <n v="55000"/>
    <n v="0.1"/>
    <n v="792000"/>
    <n v="1"/>
    <s v="Card"/>
    <s v="Aisha"/>
    <s v="kavya.nair@company.com"/>
    <n v="9959237375"/>
    <s v="Completed"/>
    <m/>
    <m/>
    <m/>
    <m/>
    <m/>
    <m/>
    <m/>
    <m/>
    <m/>
    <m/>
    <m/>
    <m/>
    <m/>
    <m/>
    <m/>
    <m/>
    <m/>
    <m/>
    <m/>
    <m/>
    <x v="65"/>
  </r>
  <r>
    <s v="ORD10071"/>
    <s v="C004"/>
    <s v="P104"/>
    <x v="66"/>
    <s v="03/01/2026"/>
    <s v="Anita Gupta"/>
    <s v="Female"/>
    <s v="24/02/1987"/>
    <s v="Mumbai"/>
    <x v="2"/>
    <x v="1"/>
    <s v="Monitor"/>
    <n v="2"/>
    <n v="12000"/>
    <n v="0.2"/>
    <n v="19200"/>
    <n v="1"/>
    <s v="Cash"/>
    <s v="Karan"/>
    <s v="anita.gupta@company.com"/>
    <n v="9561836580"/>
    <s v="Pending"/>
    <m/>
    <m/>
    <m/>
    <m/>
    <m/>
    <m/>
    <m/>
    <m/>
    <m/>
    <m/>
    <m/>
    <m/>
    <m/>
    <m/>
    <m/>
    <m/>
    <m/>
    <m/>
    <m/>
    <m/>
    <x v="66"/>
  </r>
  <r>
    <s v="ORD10072"/>
    <s v="C003"/>
    <s v="P303"/>
    <x v="67"/>
    <s v="05/09/2025"/>
    <s v="Rohit Singh"/>
    <s v="Male"/>
    <s v="24/07/1984"/>
    <s v="Bengaluru"/>
    <x v="0"/>
    <x v="2"/>
    <s v="Marker"/>
    <n v="4"/>
    <n v="45"/>
    <n v="0.05"/>
    <n v="171"/>
    <n v="1"/>
    <s v="Card"/>
    <s v="Rahul"/>
    <s v="rohit.singh@company.com"/>
    <n v="9512666401"/>
    <s v="Pending"/>
    <m/>
    <m/>
    <m/>
    <m/>
    <m/>
    <m/>
    <m/>
    <m/>
    <m/>
    <m/>
    <m/>
    <m/>
    <m/>
    <m/>
    <m/>
    <m/>
    <m/>
    <m/>
    <m/>
    <m/>
    <x v="67"/>
  </r>
  <r>
    <s v="ORD10073"/>
    <s v="C008"/>
    <s v="P103"/>
    <x v="68"/>
    <s v="23/12/2025"/>
    <s v="Kavya Nair"/>
    <s v="Female"/>
    <s v="22/09/1981"/>
    <s v="Jaipur"/>
    <x v="1"/>
    <x v="1"/>
    <s v="Keyboard"/>
    <n v="1"/>
    <n v="1200"/>
    <n v="0.05"/>
    <n v="1140"/>
    <n v="3"/>
    <s v="UPI"/>
    <s v="Aisha"/>
    <s v="kavya.nair@company.com"/>
    <n v="9808988530"/>
    <s v="Cancelled"/>
    <m/>
    <m/>
    <m/>
    <m/>
    <m/>
    <m/>
    <m/>
    <m/>
    <m/>
    <m/>
    <m/>
    <m/>
    <m/>
    <m/>
    <m/>
    <m/>
    <m/>
    <m/>
    <m/>
    <m/>
    <x v="68"/>
  </r>
  <r>
    <s v="ORD10074"/>
    <s v="C010"/>
    <s v="P202"/>
    <x v="69"/>
    <s v="16/02/2026"/>
    <s v="Pooja Shah"/>
    <s v="Female"/>
    <s v="20/06/1980"/>
    <m/>
    <x v="0"/>
    <x v="0"/>
    <s v="Iron"/>
    <n v="1"/>
    <n v="2200"/>
    <n v="0.15"/>
    <n v="1870"/>
    <n v="4"/>
    <s v="Card"/>
    <s v="Aisha"/>
    <s v="pooja.shah@company.com"/>
    <n v="9286410494"/>
    <s v="Completed"/>
    <m/>
    <m/>
    <m/>
    <m/>
    <m/>
    <m/>
    <m/>
    <m/>
    <m/>
    <m/>
    <m/>
    <m/>
    <m/>
    <m/>
    <m/>
    <m/>
    <m/>
    <m/>
    <m/>
    <m/>
    <x v="69"/>
  </r>
  <r>
    <s v="ORD10075"/>
    <s v="C003"/>
    <s v="P103"/>
    <x v="70"/>
    <s v="28/01/2026"/>
    <s v="Rohit Singh"/>
    <s v="Male"/>
    <s v="02/11/1982"/>
    <s v="Pune"/>
    <x v="2"/>
    <x v="1"/>
    <s v="Keyboard"/>
    <n v="3"/>
    <n v="1200"/>
    <n v="0.1"/>
    <n v="3240"/>
    <n v="5"/>
    <s v="Cash"/>
    <s v="Rahul"/>
    <s v="rohit.singh@company.com"/>
    <n v="9311555196"/>
    <s v="Completed"/>
    <m/>
    <m/>
    <m/>
    <m/>
    <m/>
    <m/>
    <m/>
    <m/>
    <m/>
    <m/>
    <m/>
    <m/>
    <m/>
    <m/>
    <m/>
    <m/>
    <m/>
    <m/>
    <m/>
    <m/>
    <x v="70"/>
  </r>
  <r>
    <s v="ORD10076"/>
    <s v="C008"/>
    <s v="P201"/>
    <x v="71"/>
    <s v="07/07/2025"/>
    <s v="Kavya Nair"/>
    <s v="Female"/>
    <s v="10/01/1980"/>
    <s v="Bengaluru"/>
    <x v="0"/>
    <x v="0"/>
    <s v="Mixer"/>
    <n v="10"/>
    <n v="3500"/>
    <n v="0.2"/>
    <n v="28000"/>
    <n v="5"/>
    <s v="Card"/>
    <s v="Ritika"/>
    <s v="kavya.nair@company.com"/>
    <n v="9101810266"/>
    <s v="Completed"/>
    <m/>
    <m/>
    <m/>
    <m/>
    <m/>
    <m/>
    <m/>
    <m/>
    <m/>
    <m/>
    <m/>
    <m/>
    <m/>
    <m/>
    <m/>
    <m/>
    <m/>
    <m/>
    <m/>
    <m/>
    <x v="71"/>
  </r>
  <r>
    <s v="ORD10077"/>
    <s v="C007"/>
    <s v="P102"/>
    <x v="72"/>
    <s v="19/03/2026"/>
    <s v="Arjun Rao"/>
    <s v="Male"/>
    <s v="27/04/1981"/>
    <s v="Delhi"/>
    <x v="1"/>
    <x v="1"/>
    <s v="Mouse"/>
    <n v="18"/>
    <n v="700"/>
    <n v="0.05"/>
    <n v="11970"/>
    <n v="3"/>
    <s v="Card"/>
    <s v="Neha"/>
    <s v="arjun.rao@company.com"/>
    <n v="9464556593"/>
    <s v="Cancelled"/>
    <m/>
    <m/>
    <m/>
    <m/>
    <m/>
    <m/>
    <m/>
    <m/>
    <m/>
    <m/>
    <m/>
    <m/>
    <m/>
    <m/>
    <m/>
    <m/>
    <m/>
    <m/>
    <m/>
    <m/>
    <x v="72"/>
  </r>
  <r>
    <s v="ORD10078"/>
    <s v="C005"/>
    <s v="P102"/>
    <x v="73"/>
    <s v="18/06/2025"/>
    <s v="Vikas Mehta"/>
    <s v="Male"/>
    <s v="12/03/1985"/>
    <s v="Bengaluru"/>
    <x v="0"/>
    <x v="1"/>
    <s v="Mouse"/>
    <n v="12"/>
    <n v="700"/>
    <n v="0.15"/>
    <n v="7140"/>
    <n v="2"/>
    <s v="UPI"/>
    <s v="Rahul"/>
    <s v="vikas.mehta@company.com"/>
    <n v="9338278358"/>
    <s v="Completed"/>
    <m/>
    <m/>
    <m/>
    <m/>
    <m/>
    <m/>
    <m/>
    <m/>
    <m/>
    <m/>
    <m/>
    <m/>
    <m/>
    <m/>
    <m/>
    <m/>
    <m/>
    <m/>
    <m/>
    <m/>
    <x v="73"/>
  </r>
  <r>
    <s v="ORD10079"/>
    <s v="C009"/>
    <s v="P103"/>
    <x v="74"/>
    <s v="16/11/2025"/>
    <s v="Mohit Verma"/>
    <s v="Male"/>
    <s v="15/03/1999"/>
    <s v="Mumbai"/>
    <x v="2"/>
    <x v="1"/>
    <s v="Keyboard"/>
    <n v="8"/>
    <n v="1200"/>
    <n v="0"/>
    <n v="9600"/>
    <n v="4"/>
    <s v="Card"/>
    <s v="Rahul"/>
    <s v="mohit.verma@company.com"/>
    <n v="9621410770"/>
    <s v="Pending"/>
    <m/>
    <m/>
    <m/>
    <m/>
    <m/>
    <m/>
    <m/>
    <m/>
    <m/>
    <m/>
    <m/>
    <m/>
    <m/>
    <m/>
    <m/>
    <m/>
    <m/>
    <m/>
    <m/>
    <m/>
    <x v="74"/>
  </r>
  <r>
    <s v="ORD10080"/>
    <s v="C003"/>
    <s v="P301"/>
    <x v="75"/>
    <s v="10/11/2025"/>
    <s v="Rohit Singh"/>
    <s v="Male"/>
    <s v="07/07/1983"/>
    <s v="Pune"/>
    <x v="2"/>
    <x v="2"/>
    <s v="Notebook"/>
    <n v="2"/>
    <n v="60"/>
    <n v="0"/>
    <n v="120"/>
    <n v="2"/>
    <s v="UPI"/>
    <s v="Rahul"/>
    <s v="rohit.singh@company.com"/>
    <n v="9981333189"/>
    <s v="Completed"/>
    <m/>
    <m/>
    <m/>
    <m/>
    <m/>
    <m/>
    <m/>
    <m/>
    <m/>
    <m/>
    <m/>
    <m/>
    <m/>
    <m/>
    <m/>
    <m/>
    <m/>
    <m/>
    <m/>
    <m/>
    <x v="75"/>
  </r>
  <r>
    <s v="ORD10081"/>
    <s v="C001"/>
    <s v="P303"/>
    <x v="76"/>
    <s v="07/01/2025"/>
    <s v="Amit Sharma"/>
    <s v="Male"/>
    <s v="06/03/1989"/>
    <s v="Pune"/>
    <x v="2"/>
    <x v="2"/>
    <s v="Marker"/>
    <n v="10"/>
    <n v="45"/>
    <n v="0.15"/>
    <n v="382.5"/>
    <n v="3"/>
    <s v="NetBanking"/>
    <s v="Ritika"/>
    <s v="amit.sharma@company.com"/>
    <n v="9723450355"/>
    <s v="Cancelled"/>
    <m/>
    <m/>
    <m/>
    <m/>
    <m/>
    <m/>
    <m/>
    <m/>
    <m/>
    <m/>
    <m/>
    <m/>
    <m/>
    <m/>
    <m/>
    <m/>
    <m/>
    <m/>
    <m/>
    <m/>
    <x v="76"/>
  </r>
  <r>
    <s v="ORD10082"/>
    <s v="C005"/>
    <s v="P201"/>
    <x v="77"/>
    <s v="03/05/2026"/>
    <s v="Vikas Mehta"/>
    <s v="Male"/>
    <s v="20/06/1982"/>
    <s v="Kolkata"/>
    <x v="3"/>
    <x v="0"/>
    <s v="Mixer"/>
    <n v="12"/>
    <n v="3500"/>
    <n v="0.05"/>
    <n v="39900"/>
    <n v="3"/>
    <s v="NetBanking"/>
    <s v="Aisha"/>
    <s v="vikas.mehta@company.com"/>
    <n v="9886243907"/>
    <s v="Pending"/>
    <m/>
    <m/>
    <m/>
    <m/>
    <m/>
    <m/>
    <m/>
    <m/>
    <m/>
    <m/>
    <m/>
    <m/>
    <m/>
    <m/>
    <m/>
    <m/>
    <m/>
    <m/>
    <m/>
    <m/>
    <x v="77"/>
  </r>
  <r>
    <s v="ORD10083"/>
    <s v="C003"/>
    <s v="P301"/>
    <x v="10"/>
    <s v="27/09/2025"/>
    <s v="Rohit Singh"/>
    <s v="Male"/>
    <s v="23/06/2001"/>
    <s v="Mumbai"/>
    <x v="2"/>
    <x v="2"/>
    <s v="Notebook"/>
    <n v="2"/>
    <n v="60"/>
    <n v="0.15"/>
    <n v="102"/>
    <n v="1"/>
    <s v="UPI"/>
    <s v="Neha"/>
    <s v="rohit.singh@company.com"/>
    <n v="9473931904"/>
    <s v="Completed"/>
    <m/>
    <m/>
    <m/>
    <m/>
    <m/>
    <m/>
    <m/>
    <m/>
    <m/>
    <m/>
    <m/>
    <m/>
    <m/>
    <m/>
    <m/>
    <m/>
    <m/>
    <m/>
    <m/>
    <m/>
    <x v="10"/>
  </r>
  <r>
    <s v="ORD10084"/>
    <s v="C003"/>
    <s v="P103"/>
    <x v="78"/>
    <s v="21/03/2025"/>
    <s v="Rohit Singh"/>
    <s v="Male"/>
    <s v="19/07/1983"/>
    <s v="Hyderabad"/>
    <x v="0"/>
    <x v="1"/>
    <s v="Keyboard"/>
    <n v="18"/>
    <n v="1200"/>
    <n v="0.15"/>
    <n v="18360"/>
    <n v="3"/>
    <s v="Card"/>
    <s v="Neha"/>
    <s v="rohit.singh@company.com"/>
    <n v="9287159610"/>
    <s v="Pending"/>
    <m/>
    <m/>
    <m/>
    <m/>
    <m/>
    <m/>
    <m/>
    <m/>
    <m/>
    <m/>
    <m/>
    <m/>
    <m/>
    <m/>
    <m/>
    <m/>
    <m/>
    <m/>
    <m/>
    <m/>
    <x v="78"/>
  </r>
  <r>
    <s v="ORD10085"/>
    <s v="C008"/>
    <s v="P104"/>
    <x v="79"/>
    <s v="31/10/2025"/>
    <s v="Kavya Nair"/>
    <s v="Female"/>
    <s v="24/03/1993"/>
    <s v="Mumbai"/>
    <x v="2"/>
    <x v="1"/>
    <s v="Monitor"/>
    <n v="18"/>
    <n v="12000"/>
    <n v="0.15"/>
    <n v="183600"/>
    <n v="2"/>
    <s v="Cash"/>
    <s v="Rahul"/>
    <s v="kavya.nair@company.com"/>
    <n v="9876513858"/>
    <s v="Completed"/>
    <m/>
    <m/>
    <m/>
    <m/>
    <m/>
    <m/>
    <m/>
    <m/>
    <m/>
    <m/>
    <m/>
    <m/>
    <m/>
    <m/>
    <m/>
    <m/>
    <m/>
    <m/>
    <m/>
    <m/>
    <x v="79"/>
  </r>
  <r>
    <s v="ORD10086"/>
    <s v="C007"/>
    <s v="P302"/>
    <x v="80"/>
    <s v="11/11/2025"/>
    <s v="Arjun Rao"/>
    <s v="Male"/>
    <s v="10/05/1995"/>
    <s v="Ahmedabad"/>
    <x v="2"/>
    <x v="2"/>
    <s v="Pen"/>
    <n v="7"/>
    <n v="20"/>
    <n v="0"/>
    <n v="140"/>
    <n v="2"/>
    <s v="Card"/>
    <s v="Ritika"/>
    <s v="arjun.rao@company.com"/>
    <n v="9237400853"/>
    <s v="Cancelled"/>
    <m/>
    <m/>
    <m/>
    <m/>
    <m/>
    <m/>
    <m/>
    <m/>
    <m/>
    <m/>
    <m/>
    <m/>
    <m/>
    <m/>
    <m/>
    <m/>
    <m/>
    <m/>
    <m/>
    <m/>
    <x v="80"/>
  </r>
  <r>
    <s v="ORD10087"/>
    <s v="C006"/>
    <s v="P201"/>
    <x v="81"/>
    <s v="18/04/2025"/>
    <s v="Sneha Joshi"/>
    <s v="Female"/>
    <s v="15/02/2001"/>
    <s v="Pune"/>
    <x v="2"/>
    <x v="0"/>
    <s v="Mixer"/>
    <n v="20"/>
    <n v="3500"/>
    <n v="0.2"/>
    <n v="56000"/>
    <n v="4"/>
    <s v="Card"/>
    <s v="Neha"/>
    <s v="sneha.joshi@company.com"/>
    <n v="9599597595"/>
    <s v="Pending"/>
    <m/>
    <m/>
    <m/>
    <m/>
    <m/>
    <m/>
    <m/>
    <m/>
    <m/>
    <m/>
    <m/>
    <m/>
    <m/>
    <m/>
    <m/>
    <m/>
    <m/>
    <m/>
    <m/>
    <m/>
    <x v="81"/>
  </r>
  <r>
    <s v="ORD10088"/>
    <s v="C002"/>
    <s v="P203"/>
    <x v="82"/>
    <s v="26/03/2026"/>
    <s v="Priya Patel"/>
    <s v="Female"/>
    <s v="14/08/1999"/>
    <s v="Ahmedabad"/>
    <x v="2"/>
    <x v="0"/>
    <s v="Microwave"/>
    <n v="8"/>
    <n v="8500"/>
    <n v="0.2"/>
    <n v="54400"/>
    <n v="3"/>
    <s v="Card"/>
    <s v="Neha"/>
    <s v="priya.patel@company.com"/>
    <n v="9230007509"/>
    <s v="Pending"/>
    <m/>
    <m/>
    <m/>
    <m/>
    <m/>
    <m/>
    <m/>
    <m/>
    <m/>
    <m/>
    <m/>
    <m/>
    <m/>
    <m/>
    <m/>
    <m/>
    <m/>
    <m/>
    <m/>
    <m/>
    <x v="82"/>
  </r>
  <r>
    <s v="ORD10089"/>
    <s v="C001"/>
    <s v="P104"/>
    <x v="83"/>
    <s v="24/09/2025"/>
    <s v="Amit Sharma"/>
    <s v="Male"/>
    <s v="20/03/2002"/>
    <s v="Ahmedabad"/>
    <x v="1"/>
    <x v="1"/>
    <s v="Monitor"/>
    <n v="6"/>
    <n v="12000"/>
    <n v="0.05"/>
    <n v="68400"/>
    <n v="4"/>
    <s v="NetBanking"/>
    <s v="Ritika"/>
    <s v="amit.sharma@company.com"/>
    <n v="9823428025"/>
    <s v="Completed"/>
    <m/>
    <m/>
    <m/>
    <m/>
    <m/>
    <m/>
    <m/>
    <m/>
    <m/>
    <m/>
    <m/>
    <m/>
    <m/>
    <m/>
    <m/>
    <m/>
    <m/>
    <m/>
    <m/>
    <m/>
    <x v="83"/>
  </r>
  <r>
    <s v="ORD10090"/>
    <s v="C008"/>
    <s v="P203"/>
    <x v="84"/>
    <s v="19/03/2026"/>
    <s v="Kavya Nair"/>
    <s v="Female"/>
    <s v="13/06/1992"/>
    <s v="Pune"/>
    <x v="2"/>
    <x v="0"/>
    <s v="Microwave"/>
    <n v="15"/>
    <n v="8500"/>
    <n v="0"/>
    <n v="127500"/>
    <n v="4"/>
    <s v="NetBanking"/>
    <s v="Ritika"/>
    <s v="kavya.nair@company.com"/>
    <n v="9505048912"/>
    <s v="Cancelled"/>
    <m/>
    <m/>
    <m/>
    <m/>
    <m/>
    <m/>
    <m/>
    <m/>
    <m/>
    <m/>
    <m/>
    <m/>
    <m/>
    <m/>
    <m/>
    <m/>
    <m/>
    <m/>
    <m/>
    <m/>
    <x v="84"/>
  </r>
  <r>
    <s v="ORD10091"/>
    <s v="C010"/>
    <s v="P103"/>
    <x v="85"/>
    <s v="23/08/2025"/>
    <s v="Pooja Shah"/>
    <s v="Female"/>
    <s v="18/06/1996"/>
    <s v="Jaipur"/>
    <x v="1"/>
    <x v="1"/>
    <s v="Keyboard"/>
    <n v="5"/>
    <n v="1200"/>
    <n v="0.15"/>
    <n v="5100"/>
    <n v="1"/>
    <s v="NetBanking"/>
    <s v="Ritika"/>
    <s v="pooja.shah@company.com"/>
    <n v="9508068393"/>
    <s v="Cancelled"/>
    <m/>
    <m/>
    <m/>
    <m/>
    <m/>
    <m/>
    <m/>
    <m/>
    <m/>
    <m/>
    <m/>
    <m/>
    <m/>
    <m/>
    <m/>
    <m/>
    <m/>
    <m/>
    <m/>
    <m/>
    <x v="85"/>
  </r>
  <r>
    <s v="ORD10092"/>
    <s v="C010"/>
    <s v="P302"/>
    <x v="86"/>
    <s v="14/08/2025"/>
    <s v="Pooja Shah"/>
    <s v="Female"/>
    <s v="08/11/1982"/>
    <s v="Hyderabad"/>
    <x v="0"/>
    <x v="2"/>
    <s v="Pen"/>
    <n v="4"/>
    <n v="20"/>
    <n v="0"/>
    <n v="80"/>
    <n v="4"/>
    <s v="NetBanking"/>
    <s v="Rahul"/>
    <s v="pooja.shah@company.com"/>
    <n v="9785807771"/>
    <s v="Completed"/>
    <m/>
    <m/>
    <m/>
    <m/>
    <m/>
    <m/>
    <m/>
    <m/>
    <m/>
    <m/>
    <m/>
    <m/>
    <m/>
    <m/>
    <m/>
    <m/>
    <m/>
    <m/>
    <m/>
    <m/>
    <x v="86"/>
  </r>
  <r>
    <s v="ORD10093"/>
    <s v="C008"/>
    <s v="P302"/>
    <x v="87"/>
    <s v="20/03/2025"/>
    <s v="Kavya Nair"/>
    <s v="Female"/>
    <s v="25/06/1984"/>
    <s v="Bengaluru"/>
    <x v="0"/>
    <x v="2"/>
    <s v="Pen"/>
    <n v="10"/>
    <n v="20"/>
    <n v="0"/>
    <n v="200"/>
    <n v="3"/>
    <s v="Cash"/>
    <s v="Karan"/>
    <s v="kavya.nair@company.com"/>
    <n v="9215250979"/>
    <s v="Pending"/>
    <m/>
    <m/>
    <m/>
    <m/>
    <m/>
    <m/>
    <m/>
    <m/>
    <m/>
    <m/>
    <m/>
    <m/>
    <m/>
    <m/>
    <m/>
    <m/>
    <m/>
    <m/>
    <m/>
    <m/>
    <x v="87"/>
  </r>
  <r>
    <s v="ORD10094"/>
    <s v="C004"/>
    <s v="P202"/>
    <x v="88"/>
    <s v="10/09/2025"/>
    <s v="Anita Gupta"/>
    <s v="Female"/>
    <s v="21/06/1994"/>
    <s v="Delhi"/>
    <x v="1"/>
    <x v="0"/>
    <s v="Iron"/>
    <n v="18"/>
    <n v="2200"/>
    <n v="0.1"/>
    <n v="35640"/>
    <n v="3"/>
    <s v="Cash"/>
    <s v="Ritika"/>
    <s v="anita.gupta@company.com"/>
    <n v="9845884906"/>
    <s v="Cancelled"/>
    <m/>
    <m/>
    <m/>
    <m/>
    <m/>
    <m/>
    <m/>
    <m/>
    <m/>
    <m/>
    <m/>
    <m/>
    <m/>
    <m/>
    <m/>
    <m/>
    <m/>
    <m/>
    <m/>
    <m/>
    <x v="88"/>
  </r>
  <r>
    <s v="ORD10095"/>
    <s v="C001"/>
    <s v="P201"/>
    <x v="89"/>
    <s v="15/04/2025"/>
    <s v="Amit Sharma"/>
    <s v="Male"/>
    <s v="17/10/1990"/>
    <s v="Delhi"/>
    <x v="1"/>
    <x v="0"/>
    <s v="Mixer"/>
    <n v="7"/>
    <n v="3500"/>
    <n v="0.15"/>
    <n v="20825"/>
    <n v="3"/>
    <s v="NetBanking"/>
    <s v="Rahul"/>
    <s v="amit.sharma@company.com"/>
    <n v="9393097397"/>
    <s v="Completed"/>
    <m/>
    <m/>
    <m/>
    <m/>
    <m/>
    <m/>
    <m/>
    <m/>
    <m/>
    <m/>
    <m/>
    <m/>
    <m/>
    <m/>
    <m/>
    <m/>
    <m/>
    <m/>
    <m/>
    <m/>
    <x v="89"/>
  </r>
  <r>
    <s v="ORD10096"/>
    <s v="C002"/>
    <s v="P203"/>
    <x v="90"/>
    <s v="07/05/2026"/>
    <s v="Priya Patel"/>
    <s v="Female"/>
    <s v="28/01/1987"/>
    <s v="Kolkata"/>
    <x v="3"/>
    <x v="0"/>
    <s v="Microwave"/>
    <n v="19"/>
    <n v="8500"/>
    <n v="0.15"/>
    <n v="137275"/>
    <n v="4"/>
    <s v="Card"/>
    <s v="Karan"/>
    <s v="priya.patel@company.com"/>
    <n v="9958032109"/>
    <s v="Pending"/>
    <m/>
    <m/>
    <m/>
    <m/>
    <m/>
    <m/>
    <m/>
    <m/>
    <m/>
    <m/>
    <m/>
    <m/>
    <m/>
    <m/>
    <m/>
    <m/>
    <m/>
    <m/>
    <m/>
    <m/>
    <x v="90"/>
  </r>
  <r>
    <s v="ORD10097"/>
    <s v="C006"/>
    <s v="P104"/>
    <x v="91"/>
    <s v="27/01/2026"/>
    <s v="Sneha Joshi"/>
    <s v="Female"/>
    <s v="21/09/1983"/>
    <s v="Ahmedabad"/>
    <x v="2"/>
    <x v="1"/>
    <s v="Monitor"/>
    <n v="13"/>
    <n v="12000"/>
    <n v="0.15"/>
    <n v="132600"/>
    <n v="4"/>
    <s v="Cash"/>
    <s v="Rahul"/>
    <s v="sneha.joshi@company.com"/>
    <n v="9755082957"/>
    <s v="Completed"/>
    <m/>
    <m/>
    <m/>
    <m/>
    <m/>
    <m/>
    <m/>
    <m/>
    <m/>
    <m/>
    <m/>
    <m/>
    <m/>
    <m/>
    <m/>
    <m/>
    <m/>
    <m/>
    <m/>
    <m/>
    <x v="91"/>
  </r>
  <r>
    <s v="ORD10098"/>
    <s v="C001"/>
    <s v="P302"/>
    <x v="92"/>
    <s v="24/03/2026"/>
    <s v="Amit Sharma"/>
    <s v="Male"/>
    <s v="04/04/1989"/>
    <s v="Pune"/>
    <x v="2"/>
    <x v="2"/>
    <s v="Pen"/>
    <n v="7"/>
    <n v="20"/>
    <n v="0"/>
    <n v="140"/>
    <n v="1"/>
    <s v="Card"/>
    <s v="Karan"/>
    <s v="amit.sharma@company.com"/>
    <n v="9872235856"/>
    <s v="Cancelled"/>
    <m/>
    <m/>
    <m/>
    <m/>
    <m/>
    <m/>
    <m/>
    <m/>
    <m/>
    <m/>
    <m/>
    <m/>
    <m/>
    <m/>
    <m/>
    <m/>
    <m/>
    <m/>
    <m/>
    <m/>
    <x v="92"/>
  </r>
  <r>
    <s v="ORD10099"/>
    <s v="C004"/>
    <s v="P102"/>
    <x v="93"/>
    <s v="11/05/2025"/>
    <s v="Anita Gupta"/>
    <s v="Female"/>
    <s v="25/09/1987"/>
    <s v="Delhi"/>
    <x v="1"/>
    <x v="1"/>
    <s v="Mouse"/>
    <n v="5"/>
    <n v="700"/>
    <n v="0.15"/>
    <n v="999999"/>
    <n v="4"/>
    <s v="Card"/>
    <s v="Ritika"/>
    <s v="anita.gupta@company.com"/>
    <n v="9335138816"/>
    <s v="Pending"/>
    <m/>
    <m/>
    <m/>
    <m/>
    <m/>
    <m/>
    <m/>
    <m/>
    <m/>
    <m/>
    <m/>
    <m/>
    <m/>
    <m/>
    <m/>
    <m/>
    <m/>
    <m/>
    <m/>
    <m/>
    <x v="93"/>
  </r>
  <r>
    <s v="ORD10100"/>
    <s v="C007"/>
    <s v="P303"/>
    <x v="94"/>
    <s v="10/05/2026"/>
    <s v="Arjun Rao"/>
    <s v="Male"/>
    <s v="07/08/1982"/>
    <s v="Bengaluru"/>
    <x v="0"/>
    <x v="2"/>
    <s v="Marker"/>
    <n v="9"/>
    <n v="45"/>
    <n v="0.05"/>
    <n v="384.75"/>
    <n v="3"/>
    <s v="Cash"/>
    <s v="Ritika"/>
    <s v="arjun.rao@company.com"/>
    <n v="9750365609"/>
    <s v="Completed"/>
    <m/>
    <m/>
    <m/>
    <m/>
    <m/>
    <m/>
    <m/>
    <m/>
    <m/>
    <m/>
    <m/>
    <m/>
    <m/>
    <m/>
    <m/>
    <m/>
    <m/>
    <m/>
    <m/>
    <m/>
    <x v="94"/>
  </r>
  <r>
    <s v="ORD10101"/>
    <s v="C003"/>
    <s v="P301"/>
    <x v="95"/>
    <s v="29/04/2025"/>
    <s v="Rohit Singh"/>
    <s v="Male"/>
    <s v="17/07/1986"/>
    <s v="Kolkata"/>
    <x v="3"/>
    <x v="2"/>
    <s v="Notebook"/>
    <n v="19"/>
    <n v="60"/>
    <n v="0.1"/>
    <n v="1026"/>
    <n v="5"/>
    <s v="NetBanking"/>
    <s v="Neha"/>
    <s v="rohit.singh@company.com"/>
    <n v="9736812737"/>
    <s v="Completed"/>
    <m/>
    <m/>
    <m/>
    <m/>
    <m/>
    <m/>
    <m/>
    <m/>
    <m/>
    <m/>
    <m/>
    <m/>
    <m/>
    <m/>
    <m/>
    <m/>
    <m/>
    <m/>
    <m/>
    <m/>
    <x v="95"/>
  </r>
  <r>
    <s v="ORD10102"/>
    <s v="C001"/>
    <s v="P102"/>
    <x v="96"/>
    <s v="20/12/2025"/>
    <s v="Amit Sharma"/>
    <s v="Male"/>
    <s v="06/04/1987"/>
    <s v="Ahmedabad"/>
    <x v="2"/>
    <x v="1"/>
    <s v="Mouse"/>
    <n v="4"/>
    <n v="700"/>
    <n v="0.05"/>
    <n v="2660"/>
    <n v="3"/>
    <s v="NetBanking"/>
    <s v="Aisha"/>
    <s v="amit.sharma@company.com"/>
    <n v="9271420931"/>
    <s v="Completed"/>
    <m/>
    <m/>
    <m/>
    <m/>
    <m/>
    <m/>
    <m/>
    <m/>
    <m/>
    <m/>
    <m/>
    <m/>
    <m/>
    <m/>
    <m/>
    <m/>
    <m/>
    <m/>
    <m/>
    <m/>
    <x v="96"/>
  </r>
  <r>
    <s v="ORD10103"/>
    <s v="C001"/>
    <s v="P201"/>
    <x v="94"/>
    <s v="15/05/2026"/>
    <s v="Amit Sharma"/>
    <s v="Male"/>
    <s v="25/02/2004"/>
    <s v="Pune"/>
    <x v="2"/>
    <x v="0"/>
    <s v="Mixer"/>
    <n v="16"/>
    <n v="3500"/>
    <n v="0"/>
    <n v="56000"/>
    <n v="2"/>
    <s v="Card"/>
    <s v="Rahul"/>
    <s v="amit.sharma@company.com"/>
    <n v="9781411370"/>
    <s v="Completed"/>
    <m/>
    <m/>
    <m/>
    <m/>
    <m/>
    <m/>
    <m/>
    <m/>
    <m/>
    <m/>
    <m/>
    <m/>
    <m/>
    <m/>
    <m/>
    <m/>
    <m/>
    <m/>
    <m/>
    <m/>
    <x v="94"/>
  </r>
  <r>
    <s v="ORD10104"/>
    <s v="C006"/>
    <s v="P303"/>
    <x v="97"/>
    <s v="20/01/2025"/>
    <s v="Sneha Joshi"/>
    <s v="Female"/>
    <s v="24/04/2001"/>
    <s v="Bengaluru"/>
    <x v="0"/>
    <x v="2"/>
    <s v="Marker"/>
    <n v="5"/>
    <n v="45"/>
    <n v="0.2"/>
    <n v="180"/>
    <n v="3"/>
    <s v="Card"/>
    <s v="Ritika"/>
    <s v="sneha.joshi@company.com"/>
    <n v="9584152818"/>
    <s v="Completed"/>
    <m/>
    <m/>
    <m/>
    <m/>
    <m/>
    <m/>
    <m/>
    <m/>
    <m/>
    <m/>
    <m/>
    <m/>
    <m/>
    <m/>
    <m/>
    <m/>
    <m/>
    <m/>
    <m/>
    <m/>
    <x v="97"/>
  </r>
  <r>
    <s v="ORD10105"/>
    <s v="C007"/>
    <s v="P302"/>
    <x v="98"/>
    <s v="18/03/2025"/>
    <s v="Arjun Rao"/>
    <s v="Male"/>
    <s v="01/07/1996"/>
    <s v="Mumbai"/>
    <x v="2"/>
    <x v="2"/>
    <s v="Pen"/>
    <n v="9"/>
    <n v="20"/>
    <n v="0.1"/>
    <n v="162"/>
    <n v="4"/>
    <s v="Card"/>
    <s v="Ritika"/>
    <s v="arjun.rao@company.com"/>
    <n v="9507986836"/>
    <s v="Pending"/>
    <m/>
    <m/>
    <m/>
    <m/>
    <m/>
    <m/>
    <m/>
    <m/>
    <m/>
    <m/>
    <m/>
    <m/>
    <m/>
    <m/>
    <m/>
    <m/>
    <m/>
    <m/>
    <m/>
    <m/>
    <x v="98"/>
  </r>
  <r>
    <s v="ORD10106"/>
    <s v="C010"/>
    <s v="P103"/>
    <x v="99"/>
    <s v="01/03/2025"/>
    <s v="Pooja Shah"/>
    <s v="Female"/>
    <s v="06/02/1979"/>
    <s v="Delhi"/>
    <x v="1"/>
    <x v="1"/>
    <s v="Keyboard"/>
    <n v="9"/>
    <n v="1200"/>
    <n v="0.05"/>
    <n v="10260"/>
    <n v="3"/>
    <s v="UPI"/>
    <s v="Ritika"/>
    <s v="pooja.shah@company.com"/>
    <n v="9518249687"/>
    <s v="Pending"/>
    <m/>
    <m/>
    <m/>
    <m/>
    <m/>
    <m/>
    <m/>
    <m/>
    <m/>
    <m/>
    <m/>
    <m/>
    <m/>
    <m/>
    <m/>
    <m/>
    <m/>
    <m/>
    <m/>
    <m/>
    <x v="99"/>
  </r>
  <r>
    <s v="ORD10107"/>
    <s v="C002"/>
    <s v="P201"/>
    <x v="100"/>
    <s v="27/02/2025"/>
    <s v="Priya Patel"/>
    <s v="Female"/>
    <s v="12/12/1985"/>
    <s v="Delhi"/>
    <x v="1"/>
    <x v="0"/>
    <s v="Mixer"/>
    <n v="3"/>
    <n v="3500"/>
    <n v="0.1"/>
    <n v="9450"/>
    <n v="2"/>
    <s v="Card"/>
    <s v="Karan"/>
    <s v="priya.patel@company.com"/>
    <n v="9179328207"/>
    <s v="Cancelled"/>
    <m/>
    <m/>
    <m/>
    <m/>
    <m/>
    <m/>
    <m/>
    <m/>
    <m/>
    <m/>
    <m/>
    <m/>
    <m/>
    <m/>
    <m/>
    <m/>
    <m/>
    <m/>
    <m/>
    <m/>
    <x v="100"/>
  </r>
  <r>
    <s v="ORD10108"/>
    <s v="C005"/>
    <s v="P103"/>
    <x v="27"/>
    <s v="18/03/2026"/>
    <s v="Vikas Mehta"/>
    <s v="Male"/>
    <s v="28/01/1992"/>
    <s v="Mumbai"/>
    <x v="2"/>
    <x v="1"/>
    <s v="Keyboard"/>
    <n v="6"/>
    <n v="1200"/>
    <n v="0.15"/>
    <n v="6120"/>
    <n v="4"/>
    <s v="UPI"/>
    <s v="Ritika"/>
    <s v="vikas.mehta@company.com"/>
    <n v="9778490728"/>
    <s v="Cancelled"/>
    <m/>
    <m/>
    <m/>
    <m/>
    <m/>
    <m/>
    <m/>
    <m/>
    <m/>
    <m/>
    <m/>
    <m/>
    <m/>
    <m/>
    <m/>
    <m/>
    <m/>
    <m/>
    <m/>
    <m/>
    <x v="27"/>
  </r>
  <r>
    <s v="ORD10109"/>
    <s v="C007"/>
    <s v="P103"/>
    <x v="101"/>
    <s v="12/07/2025"/>
    <s v="Arjun Rao"/>
    <s v="Male"/>
    <s v="05/07/1993"/>
    <s v="Jaipur"/>
    <x v="1"/>
    <x v="1"/>
    <s v="Keyboard"/>
    <n v="17"/>
    <n v="1200"/>
    <n v="0.15"/>
    <n v="17340"/>
    <n v="1"/>
    <s v="Cash"/>
    <s v="Aisha"/>
    <s v="arjun.rao@company.com"/>
    <n v="9223058722"/>
    <s v="Completed"/>
    <m/>
    <m/>
    <m/>
    <m/>
    <m/>
    <m/>
    <m/>
    <m/>
    <m/>
    <m/>
    <m/>
    <m/>
    <m/>
    <m/>
    <m/>
    <m/>
    <m/>
    <m/>
    <m/>
    <m/>
    <x v="101"/>
  </r>
  <r>
    <s v="ORD10110"/>
    <s v="C005"/>
    <s v="P203"/>
    <x v="102"/>
    <s v="26/11/2025"/>
    <s v="Vikas Mehta"/>
    <s v="Male"/>
    <s v="13/09/1977"/>
    <s v="Bengaluru"/>
    <x v="0"/>
    <x v="0"/>
    <s v="Microwave"/>
    <n v="15"/>
    <n v="8500"/>
    <n v="0"/>
    <n v="127500"/>
    <n v="3"/>
    <s v="Cash"/>
    <s v="Neha"/>
    <s v="vikas.mehta@company.com"/>
    <n v="9999889465"/>
    <s v="Pending"/>
    <m/>
    <m/>
    <m/>
    <m/>
    <m/>
    <m/>
    <m/>
    <m/>
    <m/>
    <m/>
    <m/>
    <m/>
    <m/>
    <m/>
    <m/>
    <m/>
    <m/>
    <m/>
    <m/>
    <m/>
    <x v="102"/>
  </r>
  <r>
    <s v="ORD10111"/>
    <s v="C003"/>
    <s v="P103"/>
    <x v="7"/>
    <s v="19/04/2025"/>
    <s v="Rohit Singh"/>
    <s v="Male"/>
    <s v="11/10/1985"/>
    <s v="Hyderabad"/>
    <x v="0"/>
    <x v="1"/>
    <s v="Keyboard"/>
    <n v="1"/>
    <n v="1200"/>
    <n v="0.2"/>
    <n v="960"/>
    <n v="1"/>
    <s v="UPI"/>
    <s v="Neha"/>
    <s v="rohit.singh@company.com"/>
    <n v="9489687402"/>
    <s v="Pending"/>
    <m/>
    <m/>
    <m/>
    <m/>
    <m/>
    <m/>
    <m/>
    <m/>
    <m/>
    <m/>
    <m/>
    <m/>
    <m/>
    <m/>
    <m/>
    <m/>
    <m/>
    <m/>
    <m/>
    <m/>
    <x v="7"/>
  </r>
  <r>
    <s v="ORD10112"/>
    <s v="C003"/>
    <s v="P203"/>
    <x v="103"/>
    <s v="18/04/2025"/>
    <s v="Rohit Singh"/>
    <s v="Male"/>
    <s v="02/10/2001"/>
    <s v="Kolkata"/>
    <x v="3"/>
    <x v="0"/>
    <s v="Microwave"/>
    <n v="5"/>
    <n v="8500"/>
    <n v="0.1"/>
    <n v="38250"/>
    <n v="1"/>
    <s v="Card"/>
    <s v="Aisha"/>
    <s v="rohit.singh@company.com"/>
    <n v="9236963301"/>
    <s v="Completed"/>
    <m/>
    <m/>
    <m/>
    <m/>
    <m/>
    <m/>
    <m/>
    <m/>
    <m/>
    <m/>
    <m/>
    <m/>
    <m/>
    <m/>
    <m/>
    <m/>
    <m/>
    <m/>
    <m/>
    <m/>
    <x v="103"/>
  </r>
  <r>
    <s v="ORD10113"/>
    <s v="C010"/>
    <s v="P303"/>
    <x v="104"/>
    <s v="10/04/2026"/>
    <s v="Pooja Shah"/>
    <s v="Female"/>
    <s v="08/04/1986"/>
    <s v="Hyderabad"/>
    <x v="0"/>
    <x v="2"/>
    <s v="Marker"/>
    <n v="12"/>
    <n v="45"/>
    <n v="0.05"/>
    <n v="513"/>
    <n v="2"/>
    <s v="NetBanking"/>
    <s v="Ritika"/>
    <s v="pooja.shah@company.com"/>
    <n v="9653594592"/>
    <s v="Cancelled"/>
    <m/>
    <m/>
    <m/>
    <m/>
    <m/>
    <m/>
    <m/>
    <m/>
    <m/>
    <m/>
    <m/>
    <m/>
    <m/>
    <m/>
    <m/>
    <m/>
    <m/>
    <m/>
    <m/>
    <m/>
    <x v="104"/>
  </r>
  <r>
    <s v="ORD10114"/>
    <s v="C005"/>
    <s v="P301"/>
    <x v="105"/>
    <s v="28/10/2025"/>
    <s v="Vikas Mehta"/>
    <s v="Male"/>
    <s v="21/07/1990"/>
    <s v="Pune"/>
    <x v="2"/>
    <x v="2"/>
    <s v="Notebook"/>
    <n v="5"/>
    <n v="60"/>
    <n v="0.05"/>
    <n v="285"/>
    <n v="2"/>
    <s v="Cash"/>
    <s v="Aisha"/>
    <s v="vikas.mehta@company.com"/>
    <n v="9781970426"/>
    <s v="Completed"/>
    <m/>
    <m/>
    <m/>
    <m/>
    <m/>
    <m/>
    <m/>
    <m/>
    <m/>
    <m/>
    <m/>
    <m/>
    <m/>
    <m/>
    <m/>
    <m/>
    <m/>
    <m/>
    <m/>
    <m/>
    <x v="105"/>
  </r>
  <r>
    <s v="ORD10115"/>
    <s v="C010"/>
    <s v="P102"/>
    <x v="106"/>
    <s v="14/04/2025"/>
    <s v="Pooja Shah"/>
    <s v="Female"/>
    <s v="11/04/1994"/>
    <s v="Kolkata"/>
    <x v="3"/>
    <x v="1"/>
    <s v="Mouse"/>
    <n v="3"/>
    <n v="700"/>
    <n v="0"/>
    <n v="2100"/>
    <n v="4"/>
    <s v="Card"/>
    <s v="Aisha"/>
    <s v="pooja.shah@company.com"/>
    <n v="9862165194"/>
    <s v="Completed"/>
    <m/>
    <m/>
    <m/>
    <m/>
    <m/>
    <m/>
    <m/>
    <m/>
    <m/>
    <m/>
    <m/>
    <m/>
    <m/>
    <m/>
    <m/>
    <m/>
    <m/>
    <m/>
    <m/>
    <m/>
    <x v="106"/>
  </r>
  <r>
    <s v="ORD10116"/>
    <s v="C004"/>
    <s v="P302"/>
    <x v="43"/>
    <s v="29/04/2025"/>
    <s v="Anita Gupta"/>
    <s v="Female"/>
    <s v="04/05/1992"/>
    <s v="Delhi"/>
    <x v="1"/>
    <x v="2"/>
    <s v="Pen"/>
    <n v="6"/>
    <n v="20"/>
    <n v="0.15"/>
    <n v="102"/>
    <n v="5"/>
    <s v="Card"/>
    <s v="Karan"/>
    <s v="anita.gupta@company.com"/>
    <n v="9661280388"/>
    <s v="Completed"/>
    <m/>
    <m/>
    <m/>
    <m/>
    <m/>
    <m/>
    <m/>
    <m/>
    <m/>
    <m/>
    <m/>
    <m/>
    <m/>
    <m/>
    <m/>
    <m/>
    <m/>
    <m/>
    <m/>
    <m/>
    <x v="43"/>
  </r>
  <r>
    <s v="ORD10117"/>
    <s v="C002"/>
    <s v="P102"/>
    <x v="107"/>
    <s v="31/08/2025"/>
    <s v="Priya Patel"/>
    <s v="Female"/>
    <s v="13/05/1980"/>
    <s v="Bengaluru"/>
    <x v="0"/>
    <x v="1"/>
    <s v="Mouse"/>
    <n v="2"/>
    <n v="700"/>
    <n v="0.15"/>
    <n v="1190"/>
    <n v="4"/>
    <s v="Cash"/>
    <s v="Karan"/>
    <s v="priya.patel@company.com"/>
    <n v="9896985355"/>
    <s v="Pending"/>
    <m/>
    <m/>
    <m/>
    <m/>
    <m/>
    <m/>
    <m/>
    <m/>
    <m/>
    <m/>
    <m/>
    <m/>
    <m/>
    <m/>
    <m/>
    <m/>
    <m/>
    <m/>
    <m/>
    <m/>
    <x v="107"/>
  </r>
  <r>
    <s v="ORD10118"/>
    <s v="C001"/>
    <s v="P303"/>
    <x v="108"/>
    <s v="11/06/2025"/>
    <s v="Amit Sharma"/>
    <s v="Male"/>
    <s v="07/09/1995"/>
    <s v="Pune"/>
    <x v="2"/>
    <x v="2"/>
    <s v="Marker"/>
    <n v="16"/>
    <n v="45"/>
    <n v="0"/>
    <n v="720"/>
    <n v="1"/>
    <s v="NetBanking"/>
    <s v="Aisha"/>
    <s v="amit.sharma@company.com"/>
    <n v="9807154421"/>
    <s v="Completed"/>
    <m/>
    <m/>
    <m/>
    <m/>
    <m/>
    <m/>
    <m/>
    <m/>
    <m/>
    <m/>
    <m/>
    <m/>
    <m/>
    <m/>
    <m/>
    <m/>
    <m/>
    <m/>
    <m/>
    <m/>
    <x v="108"/>
  </r>
  <r>
    <s v="ORD10119"/>
    <s v="C009"/>
    <s v="P103"/>
    <x v="109"/>
    <s v="02/06/2025"/>
    <s v="Mohit Verma"/>
    <s v="Male"/>
    <s v="08/03/1988"/>
    <s v="Ahmedabad"/>
    <x v="2"/>
    <x v="1"/>
    <s v="Keyboard"/>
    <m/>
    <n v="1200"/>
    <n v="0.15"/>
    <n v="7140"/>
    <n v="4"/>
    <s v="UPI"/>
    <s v="Karan"/>
    <s v="mohit.verma@company.com"/>
    <n v="9919834000"/>
    <s v="Pending"/>
    <m/>
    <m/>
    <m/>
    <m/>
    <m/>
    <m/>
    <m/>
    <m/>
    <m/>
    <m/>
    <m/>
    <m/>
    <m/>
    <m/>
    <m/>
    <m/>
    <m/>
    <m/>
    <m/>
    <m/>
    <x v="109"/>
  </r>
  <r>
    <s v="ORD10120"/>
    <s v="C002"/>
    <s v="P104"/>
    <x v="50"/>
    <s v="30/08/2025"/>
    <s v="Priya Patel"/>
    <s v="Female"/>
    <s v="07/07/1989"/>
    <s v="Jaipur"/>
    <x v="1"/>
    <x v="1"/>
    <s v="Monitor"/>
    <n v="14"/>
    <n v="12000"/>
    <n v="0.15"/>
    <n v="142800"/>
    <n v="2"/>
    <s v="NetBanking"/>
    <s v="Aisha"/>
    <s v="priya.patel@company.com"/>
    <n v="9739798818"/>
    <s v="Pending"/>
    <m/>
    <m/>
    <m/>
    <m/>
    <m/>
    <m/>
    <m/>
    <m/>
    <m/>
    <m/>
    <m/>
    <m/>
    <m/>
    <m/>
    <m/>
    <m/>
    <m/>
    <m/>
    <m/>
    <m/>
    <x v="50"/>
  </r>
  <r>
    <s v="ORD10121"/>
    <s v="C003"/>
    <s v="P203"/>
    <x v="64"/>
    <s v="16/12/2025"/>
    <s v="Rohit Singh"/>
    <s v="Male"/>
    <s v="11/11/1993"/>
    <s v="Pune"/>
    <x v="2"/>
    <x v="0"/>
    <s v="Microwave"/>
    <n v="8"/>
    <n v="8500"/>
    <n v="0.2"/>
    <n v="54400"/>
    <n v="3"/>
    <s v="Card"/>
    <s v="Rahul"/>
    <s v="rohit.singh@company.com"/>
    <n v="9208625306"/>
    <s v="Completed"/>
    <m/>
    <m/>
    <m/>
    <m/>
    <m/>
    <m/>
    <m/>
    <m/>
    <m/>
    <m/>
    <m/>
    <m/>
    <m/>
    <m/>
    <m/>
    <m/>
    <m/>
    <m/>
    <m/>
    <m/>
    <x v="64"/>
  </r>
  <r>
    <s v="ORD10122"/>
    <s v="C007"/>
    <s v="P303"/>
    <x v="8"/>
    <s v="10/02/2026"/>
    <s v="Arjun Rao"/>
    <s v="Male"/>
    <s v="01/02/2000"/>
    <s v="Bengaluru"/>
    <x v="0"/>
    <x v="2"/>
    <s v="Marker"/>
    <n v="3"/>
    <n v="45"/>
    <n v="0"/>
    <n v="135"/>
    <n v="4"/>
    <s v="UPI"/>
    <s v="Aisha"/>
    <s v="arjun.rao@company.com"/>
    <n v="9970178536"/>
    <s v="Cancelled"/>
    <m/>
    <m/>
    <m/>
    <m/>
    <m/>
    <m/>
    <m/>
    <m/>
    <m/>
    <m/>
    <m/>
    <m/>
    <m/>
    <m/>
    <m/>
    <m/>
    <m/>
    <m/>
    <m/>
    <m/>
    <x v="8"/>
  </r>
  <r>
    <s v="ORD10123"/>
    <s v="C001"/>
    <s v="P102"/>
    <x v="110"/>
    <s v="04/01/2026"/>
    <s v="Amit Sharma"/>
    <s v="Male"/>
    <s v="22/06/1986"/>
    <s v="Jaipur"/>
    <x v="1"/>
    <x v="1"/>
    <s v="Mouse"/>
    <n v="13"/>
    <n v="700"/>
    <n v="0.05"/>
    <n v="8645"/>
    <n v="3"/>
    <s v="Card"/>
    <s v="Neha"/>
    <s v="amit.sharma@company.com"/>
    <n v="9633745195"/>
    <s v="Pending"/>
    <m/>
    <m/>
    <m/>
    <m/>
    <m/>
    <m/>
    <m/>
    <m/>
    <m/>
    <m/>
    <m/>
    <m/>
    <m/>
    <m/>
    <m/>
    <m/>
    <m/>
    <m/>
    <m/>
    <m/>
    <x v="110"/>
  </r>
  <r>
    <s v="ORD10124"/>
    <s v="C004"/>
    <s v="P103"/>
    <x v="111"/>
    <s v="26/10/2025"/>
    <s v="Anita Gupta"/>
    <s v="Female"/>
    <s v="16/02/1986"/>
    <s v="Mumbai"/>
    <x v="2"/>
    <x v="1"/>
    <s v="Keyboard"/>
    <n v="14"/>
    <n v="1200"/>
    <n v="0.2"/>
    <n v="13440"/>
    <n v="5"/>
    <s v="NetBanking"/>
    <s v="Aisha"/>
    <s v="anita.gupta@company.com"/>
    <n v="9922102053"/>
    <s v="Completed"/>
    <m/>
    <m/>
    <m/>
    <m/>
    <m/>
    <m/>
    <m/>
    <m/>
    <m/>
    <m/>
    <m/>
    <m/>
    <m/>
    <m/>
    <m/>
    <m/>
    <m/>
    <m/>
    <m/>
    <m/>
    <x v="111"/>
  </r>
  <r>
    <s v="ORD10125"/>
    <s v="C002"/>
    <s v="P303"/>
    <x v="112"/>
    <s v="21/05/2025"/>
    <s v="Priya Patel"/>
    <s v="Female"/>
    <s v="18/09/1991"/>
    <s v="Delhi"/>
    <x v="1"/>
    <x v="2"/>
    <s v="Marker"/>
    <n v="2"/>
    <n v="45"/>
    <n v="0.05"/>
    <n v="85.5"/>
    <n v="3"/>
    <s v="UPI"/>
    <s v="Ritika"/>
    <s v="priya.patel@company.com"/>
    <n v="9135963930"/>
    <s v="Cancelled"/>
    <m/>
    <m/>
    <m/>
    <m/>
    <m/>
    <m/>
    <m/>
    <m/>
    <m/>
    <m/>
    <m/>
    <m/>
    <m/>
    <m/>
    <m/>
    <m/>
    <m/>
    <m/>
    <m/>
    <m/>
    <x v="112"/>
  </r>
  <r>
    <s v="ORD10126"/>
    <s v="C004"/>
    <s v="P103"/>
    <x v="113"/>
    <s v="06/01/2026"/>
    <s v="Anita Gupta"/>
    <s v="Female"/>
    <s v="04/01/1981"/>
    <s v="Bengaluru"/>
    <x v="0"/>
    <x v="1"/>
    <s v="Keyboard"/>
    <n v="2"/>
    <n v="1200"/>
    <n v="0.2"/>
    <n v="1920"/>
    <n v="3"/>
    <s v="Card"/>
    <s v="Neha"/>
    <s v="anita.gupta@company.com"/>
    <n v="9429405275"/>
    <s v="Completed"/>
    <m/>
    <m/>
    <m/>
    <m/>
    <m/>
    <m/>
    <m/>
    <m/>
    <m/>
    <m/>
    <m/>
    <m/>
    <m/>
    <m/>
    <m/>
    <m/>
    <m/>
    <m/>
    <m/>
    <m/>
    <x v="113"/>
  </r>
  <r>
    <s v="ORD10127"/>
    <s v="C003"/>
    <s v="P101"/>
    <x v="114"/>
    <s v="26/04/2026"/>
    <s v="Rohit Singh"/>
    <s v="Male"/>
    <s v="12/10/2004"/>
    <s v="Bengaluru"/>
    <x v="0"/>
    <x v="1"/>
    <s v="Laptop"/>
    <n v="10"/>
    <n v="55000"/>
    <n v="0.05"/>
    <n v="522500"/>
    <n v="5"/>
    <s v="UPI"/>
    <s v="Aisha"/>
    <s v="rohit.singh@company.com"/>
    <n v="9521757571"/>
    <s v="Pending"/>
    <m/>
    <m/>
    <m/>
    <m/>
    <m/>
    <m/>
    <m/>
    <m/>
    <m/>
    <m/>
    <m/>
    <m/>
    <m/>
    <m/>
    <m/>
    <m/>
    <m/>
    <m/>
    <m/>
    <m/>
    <x v="114"/>
  </r>
  <r>
    <s v="ORD10128"/>
    <s v="C006"/>
    <s v="P201"/>
    <x v="115"/>
    <s v="05/08/2025"/>
    <s v="Sneha Joshi"/>
    <s v="Female"/>
    <s v="25/03/1984"/>
    <s v="Jaipur"/>
    <x v="1"/>
    <x v="0"/>
    <s v="Mixer"/>
    <n v="15"/>
    <n v="3500"/>
    <n v="0.1"/>
    <n v="47250"/>
    <n v="3"/>
    <s v="NetBanking"/>
    <s v="Neha"/>
    <s v="sneha.joshi@company.com"/>
    <n v="9467375455"/>
    <s v="Completed"/>
    <m/>
    <m/>
    <m/>
    <m/>
    <m/>
    <m/>
    <m/>
    <m/>
    <m/>
    <m/>
    <m/>
    <m/>
    <m/>
    <m/>
    <m/>
    <m/>
    <m/>
    <m/>
    <m/>
    <m/>
    <x v="115"/>
  </r>
  <r>
    <s v="ORD10129"/>
    <s v="C002"/>
    <s v="P202"/>
    <x v="86"/>
    <s v="18/08/2025"/>
    <s v="Priya Patel"/>
    <s v="Female"/>
    <s v="09/09/1982"/>
    <s v="Bengaluru"/>
    <x v="0"/>
    <x v="0"/>
    <s v="Iron"/>
    <n v="10"/>
    <n v="2200"/>
    <n v="0.15"/>
    <n v="18700"/>
    <n v="4"/>
    <s v="Card"/>
    <s v="Rahul"/>
    <s v="priya.patel@company.com"/>
    <n v="9838809695"/>
    <s v="Pending"/>
    <m/>
    <m/>
    <m/>
    <m/>
    <m/>
    <m/>
    <m/>
    <m/>
    <m/>
    <m/>
    <m/>
    <m/>
    <m/>
    <m/>
    <m/>
    <m/>
    <m/>
    <m/>
    <m/>
    <m/>
    <x v="86"/>
  </r>
  <r>
    <s v="ORD10130"/>
    <s v="C006"/>
    <s v="P201"/>
    <x v="30"/>
    <s v="24/06/2025"/>
    <s v="Sneha Joshi"/>
    <s v="Female"/>
    <s v="15/02/1993"/>
    <s v="Pune"/>
    <x v="2"/>
    <x v="0"/>
    <s v="Mixer"/>
    <n v="11"/>
    <n v="3500"/>
    <n v="0.05"/>
    <n v="36575"/>
    <n v="5"/>
    <s v="Cash"/>
    <s v="Ritika"/>
    <s v="sneha.joshi@company.com"/>
    <n v="9296609782"/>
    <s v="Cancelled"/>
    <m/>
    <m/>
    <m/>
    <m/>
    <m/>
    <m/>
    <m/>
    <m/>
    <m/>
    <m/>
    <m/>
    <m/>
    <m/>
    <m/>
    <m/>
    <m/>
    <m/>
    <m/>
    <m/>
    <m/>
    <x v="30"/>
  </r>
  <r>
    <s v="ORD10131"/>
    <s v="C004"/>
    <s v="P103"/>
    <x v="116"/>
    <s v="30/04/2026"/>
    <s v="Anita Gupta"/>
    <s v="Female"/>
    <s v="08/04/2003"/>
    <s v="Bengaluru"/>
    <x v="0"/>
    <x v="1"/>
    <s v="Keyboard"/>
    <n v="14"/>
    <n v="1200"/>
    <n v="0"/>
    <n v="16800"/>
    <n v="5"/>
    <s v="Cash"/>
    <s v="Rahul"/>
    <s v="anita.gupta@company.com"/>
    <n v="9848259992"/>
    <s v="Cancelled"/>
    <m/>
    <m/>
    <m/>
    <m/>
    <m/>
    <m/>
    <m/>
    <m/>
    <m/>
    <m/>
    <m/>
    <m/>
    <m/>
    <m/>
    <m/>
    <m/>
    <m/>
    <m/>
    <m/>
    <m/>
    <x v="116"/>
  </r>
  <r>
    <s v="ORD10132"/>
    <s v="C002"/>
    <s v="P302"/>
    <x v="117"/>
    <s v="22/02/2026"/>
    <s v="Priya Patel"/>
    <s v="Female"/>
    <s v="20/10/1989"/>
    <s v="Delhi"/>
    <x v="1"/>
    <x v="2"/>
    <s v="Pen"/>
    <n v="11"/>
    <n v="20"/>
    <n v="0.2"/>
    <n v="176"/>
    <n v="4"/>
    <s v="NetBanking"/>
    <s v="Ritika"/>
    <s v="priya.patel@company.com"/>
    <n v="9254082295"/>
    <s v="Completed"/>
    <m/>
    <m/>
    <m/>
    <m/>
    <m/>
    <m/>
    <m/>
    <m/>
    <m/>
    <m/>
    <m/>
    <m/>
    <m/>
    <m/>
    <m/>
    <m/>
    <m/>
    <m/>
    <m/>
    <m/>
    <x v="117"/>
  </r>
  <r>
    <s v="ORD10133"/>
    <s v="C009"/>
    <s v="P104"/>
    <x v="118"/>
    <s v="10/04/2026"/>
    <s v="Mohit Verma"/>
    <s v="Male"/>
    <s v="15/09/1995"/>
    <s v="Pune"/>
    <x v="2"/>
    <x v="1"/>
    <s v="Monitor"/>
    <n v="6"/>
    <n v="12000"/>
    <n v="0.1"/>
    <n v="64800"/>
    <n v="5"/>
    <s v="UPI"/>
    <s v="Karan"/>
    <s v="mohit.verma@company.com"/>
    <n v="9687923860"/>
    <s v="Completed"/>
    <m/>
    <m/>
    <m/>
    <m/>
    <m/>
    <m/>
    <m/>
    <m/>
    <m/>
    <m/>
    <m/>
    <m/>
    <m/>
    <m/>
    <m/>
    <m/>
    <m/>
    <m/>
    <m/>
    <m/>
    <x v="118"/>
  </r>
  <r>
    <s v="ORD10134"/>
    <s v="C009"/>
    <s v="P202"/>
    <x v="103"/>
    <s v="18/04/2025"/>
    <s v="Mohit Verma"/>
    <s v="Male"/>
    <s v="07/04/1994"/>
    <s v="Hyderabad"/>
    <x v="0"/>
    <x v="0"/>
    <s v="Iron"/>
    <n v="6"/>
    <n v="2200"/>
    <n v="0.05"/>
    <n v="12540"/>
    <n v="4"/>
    <s v="Cash"/>
    <s v="Rahul"/>
    <s v="mohit.verma@company.com"/>
    <n v="9426459149"/>
    <s v="Completed"/>
    <m/>
    <m/>
    <m/>
    <m/>
    <m/>
    <m/>
    <m/>
    <m/>
    <m/>
    <m/>
    <m/>
    <m/>
    <m/>
    <m/>
    <m/>
    <m/>
    <m/>
    <m/>
    <m/>
    <m/>
    <x v="103"/>
  </r>
  <r>
    <s v="ORD10135"/>
    <s v="C010"/>
    <s v="P201"/>
    <x v="55"/>
    <s v="27/06/2025"/>
    <s v="Pooja Shah"/>
    <s v="Female"/>
    <s v="02/10/2003"/>
    <s v="Delhi"/>
    <x v="1"/>
    <x v="0"/>
    <s v="Mixer"/>
    <n v="3"/>
    <n v="3500"/>
    <n v="0.05"/>
    <n v="9975"/>
    <n v="4"/>
    <s v="NetBanking"/>
    <s v="Rahul"/>
    <s v="pooja.shah@company.com"/>
    <n v="9155925975"/>
    <s v="Pending"/>
    <m/>
    <m/>
    <m/>
    <m/>
    <m/>
    <m/>
    <m/>
    <m/>
    <m/>
    <m/>
    <m/>
    <m/>
    <m/>
    <m/>
    <m/>
    <m/>
    <m/>
    <m/>
    <m/>
    <m/>
    <x v="55"/>
  </r>
  <r>
    <s v="ORD10136"/>
    <s v="C009"/>
    <s v="P203"/>
    <x v="119"/>
    <s v="10/06/2025"/>
    <s v="Mohit Verma"/>
    <s v="Male"/>
    <s v="14/07/1997"/>
    <s v="Hyderabad"/>
    <x v="0"/>
    <x v="0"/>
    <s v="Microwave"/>
    <n v="5"/>
    <n v="8500"/>
    <n v="0.2"/>
    <n v="34000"/>
    <n v="5"/>
    <s v="Cash"/>
    <s v="Aisha"/>
    <s v="mohit.verma@company.com"/>
    <n v="9945247701"/>
    <s v="Pending"/>
    <m/>
    <m/>
    <m/>
    <m/>
    <m/>
    <m/>
    <m/>
    <m/>
    <m/>
    <m/>
    <m/>
    <m/>
    <m/>
    <m/>
    <m/>
    <m/>
    <m/>
    <m/>
    <m/>
    <m/>
    <x v="119"/>
  </r>
  <r>
    <s v="ORD10137"/>
    <s v="C008"/>
    <s v="P201"/>
    <x v="120"/>
    <s v="01/08/2025"/>
    <s v="Kavya Nair"/>
    <s v="Female"/>
    <s v="09/08/1979"/>
    <s v="Bengaluru"/>
    <x v="0"/>
    <x v="0"/>
    <s v="Mixer"/>
    <n v="14"/>
    <n v="3500"/>
    <n v="0.1"/>
    <n v="44100"/>
    <n v="4"/>
    <s v="UPI"/>
    <s v="Ritika"/>
    <s v="kavya.nair@company.com"/>
    <n v="9597378398"/>
    <s v="Cancelled"/>
    <m/>
    <m/>
    <m/>
    <m/>
    <m/>
    <m/>
    <m/>
    <m/>
    <m/>
    <m/>
    <m/>
    <m/>
    <m/>
    <m/>
    <m/>
    <m/>
    <m/>
    <m/>
    <m/>
    <m/>
    <x v="120"/>
  </r>
  <r>
    <s v="ORD10138"/>
    <s v="C001"/>
    <s v="P303"/>
    <x v="121"/>
    <s v="21/01/2025"/>
    <s v="Amit Sharma"/>
    <s v="Male"/>
    <s v="20/10/2002"/>
    <s v="Ahmedabad"/>
    <x v="2"/>
    <x v="2"/>
    <s v="Marker"/>
    <n v="8"/>
    <n v="45"/>
    <n v="0"/>
    <n v="360"/>
    <n v="1"/>
    <s v="Card"/>
    <s v="Karan"/>
    <s v="amit.sharma@company.com"/>
    <n v="9343963736"/>
    <s v="Cancelled"/>
    <m/>
    <m/>
    <m/>
    <m/>
    <m/>
    <m/>
    <m/>
    <m/>
    <m/>
    <m/>
    <m/>
    <m/>
    <m/>
    <m/>
    <m/>
    <m/>
    <m/>
    <m/>
    <m/>
    <m/>
    <x v="121"/>
  </r>
  <r>
    <s v="ORD10139"/>
    <s v="C005"/>
    <s v="P303"/>
    <x v="122"/>
    <s v="05/02/2025"/>
    <s v="Vikas Mehta"/>
    <s v="Male"/>
    <s v="24/07/1985"/>
    <s v="Delhi"/>
    <x v="1"/>
    <x v="2"/>
    <s v="Marker"/>
    <n v="11"/>
    <n v="45"/>
    <n v="0.05"/>
    <n v="470.25"/>
    <n v="3"/>
    <s v="Card"/>
    <s v="Rahul"/>
    <s v="vikas.mehta@company.com"/>
    <n v="9548742147"/>
    <s v="Completed"/>
    <m/>
    <m/>
    <m/>
    <m/>
    <m/>
    <m/>
    <m/>
    <m/>
    <m/>
    <m/>
    <m/>
    <m/>
    <m/>
    <m/>
    <m/>
    <m/>
    <m/>
    <m/>
    <m/>
    <m/>
    <x v="122"/>
  </r>
  <r>
    <s v="ORD10140"/>
    <s v="C007"/>
    <s v="P101"/>
    <x v="123"/>
    <s v="30/01/2025"/>
    <s v="Arjun Rao"/>
    <s v="Male"/>
    <s v="23/08/1988"/>
    <s v="Ahmedabad"/>
    <x v="2"/>
    <x v="1"/>
    <s v="Laptop"/>
    <n v="19"/>
    <n v="55000"/>
    <n v="0"/>
    <n v="1045000"/>
    <n v="2"/>
    <s v="Card"/>
    <s v="Ritika"/>
    <s v="arjun.rao@company.com"/>
    <n v="9912945471"/>
    <s v="Cancelled"/>
    <m/>
    <m/>
    <m/>
    <m/>
    <m/>
    <m/>
    <m/>
    <m/>
    <m/>
    <m/>
    <m/>
    <m/>
    <m/>
    <m/>
    <m/>
    <m/>
    <m/>
    <m/>
    <m/>
    <m/>
    <x v="123"/>
  </r>
  <r>
    <s v="ORD10141"/>
    <s v="C010"/>
    <s v="P201"/>
    <x v="124"/>
    <s v="18/04/2025"/>
    <s v="Pooja Shah"/>
    <s v="Female"/>
    <s v="09/01/1979"/>
    <s v="Pune"/>
    <x v="2"/>
    <x v="0"/>
    <s v="Mixer"/>
    <n v="20"/>
    <n v="3500"/>
    <n v="0.2"/>
    <n v="56000"/>
    <n v="4"/>
    <s v="NetBanking"/>
    <s v="Rahul"/>
    <s v="pooja.shah@company.com"/>
    <n v="9912630684"/>
    <s v="Completed"/>
    <m/>
    <m/>
    <m/>
    <m/>
    <m/>
    <m/>
    <m/>
    <m/>
    <m/>
    <m/>
    <m/>
    <m/>
    <m/>
    <m/>
    <m/>
    <m/>
    <m/>
    <m/>
    <m/>
    <m/>
    <x v="124"/>
  </r>
  <r>
    <s v="ORD10142"/>
    <s v="C007"/>
    <s v="P202"/>
    <x v="125"/>
    <s v="14/07/2025"/>
    <s v="Arjun Rao"/>
    <s v="Male"/>
    <s v="25/08/1986"/>
    <s v="Pune"/>
    <x v="2"/>
    <x v="0"/>
    <s v="Iron"/>
    <n v="17"/>
    <n v="2200"/>
    <n v="0"/>
    <n v="37400"/>
    <n v="5"/>
    <s v="NetBanking"/>
    <s v="Ritika"/>
    <s v="arjun.rao@company.com"/>
    <n v="9114017237"/>
    <s v="Pending"/>
    <m/>
    <m/>
    <m/>
    <m/>
    <m/>
    <m/>
    <m/>
    <m/>
    <m/>
    <m/>
    <m/>
    <m/>
    <m/>
    <m/>
    <m/>
    <m/>
    <m/>
    <m/>
    <m/>
    <m/>
    <x v="125"/>
  </r>
  <r>
    <s v="ORD10143"/>
    <s v="C007"/>
    <s v="P103"/>
    <x v="123"/>
    <s v="29/01/2025"/>
    <s v="Arjun Rao"/>
    <s v="Male"/>
    <s v="01/04/1977"/>
    <s v="Pune"/>
    <x v="2"/>
    <x v="1"/>
    <s v="Keyboard"/>
    <n v="10"/>
    <n v="1200"/>
    <n v="0.05"/>
    <n v="11400"/>
    <n v="2"/>
    <s v="Cash"/>
    <s v="Rahul"/>
    <s v="arjun.rao@company.com"/>
    <n v="9872471236"/>
    <s v="Cancelled"/>
    <m/>
    <m/>
    <m/>
    <m/>
    <m/>
    <m/>
    <m/>
    <m/>
    <m/>
    <m/>
    <m/>
    <m/>
    <m/>
    <m/>
    <m/>
    <m/>
    <m/>
    <m/>
    <m/>
    <m/>
    <x v="123"/>
  </r>
  <r>
    <s v="ORD10144"/>
    <s v="C005"/>
    <s v="P301"/>
    <x v="126"/>
    <s v="18/12/2025"/>
    <s v="Vikas Mehta"/>
    <s v="Male"/>
    <s v="04/08/1983"/>
    <s v="Hyderabad"/>
    <x v="0"/>
    <x v="2"/>
    <s v="Notebook"/>
    <n v="3"/>
    <n v="60"/>
    <n v="0"/>
    <n v="180"/>
    <n v="4"/>
    <s v="NetBanking"/>
    <s v="Karan"/>
    <s v="vikas.mehta@company.com"/>
    <n v="9461383824"/>
    <s v="Completed"/>
    <m/>
    <m/>
    <m/>
    <m/>
    <m/>
    <m/>
    <m/>
    <m/>
    <m/>
    <m/>
    <m/>
    <m/>
    <m/>
    <m/>
    <m/>
    <m/>
    <m/>
    <m/>
    <m/>
    <m/>
    <x v="126"/>
  </r>
  <r>
    <s v="ORD10145"/>
    <s v="C010"/>
    <s v="P202"/>
    <x v="127"/>
    <s v="21/10/2025"/>
    <s v="Pooja Shah"/>
    <s v="Female"/>
    <s v="07/04/1978"/>
    <s v="Mumbai"/>
    <x v="2"/>
    <x v="0"/>
    <s v="Iron"/>
    <n v="18"/>
    <n v="2200"/>
    <n v="0.1"/>
    <n v="35640"/>
    <n v="1"/>
    <s v="Card"/>
    <s v="Karan"/>
    <s v="pooja.shah@company.com"/>
    <n v="9243407457"/>
    <s v="Cancelled"/>
    <m/>
    <m/>
    <m/>
    <m/>
    <m/>
    <m/>
    <m/>
    <m/>
    <m/>
    <m/>
    <m/>
    <m/>
    <m/>
    <m/>
    <m/>
    <m/>
    <m/>
    <m/>
    <m/>
    <m/>
    <x v="127"/>
  </r>
  <r>
    <s v="ORD10146"/>
    <s v="C009"/>
    <s v="P301"/>
    <x v="128"/>
    <s v="10/03/2026"/>
    <s v="Mohit Verma"/>
    <s v="Male"/>
    <s v="04/03/1983"/>
    <s v="Delhi"/>
    <x v="1"/>
    <x v="2"/>
    <s v="Notebook"/>
    <n v="18"/>
    <n v="60"/>
    <n v="0.05"/>
    <n v="1026"/>
    <n v="3"/>
    <s v="Card"/>
    <s v="Rahul"/>
    <s v="mohit.verma@company.com"/>
    <n v="9418672379"/>
    <s v="Pending"/>
    <m/>
    <m/>
    <m/>
    <m/>
    <m/>
    <m/>
    <m/>
    <m/>
    <m/>
    <m/>
    <m/>
    <m/>
    <m/>
    <m/>
    <m/>
    <m/>
    <m/>
    <m/>
    <m/>
    <m/>
    <x v="128"/>
  </r>
  <r>
    <s v="ORD10147"/>
    <s v="C003"/>
    <s v="P101"/>
    <x v="57"/>
    <s v="23/08/2025"/>
    <s v="Rohit Singh"/>
    <s v="Male"/>
    <s v="27/10/1987"/>
    <s v="Pune"/>
    <x v="2"/>
    <x v="1"/>
    <s v="Laptop"/>
    <n v="11"/>
    <n v="55000"/>
    <n v="0.15"/>
    <n v="514250"/>
    <n v="4"/>
    <s v="UPI"/>
    <s v="Neha"/>
    <s v="rohit.singh@company.com"/>
    <n v="9222733065"/>
    <s v="Cancelled"/>
    <m/>
    <m/>
    <m/>
    <m/>
    <m/>
    <m/>
    <m/>
    <m/>
    <m/>
    <m/>
    <m/>
    <m/>
    <m/>
    <m/>
    <m/>
    <m/>
    <m/>
    <m/>
    <m/>
    <m/>
    <x v="57"/>
  </r>
  <r>
    <s v="ORD10148"/>
    <s v="C006"/>
    <s v="P203"/>
    <x v="129"/>
    <s v="03/01/2026"/>
    <s v="Sneha Joshi"/>
    <s v="Female"/>
    <s v="19/04/2003"/>
    <s v="Kolkata"/>
    <x v="3"/>
    <x v="0"/>
    <s v="Microwave"/>
    <n v="5"/>
    <n v="8500"/>
    <n v="0.05"/>
    <n v="40375"/>
    <n v="4"/>
    <s v="Cash"/>
    <s v="Karan"/>
    <s v="sneha.joshi@company.com"/>
    <n v="9684246902"/>
    <s v="Completed"/>
    <m/>
    <m/>
    <m/>
    <m/>
    <m/>
    <m/>
    <m/>
    <m/>
    <m/>
    <m/>
    <m/>
    <m/>
    <m/>
    <m/>
    <m/>
    <m/>
    <m/>
    <m/>
    <m/>
    <m/>
    <x v="129"/>
  </r>
  <r>
    <s v="ORD10020"/>
    <s v="C002"/>
    <s v="P102"/>
    <x v="28"/>
    <s v="19/09/2025"/>
    <s v="Priya Patel"/>
    <s v="Female"/>
    <s v="14/02/2002"/>
    <s v="Jaipur"/>
    <x v="1"/>
    <x v="1"/>
    <s v="Mouse"/>
    <n v="16"/>
    <n v="700"/>
    <n v="0.15"/>
    <n v="9520"/>
    <n v="4"/>
    <s v="Card"/>
    <s v="Aisha"/>
    <s v="priya.patel@company.com"/>
    <n v="9989580228"/>
    <s v="Completed"/>
    <m/>
    <m/>
    <m/>
    <m/>
    <m/>
    <m/>
    <m/>
    <m/>
    <m/>
    <m/>
    <m/>
    <m/>
    <m/>
    <m/>
    <m/>
    <m/>
    <m/>
    <m/>
    <m/>
    <m/>
    <x v="28"/>
  </r>
  <r>
    <s v="ORD10150"/>
    <s v="C003"/>
    <s v="P102"/>
    <x v="130"/>
    <s v="13/07/2025"/>
    <s v="Rohit Singh"/>
    <s v="Male"/>
    <s v="05/07/1975"/>
    <s v="Pune"/>
    <x v="2"/>
    <x v="1"/>
    <s v="Mouse"/>
    <n v="6"/>
    <n v="700"/>
    <n v="0.1"/>
    <n v="3780"/>
    <n v="4"/>
    <s v="Cash"/>
    <s v="Rahul"/>
    <s v="rohit.singh@company.com"/>
    <n v="9110269572"/>
    <s v="Cancelled"/>
    <m/>
    <m/>
    <m/>
    <m/>
    <m/>
    <m/>
    <m/>
    <m/>
    <m/>
    <m/>
    <m/>
    <m/>
    <m/>
    <m/>
    <m/>
    <m/>
    <m/>
    <m/>
    <m/>
    <m/>
    <x v="130"/>
  </r>
  <r>
    <s v="ORD10151"/>
    <s v="C010"/>
    <s v="P201"/>
    <x v="131"/>
    <s v="15/05/2026"/>
    <s v="Pooja Shah"/>
    <s v="Female"/>
    <s v="05/03/1992"/>
    <s v="Delhi"/>
    <x v="1"/>
    <x v="0"/>
    <s v="Mixer"/>
    <n v="20"/>
    <n v="3500"/>
    <n v="0.1"/>
    <n v="63000"/>
    <n v="4"/>
    <s v="UPI"/>
    <s v="Rahul"/>
    <s v="pooja.shah@company.com"/>
    <n v="9745972422"/>
    <s v="Pending"/>
    <m/>
    <m/>
    <m/>
    <m/>
    <m/>
    <m/>
    <m/>
    <m/>
    <m/>
    <m/>
    <m/>
    <m/>
    <m/>
    <m/>
    <m/>
    <m/>
    <m/>
    <m/>
    <m/>
    <m/>
    <x v="131"/>
  </r>
  <r>
    <s v="ORD10152"/>
    <s v="C008"/>
    <s v="P302"/>
    <x v="132"/>
    <s v="07/12/2025"/>
    <s v="Kavya Nair"/>
    <s v="Female"/>
    <s v="03/06/1998"/>
    <s v="Bengaluru"/>
    <x v="0"/>
    <x v="2"/>
    <s v="Pen"/>
    <n v="2"/>
    <n v="20"/>
    <n v="0.1"/>
    <n v="36"/>
    <n v="1"/>
    <s v="NetBanking"/>
    <s v="Neha"/>
    <s v="kavya.nair@company.com"/>
    <n v="9123712257"/>
    <s v="Pending"/>
    <m/>
    <m/>
    <m/>
    <m/>
    <m/>
    <m/>
    <m/>
    <m/>
    <m/>
    <m/>
    <m/>
    <m/>
    <m/>
    <m/>
    <m/>
    <m/>
    <m/>
    <m/>
    <m/>
    <m/>
    <x v="132"/>
  </r>
  <r>
    <s v="ORD10153"/>
    <s v="C002"/>
    <s v="P202"/>
    <x v="133"/>
    <s v="19/07/2025"/>
    <s v="Priya Patel"/>
    <s v="Female"/>
    <s v="28/09/1996"/>
    <s v="Pune"/>
    <x v="2"/>
    <x v="0"/>
    <s v="Iron"/>
    <n v="16"/>
    <n v="2200"/>
    <n v="0.2"/>
    <n v="28160"/>
    <n v="2"/>
    <s v="UPI"/>
    <s v="Karan"/>
    <s v="priya.patel@company.com"/>
    <n v="9665525431"/>
    <s v="Pending"/>
    <m/>
    <m/>
    <m/>
    <m/>
    <m/>
    <m/>
    <m/>
    <m/>
    <m/>
    <m/>
    <m/>
    <m/>
    <m/>
    <m/>
    <m/>
    <m/>
    <m/>
    <m/>
    <m/>
    <m/>
    <x v="133"/>
  </r>
  <r>
    <s v="ORD10154"/>
    <s v="C005"/>
    <s v="P104"/>
    <x v="134"/>
    <s v="23/03/2025"/>
    <s v="Vikas Mehta"/>
    <s v="Male"/>
    <s v="15/12/1995"/>
    <s v="Pune"/>
    <x v="2"/>
    <x v="1"/>
    <s v="Monitor"/>
    <n v="15"/>
    <n v="12000"/>
    <n v="0"/>
    <n v="180000"/>
    <n v="1"/>
    <s v="Card"/>
    <s v="Aisha"/>
    <s v="vikas.mehta@company.com"/>
    <n v="9682415134"/>
    <s v="Pending"/>
    <m/>
    <m/>
    <m/>
    <m/>
    <m/>
    <m/>
    <m/>
    <m/>
    <m/>
    <m/>
    <m/>
    <m/>
    <m/>
    <m/>
    <m/>
    <m/>
    <m/>
    <m/>
    <m/>
    <m/>
    <x v="134"/>
  </r>
  <r>
    <s v="ORD10155"/>
    <s v="C008"/>
    <s v="P301"/>
    <x v="135"/>
    <s v="23/07/2025"/>
    <s v="Kavya Nair"/>
    <s v="Female"/>
    <s v="24/07/1976"/>
    <s v="Delhi"/>
    <x v="1"/>
    <x v="2"/>
    <s v="Notebook"/>
    <n v="14"/>
    <n v="60"/>
    <n v="0.15"/>
    <n v="714"/>
    <n v="4"/>
    <s v="UPI"/>
    <s v="Rahul"/>
    <s v="kavya.nair@company.com"/>
    <n v="9808223872"/>
    <s v="Completed"/>
    <m/>
    <m/>
    <m/>
    <m/>
    <m/>
    <m/>
    <m/>
    <m/>
    <m/>
    <m/>
    <m/>
    <m/>
    <m/>
    <m/>
    <m/>
    <m/>
    <m/>
    <m/>
    <m/>
    <m/>
    <x v="135"/>
  </r>
  <r>
    <s v="ORD10156"/>
    <s v="C010"/>
    <s v="P103"/>
    <x v="136"/>
    <s v="24/07/2025"/>
    <s v="Pooja Shah"/>
    <s v="Female"/>
    <s v="22/06/1984"/>
    <s v="Hyderabad"/>
    <x v="0"/>
    <x v="1"/>
    <s v="Keyboard"/>
    <n v="9"/>
    <n v="1200"/>
    <n v="0.05"/>
    <n v="10260"/>
    <n v="5"/>
    <s v="NetBanking"/>
    <s v="Aisha"/>
    <s v="pooja.shah@company.com"/>
    <n v="9193549730"/>
    <s v="Pending"/>
    <m/>
    <m/>
    <m/>
    <m/>
    <m/>
    <m/>
    <m/>
    <m/>
    <m/>
    <m/>
    <m/>
    <m/>
    <m/>
    <m/>
    <m/>
    <m/>
    <m/>
    <m/>
    <m/>
    <m/>
    <x v="136"/>
  </r>
  <r>
    <s v="ORD10157"/>
    <s v="C005"/>
    <s v="P103"/>
    <x v="137"/>
    <s v="29/07/2025"/>
    <s v="Vikas Mehta"/>
    <s v="Male"/>
    <s v="06/08/1998"/>
    <s v="Kolkata"/>
    <x v="3"/>
    <x v="1"/>
    <s v="Keyboard"/>
    <n v="3"/>
    <n v="1200"/>
    <n v="0.1"/>
    <n v="3240"/>
    <n v="2"/>
    <s v="Card"/>
    <s v="Karan"/>
    <s v="vikas.mehta@company.com"/>
    <n v="9520617130"/>
    <s v="Cancelled"/>
    <m/>
    <m/>
    <m/>
    <m/>
    <m/>
    <m/>
    <m/>
    <m/>
    <m/>
    <m/>
    <m/>
    <m/>
    <m/>
    <m/>
    <m/>
    <m/>
    <m/>
    <m/>
    <m/>
    <m/>
    <x v="137"/>
  </r>
  <r>
    <s v="ORD10158"/>
    <s v="C001"/>
    <s v="P301"/>
    <x v="81"/>
    <s v="12/04/2025"/>
    <s v="Amit Sharma"/>
    <s v="Male"/>
    <s v="18/06/2001"/>
    <s v="Hyderabad"/>
    <x v="0"/>
    <x v="2"/>
    <s v="Notebook"/>
    <n v="2"/>
    <n v="60"/>
    <n v="0.1"/>
    <n v="108"/>
    <n v="2"/>
    <s v="UPI"/>
    <s v="Aisha"/>
    <s v="amit.sharma@company.com"/>
    <n v="9264578122"/>
    <s v="Completed"/>
    <m/>
    <m/>
    <m/>
    <m/>
    <m/>
    <m/>
    <m/>
    <m/>
    <m/>
    <m/>
    <m/>
    <m/>
    <m/>
    <m/>
    <m/>
    <m/>
    <m/>
    <m/>
    <m/>
    <m/>
    <x v="81"/>
  </r>
  <r>
    <s v="ORD10159"/>
    <s v="C009"/>
    <s v="P201"/>
    <x v="58"/>
    <s v="23/05/2026"/>
    <s v="Mohit Verma"/>
    <s v="Male"/>
    <s v="11/09/1999"/>
    <s v="Delhi"/>
    <x v="1"/>
    <x v="0"/>
    <s v="Mixer"/>
    <n v="9"/>
    <n v="3500"/>
    <n v="0.2"/>
    <n v="25200"/>
    <n v="1"/>
    <s v="NetBanking"/>
    <s v="Ritika"/>
    <s v="mohit.verma@company.com"/>
    <n v="9275071213"/>
    <s v="Completed"/>
    <m/>
    <m/>
    <m/>
    <m/>
    <m/>
    <m/>
    <m/>
    <m/>
    <m/>
    <m/>
    <m/>
    <m/>
    <m/>
    <m/>
    <m/>
    <m/>
    <m/>
    <m/>
    <m/>
    <m/>
    <x v="58"/>
  </r>
  <r>
    <s v="ORD10160"/>
    <s v="C005"/>
    <s v="P101"/>
    <x v="27"/>
    <s v="16/03/2026"/>
    <s v="Vikas Mehta"/>
    <s v="Male"/>
    <s v="07/12/1995"/>
    <s v="Jaipur"/>
    <x v="1"/>
    <x v="1"/>
    <s v="Laptop"/>
    <n v="4"/>
    <n v="55000"/>
    <n v="0.05"/>
    <n v="209000"/>
    <n v="2"/>
    <s v="Cash"/>
    <s v="Karan"/>
    <s v="vikas.mehta@company.com"/>
    <n v="9715222543"/>
    <s v="Pending"/>
    <m/>
    <m/>
    <m/>
    <m/>
    <m/>
    <m/>
    <m/>
    <m/>
    <m/>
    <m/>
    <m/>
    <m/>
    <m/>
    <m/>
    <m/>
    <m/>
    <m/>
    <m/>
    <m/>
    <m/>
    <x v="27"/>
  </r>
  <r>
    <s v="ORD10161"/>
    <s v="C001"/>
    <s v="P102"/>
    <x v="71"/>
    <s v="01/07/2025"/>
    <s v="Amit Sharma"/>
    <s v="Male"/>
    <s v="22/07/1999"/>
    <s v="Delhi"/>
    <x v="1"/>
    <x v="1"/>
    <s v="Mouse"/>
    <n v="11"/>
    <n v="700"/>
    <n v="0.2"/>
    <n v="6160"/>
    <n v="4"/>
    <s v="Cash"/>
    <s v="Karan"/>
    <s v="amit.sharma@company.com"/>
    <n v="9942010833"/>
    <s v="Cancelled"/>
    <m/>
    <m/>
    <m/>
    <m/>
    <m/>
    <m/>
    <m/>
    <m/>
    <m/>
    <m/>
    <m/>
    <m/>
    <m/>
    <m/>
    <m/>
    <m/>
    <m/>
    <m/>
    <m/>
    <m/>
    <x v="71"/>
  </r>
  <r>
    <s v="ORD10162"/>
    <s v="C004"/>
    <s v="P103"/>
    <x v="34"/>
    <s v="29/11/2025"/>
    <s v="Anita Gupta"/>
    <s v="Female"/>
    <s v="14/11/2000"/>
    <s v="Kolkata"/>
    <x v="3"/>
    <x v="1"/>
    <s v="Keyboard"/>
    <n v="16"/>
    <n v="1200"/>
    <n v="0.05"/>
    <n v="18240"/>
    <n v="1"/>
    <s v="Card"/>
    <s v="Ritika"/>
    <s v="anita.gupta@company.com"/>
    <n v="9347718932"/>
    <s v="Pending"/>
    <m/>
    <m/>
    <m/>
    <m/>
    <m/>
    <m/>
    <m/>
    <m/>
    <m/>
    <m/>
    <m/>
    <m/>
    <m/>
    <m/>
    <m/>
    <m/>
    <m/>
    <m/>
    <m/>
    <m/>
    <x v="34"/>
  </r>
  <r>
    <s v="ORD10163"/>
    <s v="C004"/>
    <s v="P103"/>
    <x v="83"/>
    <s v="17/09/2025"/>
    <s v="Anita Gupta"/>
    <s v="Female"/>
    <s v="24/07/2002"/>
    <s v="Pune"/>
    <x v="2"/>
    <x v="1"/>
    <s v="Keyboard"/>
    <n v="1"/>
    <n v="1200"/>
    <n v="0.05"/>
    <n v="1140"/>
    <n v="4"/>
    <s v="Card"/>
    <s v="Ritika"/>
    <s v="anita.gupta@company.com"/>
    <n v="9274808844"/>
    <s v="Completed"/>
    <m/>
    <m/>
    <m/>
    <m/>
    <m/>
    <m/>
    <m/>
    <m/>
    <m/>
    <m/>
    <m/>
    <m/>
    <m/>
    <m/>
    <m/>
    <m/>
    <m/>
    <m/>
    <m/>
    <m/>
    <x v="83"/>
  </r>
  <r>
    <s v="ORD10164"/>
    <s v="C001"/>
    <s v="P301"/>
    <x v="138"/>
    <s v="13/11/2025"/>
    <s v="Amit Sharma"/>
    <s v="Male"/>
    <s v="25/02/2002"/>
    <s v="Jaipur"/>
    <x v="1"/>
    <x v="2"/>
    <s v="Notebook"/>
    <n v="7"/>
    <n v="60"/>
    <n v="0"/>
    <n v="420"/>
    <n v="2"/>
    <s v="UPI"/>
    <s v="Karan"/>
    <s v="amit.sharma@company.com"/>
    <n v="9798996063"/>
    <s v="Completed"/>
    <m/>
    <m/>
    <m/>
    <m/>
    <m/>
    <m/>
    <m/>
    <m/>
    <m/>
    <m/>
    <m/>
    <m/>
    <m/>
    <m/>
    <m/>
    <m/>
    <m/>
    <m/>
    <m/>
    <m/>
    <x v="138"/>
  </r>
  <r>
    <s v="ORD10165"/>
    <s v="C004"/>
    <s v="P202"/>
    <x v="21"/>
    <s v="07/01/2025"/>
    <s v="Anita Gupta"/>
    <s v="Female"/>
    <s v="16/07/1980"/>
    <s v="Pune"/>
    <x v="2"/>
    <x v="0"/>
    <s v="Iron"/>
    <n v="14"/>
    <n v="2200"/>
    <n v="0"/>
    <n v="30800"/>
    <n v="2"/>
    <s v="UPI"/>
    <s v="Ritika"/>
    <s v="anita.gupta@company.com"/>
    <n v="9145200936"/>
    <s v="Cancelled"/>
    <m/>
    <m/>
    <m/>
    <m/>
    <m/>
    <m/>
    <m/>
    <m/>
    <m/>
    <m/>
    <m/>
    <m/>
    <m/>
    <m/>
    <m/>
    <m/>
    <m/>
    <m/>
    <m/>
    <m/>
    <x v="21"/>
  </r>
  <r>
    <s v="ORD10166"/>
    <s v="C004"/>
    <s v="P201"/>
    <x v="139"/>
    <s v="27/06/2025"/>
    <s v="Anita Gupta"/>
    <s v="Female"/>
    <s v="25/05/1996"/>
    <s v="Ahmedabad"/>
    <x v="2"/>
    <x v="0"/>
    <s v="Mixer"/>
    <n v="15"/>
    <n v="3500"/>
    <n v="0.15"/>
    <n v="44625"/>
    <n v="2"/>
    <s v="UPI"/>
    <s v="Aisha"/>
    <s v="anita.gupta@company.com"/>
    <n v="9697654418"/>
    <s v="Pending"/>
    <m/>
    <m/>
    <m/>
    <m/>
    <m/>
    <m/>
    <m/>
    <m/>
    <m/>
    <m/>
    <m/>
    <m/>
    <m/>
    <m/>
    <m/>
    <m/>
    <m/>
    <m/>
    <m/>
    <m/>
    <x v="139"/>
  </r>
  <r>
    <s v="ORD10167"/>
    <s v="C003"/>
    <s v="P201"/>
    <x v="140"/>
    <s v="06/04/2025"/>
    <s v="Rohit Singh"/>
    <s v="Male"/>
    <s v="11/05/1986"/>
    <s v="Kolkata"/>
    <x v="3"/>
    <x v="0"/>
    <s v="Mixer"/>
    <n v="19"/>
    <n v="3500"/>
    <n v="0.05"/>
    <n v="63175"/>
    <n v="2"/>
    <s v="Cash"/>
    <s v="Neha"/>
    <s v="rohit.singh@company.com"/>
    <n v="9457923119"/>
    <s v="Cancelled"/>
    <m/>
    <m/>
    <m/>
    <m/>
    <m/>
    <m/>
    <m/>
    <m/>
    <m/>
    <m/>
    <m/>
    <m/>
    <m/>
    <m/>
    <m/>
    <m/>
    <m/>
    <m/>
    <m/>
    <m/>
    <x v="140"/>
  </r>
  <r>
    <s v="ORD10168"/>
    <s v="C001"/>
    <s v="P101"/>
    <x v="141"/>
    <s v="10/07/2025"/>
    <s v="Amit Sharma"/>
    <s v="Male"/>
    <s v="25/05/1989"/>
    <s v="Bengaluru"/>
    <x v="0"/>
    <x v="1"/>
    <s v="Laptop"/>
    <n v="12"/>
    <n v="55000"/>
    <n v="0.05"/>
    <n v="627000"/>
    <n v="4"/>
    <s v="Card"/>
    <s v="Aisha"/>
    <s v="amit.sharma@company.com"/>
    <n v="9236111271"/>
    <s v="Cancelled"/>
    <m/>
    <m/>
    <m/>
    <m/>
    <m/>
    <m/>
    <m/>
    <m/>
    <m/>
    <m/>
    <m/>
    <m/>
    <m/>
    <m/>
    <m/>
    <m/>
    <m/>
    <m/>
    <m/>
    <m/>
    <x v="141"/>
  </r>
  <r>
    <s v="ORD10169"/>
    <s v="C010"/>
    <s v="P103"/>
    <x v="91"/>
    <s v="26/01/2026"/>
    <s v="Pooja Shah"/>
    <s v="Female"/>
    <s v="25/08/1989"/>
    <s v="Mumbai"/>
    <x v="2"/>
    <x v="1"/>
    <s v="Keyboard"/>
    <n v="6"/>
    <n v="1200"/>
    <n v="0.1"/>
    <n v="6480"/>
    <n v="5"/>
    <s v="NetBanking"/>
    <s v="Neha"/>
    <s v="pooja.shah@company.com"/>
    <n v="9402569141"/>
    <s v="Cancelled"/>
    <m/>
    <m/>
    <m/>
    <m/>
    <m/>
    <m/>
    <m/>
    <m/>
    <m/>
    <m/>
    <m/>
    <m/>
    <m/>
    <m/>
    <m/>
    <m/>
    <m/>
    <m/>
    <m/>
    <m/>
    <x v="91"/>
  </r>
  <r>
    <s v="ORD10170"/>
    <s v="C006"/>
    <s v="P203"/>
    <x v="10"/>
    <s v="20/09/2025"/>
    <s v="Sneha Joshi"/>
    <s v="Female"/>
    <s v="20/05/1997"/>
    <s v="Hyderabad"/>
    <x v="0"/>
    <x v="0"/>
    <s v="Microwave"/>
    <n v="1"/>
    <n v="8500"/>
    <n v="0"/>
    <n v="8500"/>
    <n v="1"/>
    <s v="UPI"/>
    <s v="Karan"/>
    <s v="sneha.joshi@company.com"/>
    <n v="9138184056"/>
    <s v="Cancelled"/>
    <m/>
    <m/>
    <m/>
    <m/>
    <m/>
    <m/>
    <m/>
    <m/>
    <m/>
    <m/>
    <m/>
    <m/>
    <m/>
    <m/>
    <m/>
    <m/>
    <m/>
    <m/>
    <m/>
    <m/>
    <x v="10"/>
  </r>
  <r>
    <s v="ORD10171"/>
    <s v="C003"/>
    <s v="P101"/>
    <x v="142"/>
    <s v="07/04/2026"/>
    <s v="Rohit Singh"/>
    <s v="Male"/>
    <s v="03/05/1987"/>
    <s v="Ahmedabad"/>
    <x v="2"/>
    <x v="1"/>
    <s v="Laptop"/>
    <n v="20"/>
    <n v="55000"/>
    <n v="0.1"/>
    <n v="990000"/>
    <n v="5"/>
    <s v="NetBanking"/>
    <s v="Karan"/>
    <s v="rohit.singh@company.com"/>
    <n v="9609598700"/>
    <s v="Completed"/>
    <m/>
    <m/>
    <m/>
    <m/>
    <m/>
    <m/>
    <m/>
    <m/>
    <m/>
    <m/>
    <m/>
    <m/>
    <m/>
    <m/>
    <m/>
    <m/>
    <m/>
    <m/>
    <m/>
    <m/>
    <x v="142"/>
  </r>
  <r>
    <s v="ORD10172"/>
    <s v="C005"/>
    <s v="P103"/>
    <x v="143"/>
    <s v="29/10/2025"/>
    <s v="Vikas Mehta"/>
    <s v="Male"/>
    <s v="02/12/2002"/>
    <s v="Ahmedabad"/>
    <x v="2"/>
    <x v="1"/>
    <s v="Keyboard"/>
    <n v="8"/>
    <n v="1200"/>
    <n v="0.15"/>
    <n v="8160"/>
    <n v="2"/>
    <s v="UPI"/>
    <s v="Neha"/>
    <s v="vikas.mehta@company.com"/>
    <n v="9385894399"/>
    <s v="Cancelled"/>
    <m/>
    <m/>
    <m/>
    <m/>
    <m/>
    <m/>
    <m/>
    <m/>
    <m/>
    <m/>
    <m/>
    <m/>
    <m/>
    <m/>
    <m/>
    <m/>
    <m/>
    <m/>
    <m/>
    <m/>
    <x v="143"/>
  </r>
  <r>
    <s v="ORD10173"/>
    <s v="C008"/>
    <s v="P201"/>
    <x v="144"/>
    <s v="17/02/2025"/>
    <s v="Kavya Nair"/>
    <s v="Female"/>
    <s v="25/05/1986"/>
    <s v="Jaipur"/>
    <x v="1"/>
    <x v="0"/>
    <s v="Mixer"/>
    <n v="19"/>
    <n v="3500"/>
    <n v="0.05"/>
    <n v="63175"/>
    <n v="4"/>
    <s v="UPI"/>
    <s v="Rahul"/>
    <s v="kavya.nair@company.com"/>
    <n v="9329448011"/>
    <s v="Pending"/>
    <m/>
    <m/>
    <m/>
    <m/>
    <m/>
    <m/>
    <m/>
    <m/>
    <m/>
    <m/>
    <m/>
    <m/>
    <m/>
    <m/>
    <m/>
    <m/>
    <m/>
    <m/>
    <m/>
    <m/>
    <x v="144"/>
  </r>
  <r>
    <s v="ORD10174"/>
    <s v="C005"/>
    <s v="P303"/>
    <x v="1"/>
    <s v="29/04/2025"/>
    <s v="Vikas Mehta"/>
    <s v="Male"/>
    <s v="22/02/1986"/>
    <s v="Jaipur"/>
    <x v="1"/>
    <x v="2"/>
    <s v="Marker"/>
    <n v="6"/>
    <n v="45"/>
    <n v="0.2"/>
    <n v="216"/>
    <n v="1"/>
    <s v="Card"/>
    <s v="Rahul"/>
    <s v="vikas.mehtacompany.com"/>
    <n v="9889544104"/>
    <s v="Pending"/>
    <m/>
    <m/>
    <m/>
    <m/>
    <m/>
    <m/>
    <m/>
    <m/>
    <m/>
    <m/>
    <m/>
    <m/>
    <m/>
    <m/>
    <m/>
    <m/>
    <m/>
    <m/>
    <m/>
    <m/>
    <x v="1"/>
  </r>
  <r>
    <s v="ORD10175"/>
    <s v="C006"/>
    <s v="P303"/>
    <x v="145"/>
    <s v="25/03/2025"/>
    <s v="Sneha Joshi"/>
    <s v="Female"/>
    <s v="07/04/1988"/>
    <s v="Pune"/>
    <x v="2"/>
    <x v="2"/>
    <s v="Marker"/>
    <n v="17"/>
    <n v="45"/>
    <n v="0.15"/>
    <n v="650.25"/>
    <n v="5"/>
    <s v="Cash"/>
    <s v="Neha"/>
    <s v="sneha.joshi@company.com"/>
    <n v="9101861045"/>
    <s v="Pending"/>
    <m/>
    <m/>
    <m/>
    <m/>
    <m/>
    <m/>
    <m/>
    <m/>
    <m/>
    <m/>
    <m/>
    <m/>
    <m/>
    <m/>
    <m/>
    <m/>
    <m/>
    <m/>
    <m/>
    <m/>
    <x v="145"/>
  </r>
  <r>
    <s v="ORD10176"/>
    <s v="C008"/>
    <s v="P302"/>
    <x v="125"/>
    <s v="16/07/2025"/>
    <s v="Kavya Nair"/>
    <s v="Female"/>
    <s v="27/06/1993"/>
    <s v="Pune"/>
    <x v="2"/>
    <x v="2"/>
    <s v="Pen"/>
    <n v="19"/>
    <n v="20"/>
    <n v="0.05"/>
    <n v="361"/>
    <n v="4"/>
    <s v="Cash"/>
    <s v="Ritika"/>
    <s v="kavya.nair@company.com"/>
    <n v="9364712105"/>
    <s v="Pending"/>
    <m/>
    <m/>
    <m/>
    <m/>
    <m/>
    <m/>
    <m/>
    <m/>
    <m/>
    <m/>
    <m/>
    <m/>
    <m/>
    <m/>
    <m/>
    <m/>
    <m/>
    <m/>
    <m/>
    <m/>
    <x v="125"/>
  </r>
  <r>
    <s v="ORD10177"/>
    <s v="C006"/>
    <s v="P302"/>
    <x v="146"/>
    <s v="03/12/2025"/>
    <s v="Sneha Joshi"/>
    <s v="Female"/>
    <s v="18/06/2004"/>
    <s v="Ahmedabad"/>
    <x v="2"/>
    <x v="2"/>
    <s v="Pen"/>
    <n v="11"/>
    <n v="20"/>
    <n v="0"/>
    <n v="220"/>
    <n v="3"/>
    <s v="NetBanking"/>
    <s v="Rahul"/>
    <s v="sneha.joshi@company.com"/>
    <n v="9950206376"/>
    <s v="Completed"/>
    <m/>
    <m/>
    <m/>
    <m/>
    <m/>
    <m/>
    <m/>
    <m/>
    <m/>
    <m/>
    <m/>
    <m/>
    <m/>
    <m/>
    <m/>
    <m/>
    <m/>
    <m/>
    <m/>
    <m/>
    <x v="146"/>
  </r>
  <r>
    <s v="ORD10178"/>
    <s v="C004"/>
    <s v="P301"/>
    <x v="147"/>
    <s v="21/02/2026"/>
    <s v="Anita Gupta"/>
    <s v="Female"/>
    <s v="09/09/1993"/>
    <s v="Delhi"/>
    <x v="1"/>
    <x v="2"/>
    <s v="Notebook"/>
    <n v="12"/>
    <n v="60"/>
    <n v="0"/>
    <n v="720"/>
    <n v="2"/>
    <s v="NetBanking"/>
    <s v="Rahul"/>
    <s v="anita.gupta@company.com"/>
    <n v="9235822094"/>
    <s v="Completed"/>
    <m/>
    <m/>
    <m/>
    <m/>
    <m/>
    <m/>
    <m/>
    <m/>
    <m/>
    <m/>
    <m/>
    <m/>
    <m/>
    <m/>
    <m/>
    <m/>
    <m/>
    <m/>
    <m/>
    <m/>
    <x v="147"/>
  </r>
  <r>
    <s v="ORD10179"/>
    <s v="C005"/>
    <s v="P303"/>
    <x v="148"/>
    <s v="13/11/2025"/>
    <s v="Priya Patel"/>
    <s v="Male"/>
    <s v="13/09/2001"/>
    <s v="Kolkata"/>
    <x v="3"/>
    <x v="2"/>
    <s v="Marker"/>
    <n v="14"/>
    <n v="45"/>
    <n v="0.15"/>
    <n v="535.5"/>
    <n v="5"/>
    <s v="UPI"/>
    <s v="Neha"/>
    <s v="vikas.mehta@company.com"/>
    <n v="9311021344"/>
    <s v="Pending"/>
    <m/>
    <m/>
    <m/>
    <m/>
    <m/>
    <m/>
    <m/>
    <m/>
    <m/>
    <m/>
    <m/>
    <m/>
    <m/>
    <m/>
    <m/>
    <m/>
    <m/>
    <m/>
    <m/>
    <m/>
    <x v="148"/>
  </r>
  <r>
    <s v="ORD10180"/>
    <s v="C008"/>
    <s v="P102"/>
    <x v="149"/>
    <s v="19/02/2025"/>
    <s v="Kavya Nair"/>
    <s v="Female"/>
    <s v="15/11/1981"/>
    <s v="Hyderabad"/>
    <x v="0"/>
    <x v="1"/>
    <s v="Mouse"/>
    <n v="15"/>
    <n v="700"/>
    <n v="0.1"/>
    <n v="9450"/>
    <n v="3"/>
    <s v="NetBanking"/>
    <s v="Rahul"/>
    <s v="kavya.nair@company.com"/>
    <n v="9891358505"/>
    <s v="Pending"/>
    <m/>
    <m/>
    <m/>
    <m/>
    <m/>
    <m/>
    <m/>
    <m/>
    <m/>
    <m/>
    <m/>
    <m/>
    <m/>
    <m/>
    <m/>
    <m/>
    <m/>
    <m/>
    <m/>
    <m/>
    <x v="149"/>
  </r>
  <r>
    <s v="ORD10181"/>
    <s v="C002"/>
    <s v="P203"/>
    <x v="150"/>
    <s v="30/05/2025"/>
    <s v="Priya Patel"/>
    <s v="Female"/>
    <s v="12/09/1980"/>
    <s v="Ahmedabad"/>
    <x v="2"/>
    <x v="0"/>
    <s v="Microwave"/>
    <n v="19"/>
    <n v="8500"/>
    <n v="0.15"/>
    <n v="137275"/>
    <n v="2"/>
    <s v="Cash"/>
    <s v="Ritika"/>
    <s v="priya.patel@company.com"/>
    <n v="9910085332"/>
    <s v="Cancelled"/>
    <m/>
    <m/>
    <m/>
    <m/>
    <m/>
    <m/>
    <m/>
    <m/>
    <m/>
    <m/>
    <m/>
    <m/>
    <m/>
    <m/>
    <m/>
    <m/>
    <m/>
    <m/>
    <m/>
    <m/>
    <x v="150"/>
  </r>
  <r>
    <s v="ORD10182"/>
    <s v="C006"/>
    <s v="P301"/>
    <x v="151"/>
    <s v="06/10/2025"/>
    <s v="Sneha Joshi"/>
    <s v="Female"/>
    <s v="07/04/1988"/>
    <s v="Jaipur"/>
    <x v="1"/>
    <x v="2"/>
    <s v="Notebook"/>
    <n v="19"/>
    <n v="60"/>
    <n v="0.2"/>
    <n v="912"/>
    <n v="4"/>
    <s v="Card"/>
    <s v="Rahul"/>
    <s v="sneha.joshi@company.com"/>
    <n v="9756908023"/>
    <s v="Pending"/>
    <m/>
    <m/>
    <m/>
    <m/>
    <m/>
    <m/>
    <m/>
    <m/>
    <m/>
    <m/>
    <m/>
    <m/>
    <m/>
    <m/>
    <m/>
    <m/>
    <m/>
    <m/>
    <m/>
    <m/>
    <x v="151"/>
  </r>
  <r>
    <s v="ORD10183"/>
    <s v="C002"/>
    <s v="P303"/>
    <x v="152"/>
    <s v="26/05/2025"/>
    <s v="Priya Patel"/>
    <s v="Female"/>
    <s v="19/02/1988"/>
    <s v="Bengaluru"/>
    <x v="0"/>
    <x v="2"/>
    <s v="Marker"/>
    <n v="10"/>
    <n v="45"/>
    <n v="0.15"/>
    <n v="382.5"/>
    <n v="4"/>
    <s v="Cash"/>
    <s v="Karan"/>
    <s v="priya.patel@company.com"/>
    <n v="9645913247"/>
    <s v="Completed"/>
    <m/>
    <m/>
    <m/>
    <m/>
    <m/>
    <m/>
    <m/>
    <m/>
    <m/>
    <m/>
    <m/>
    <m/>
    <m/>
    <m/>
    <m/>
    <m/>
    <m/>
    <m/>
    <m/>
    <m/>
    <x v="152"/>
  </r>
  <r>
    <s v="ORD10184"/>
    <s v="C009"/>
    <s v="P202"/>
    <x v="153"/>
    <s v="23/06/2025"/>
    <s v="Mohit Verma"/>
    <s v="Male"/>
    <s v="03/12/1981"/>
    <s v="Delhi"/>
    <x v="1"/>
    <x v="0"/>
    <s v="Iron"/>
    <n v="7"/>
    <n v="2200"/>
    <n v="0.2"/>
    <n v="12320"/>
    <n v="5"/>
    <s v="UPI"/>
    <s v="Rahul"/>
    <s v="mohit.verma@company.com"/>
    <n v="9806914795"/>
    <s v="Pending"/>
    <m/>
    <m/>
    <m/>
    <m/>
    <m/>
    <m/>
    <m/>
    <m/>
    <m/>
    <m/>
    <m/>
    <m/>
    <m/>
    <m/>
    <m/>
    <m/>
    <m/>
    <m/>
    <m/>
    <m/>
    <x v="153"/>
  </r>
  <r>
    <s v="ORD10185"/>
    <s v="C002"/>
    <s v="P203"/>
    <x v="154"/>
    <s v="04/05/2025"/>
    <s v="Priya Patel"/>
    <s v="Female"/>
    <s v="11/02/1984"/>
    <s v="Kolkata"/>
    <x v="3"/>
    <x v="0"/>
    <s v="Microwave"/>
    <n v="20"/>
    <n v="8500"/>
    <n v="0.2"/>
    <n v="136000"/>
    <n v="4"/>
    <s v="NetBanking"/>
    <s v="Ritika"/>
    <s v="priya.patel@company.com"/>
    <n v="9276222829"/>
    <s v="Completed"/>
    <m/>
    <m/>
    <m/>
    <m/>
    <m/>
    <m/>
    <m/>
    <m/>
    <m/>
    <m/>
    <m/>
    <m/>
    <m/>
    <m/>
    <m/>
    <m/>
    <m/>
    <m/>
    <m/>
    <m/>
    <x v="154"/>
  </r>
  <r>
    <s v="ORD10186"/>
    <s v="C006"/>
    <s v="P202"/>
    <x v="123"/>
    <s v="24/01/2025"/>
    <s v="Sneha Joshi"/>
    <s v="Female"/>
    <s v="07/12/1991"/>
    <s v="Hyderabad"/>
    <x v="0"/>
    <x v="0"/>
    <s v="Iron"/>
    <n v="10"/>
    <n v="2200"/>
    <n v="0.05"/>
    <n v="20900"/>
    <n v="2"/>
    <s v="NetBanking"/>
    <s v="Rahul"/>
    <s v="sneha.joshi@company.com"/>
    <n v="9533835528"/>
    <s v="Completed"/>
    <m/>
    <m/>
    <m/>
    <m/>
    <m/>
    <m/>
    <m/>
    <m/>
    <m/>
    <m/>
    <m/>
    <m/>
    <m/>
    <m/>
    <m/>
    <m/>
    <m/>
    <m/>
    <m/>
    <m/>
    <x v="123"/>
  </r>
  <r>
    <s v="ORD10187"/>
    <s v="C003"/>
    <s v="P301"/>
    <x v="155"/>
    <s v="26/12/2025"/>
    <s v="Rohit Singh"/>
    <s v="Male"/>
    <s v="21/02/1976"/>
    <s v="Pune"/>
    <x v="2"/>
    <x v="2"/>
    <s v="Notebook"/>
    <n v="15"/>
    <n v="60"/>
    <n v="0.2"/>
    <n v="720"/>
    <n v="1"/>
    <s v="Card"/>
    <s v="Ritika"/>
    <s v="rohit.singh@company.com"/>
    <n v="9654885820"/>
    <s v="Completed"/>
    <m/>
    <m/>
    <m/>
    <m/>
    <m/>
    <m/>
    <m/>
    <m/>
    <m/>
    <m/>
    <m/>
    <m/>
    <m/>
    <m/>
    <m/>
    <m/>
    <m/>
    <m/>
    <m/>
    <m/>
    <x v="155"/>
  </r>
  <r>
    <s v="ORD10188"/>
    <s v="C005"/>
    <s v="P201"/>
    <x v="25"/>
    <s v="28/06/2025"/>
    <s v="Vikas Mehta"/>
    <s v="Male"/>
    <s v="28/08/1975"/>
    <s v="Hyderabad"/>
    <x v="0"/>
    <x v="0"/>
    <s v="Mixer"/>
    <n v="18"/>
    <n v="3500"/>
    <n v="0.05"/>
    <n v="59850"/>
    <n v="1"/>
    <s v="Card"/>
    <s v="Rahul"/>
    <s v="vikas.mehta@company.com"/>
    <n v="9456029544"/>
    <s v="Cancelled"/>
    <m/>
    <m/>
    <m/>
    <m/>
    <m/>
    <m/>
    <m/>
    <m/>
    <m/>
    <m/>
    <m/>
    <m/>
    <m/>
    <m/>
    <m/>
    <m/>
    <m/>
    <m/>
    <m/>
    <m/>
    <x v="25"/>
  </r>
  <r>
    <s v="ORD10189"/>
    <s v="C001"/>
    <s v="P104"/>
    <x v="156"/>
    <s v="22/05/2026"/>
    <s v="Amit Sharma"/>
    <s v="Male"/>
    <s v="05/12/1987"/>
    <s v="Pune"/>
    <x v="2"/>
    <x v="1"/>
    <s v="Monitor"/>
    <n v="6"/>
    <n v="12000"/>
    <n v="0.05"/>
    <n v="68400"/>
    <n v="1"/>
    <s v="NetBanking"/>
    <s v="Rahul"/>
    <s v="amit.sharma@company.com"/>
    <n v="9914571493"/>
    <s v="Cancelled"/>
    <m/>
    <m/>
    <m/>
    <m/>
    <m/>
    <m/>
    <m/>
    <m/>
    <m/>
    <m/>
    <m/>
    <m/>
    <m/>
    <m/>
    <m/>
    <m/>
    <m/>
    <m/>
    <m/>
    <m/>
    <x v="156"/>
  </r>
  <r>
    <s v="ORD10190"/>
    <s v="C001"/>
    <s v="P302"/>
    <x v="147"/>
    <s v="16/02/2026"/>
    <s v="Amit Sharma"/>
    <s v="Male"/>
    <s v="26/08/2004"/>
    <s v="Bengaluru"/>
    <x v="0"/>
    <x v="2"/>
    <s v="Pen"/>
    <n v="19"/>
    <n v="20"/>
    <n v="0.1"/>
    <n v="342"/>
    <n v="2"/>
    <s v="NetBanking"/>
    <s v="Ritika"/>
    <s v="amit.sharma@company.com"/>
    <n v="9270726986"/>
    <s v="Pending"/>
    <m/>
    <m/>
    <m/>
    <m/>
    <m/>
    <m/>
    <m/>
    <m/>
    <m/>
    <m/>
    <m/>
    <m/>
    <m/>
    <m/>
    <m/>
    <m/>
    <m/>
    <m/>
    <m/>
    <m/>
    <x v="147"/>
  </r>
  <r>
    <s v="ORD10191"/>
    <s v="C005"/>
    <s v="P202"/>
    <x v="58"/>
    <s v="20/05/2026"/>
    <s v="Vikas Mehta"/>
    <s v="Male"/>
    <s v="16/01/1994"/>
    <s v="Pune"/>
    <x v="2"/>
    <x v="0"/>
    <s v="Iron"/>
    <n v="7"/>
    <n v="2200"/>
    <n v="0"/>
    <n v="15400"/>
    <n v="1"/>
    <s v="Card"/>
    <s v="Neha"/>
    <s v="vikas.mehta@company.com"/>
    <n v="9570080664"/>
    <s v="Cancelled"/>
    <m/>
    <m/>
    <m/>
    <m/>
    <m/>
    <m/>
    <m/>
    <m/>
    <m/>
    <m/>
    <m/>
    <m/>
    <m/>
    <m/>
    <m/>
    <m/>
    <m/>
    <m/>
    <m/>
    <m/>
    <x v="58"/>
  </r>
  <r>
    <s v="ORD10192"/>
    <s v="C001"/>
    <s v="P104"/>
    <x v="157"/>
    <s v="20/11/2025"/>
    <s v="Amit Sharma"/>
    <s v="Male"/>
    <s v="28/10/2003"/>
    <s v="Jaipur"/>
    <x v="1"/>
    <x v="1"/>
    <s v="Monitor"/>
    <n v="3"/>
    <n v="12000"/>
    <n v="0.05"/>
    <n v="34200"/>
    <n v="3"/>
    <s v="Card"/>
    <s v="Aisha"/>
    <s v="amit.sharma@company.com"/>
    <n v="9109009524"/>
    <s v="Cancelled"/>
    <m/>
    <m/>
    <m/>
    <m/>
    <m/>
    <m/>
    <m/>
    <m/>
    <m/>
    <m/>
    <m/>
    <m/>
    <m/>
    <m/>
    <m/>
    <m/>
    <m/>
    <m/>
    <m/>
    <m/>
    <x v="157"/>
  </r>
  <r>
    <s v="ORD10193"/>
    <s v="C004"/>
    <s v="P202"/>
    <x v="105"/>
    <s v="04/11/2025"/>
    <s v="Anita Gupta"/>
    <s v="Female"/>
    <s v="16/05/2000"/>
    <s v="Jaipur"/>
    <x v="1"/>
    <x v="0"/>
    <s v="Iron"/>
    <n v="16"/>
    <n v="2200"/>
    <n v="0"/>
    <n v="35200"/>
    <n v="5"/>
    <s v="Card"/>
    <s v="Ritika"/>
    <s v="anita.gupta@company.com"/>
    <n v="9701276770"/>
    <s v="Pending"/>
    <m/>
    <m/>
    <m/>
    <m/>
    <m/>
    <m/>
    <m/>
    <m/>
    <m/>
    <m/>
    <m/>
    <m/>
    <m/>
    <m/>
    <m/>
    <m/>
    <m/>
    <m/>
    <m/>
    <m/>
    <x v="105"/>
  </r>
  <r>
    <s v="ORD10194"/>
    <s v="C006"/>
    <s v="P202"/>
    <x v="158"/>
    <s v="18/02/2025"/>
    <s v="Sneha Joshi"/>
    <s v="Female"/>
    <s v="04/07/1989"/>
    <s v="Delhi"/>
    <x v="1"/>
    <x v="0"/>
    <s v="Iron"/>
    <n v="8"/>
    <n v="2200"/>
    <n v="0.05"/>
    <n v="16720"/>
    <n v="2"/>
    <s v="UPI"/>
    <s v="Karan"/>
    <s v="sneha.joshi@company.com"/>
    <n v="9298278507"/>
    <s v="Completed"/>
    <m/>
    <m/>
    <m/>
    <m/>
    <m/>
    <m/>
    <m/>
    <m/>
    <m/>
    <m/>
    <m/>
    <m/>
    <m/>
    <m/>
    <m/>
    <m/>
    <m/>
    <m/>
    <m/>
    <m/>
    <x v="158"/>
  </r>
  <r>
    <s v="ORD10195"/>
    <s v="C006"/>
    <s v="P202"/>
    <x v="96"/>
    <s v="14/12/2025"/>
    <s v="Sneha Joshi"/>
    <s v="Female"/>
    <s v="09/03/1998"/>
    <s v="Ahmedabad"/>
    <x v="2"/>
    <x v="0"/>
    <s v="Iron"/>
    <n v="10"/>
    <n v="2200"/>
    <n v="0.1"/>
    <n v="19800"/>
    <n v="5"/>
    <s v="NetBanking"/>
    <s v="Neha"/>
    <s v="sneha.joshi@company.com"/>
    <n v="9895908093"/>
    <s v="Pending"/>
    <m/>
    <m/>
    <m/>
    <m/>
    <m/>
    <m/>
    <m/>
    <m/>
    <m/>
    <m/>
    <m/>
    <m/>
    <m/>
    <m/>
    <m/>
    <m/>
    <m/>
    <m/>
    <m/>
    <m/>
    <x v="96"/>
  </r>
  <r>
    <s v="ORD10196"/>
    <s v="C007"/>
    <s v="P302"/>
    <x v="159"/>
    <s v="09/05/2025"/>
    <s v="Arjun Rao"/>
    <s v="Male"/>
    <s v="21/05/1988"/>
    <s v="Delhi"/>
    <x v="1"/>
    <x v="2"/>
    <s v="Pen"/>
    <n v="7"/>
    <n v="20"/>
    <n v="0.1"/>
    <n v="126"/>
    <n v="4"/>
    <s v="Card"/>
    <s v="Aisha"/>
    <s v="arjun.rao@company.com"/>
    <n v="9734108795"/>
    <s v="Completed"/>
    <m/>
    <m/>
    <m/>
    <m/>
    <m/>
    <m/>
    <m/>
    <m/>
    <m/>
    <m/>
    <m/>
    <m/>
    <m/>
    <m/>
    <m/>
    <m/>
    <m/>
    <m/>
    <m/>
    <m/>
    <x v="159"/>
  </r>
  <r>
    <s v="ORD10197"/>
    <s v="C005"/>
    <s v="P203"/>
    <x v="29"/>
    <s v="14/01/2026"/>
    <s v="Vikas Mehta"/>
    <s v="Male"/>
    <s v="18/07/1994"/>
    <s v="Hyderabad"/>
    <x v="0"/>
    <x v="0"/>
    <s v="Microwave"/>
    <n v="19"/>
    <n v="8500"/>
    <n v="0.2"/>
    <n v="129200"/>
    <n v="3"/>
    <s v="NetBanking"/>
    <s v="Aisha"/>
    <s v="vikas.mehta@company.com"/>
    <n v="9799597413"/>
    <s v="Pending"/>
    <m/>
    <m/>
    <m/>
    <m/>
    <m/>
    <m/>
    <m/>
    <m/>
    <m/>
    <m/>
    <m/>
    <m/>
    <m/>
    <m/>
    <m/>
    <m/>
    <m/>
    <m/>
    <m/>
    <m/>
    <x v="29"/>
  </r>
  <r>
    <s v="ORD10198"/>
    <s v="C002"/>
    <s v="P301"/>
    <x v="59"/>
    <s v="06/03/2025"/>
    <s v="Priya Patel"/>
    <s v="Female"/>
    <s v="15/11/1977"/>
    <s v="Pune"/>
    <x v="2"/>
    <x v="2"/>
    <s v="Notebook"/>
    <n v="16"/>
    <n v="60"/>
    <n v="0"/>
    <n v="960"/>
    <n v="2"/>
    <s v="NetBanking"/>
    <s v="Neha"/>
    <s v="priya.patel@company.com"/>
    <n v="9688987266"/>
    <s v="Completed"/>
    <m/>
    <m/>
    <m/>
    <m/>
    <m/>
    <m/>
    <m/>
    <m/>
    <m/>
    <m/>
    <m/>
    <m/>
    <m/>
    <m/>
    <m/>
    <m/>
    <m/>
    <m/>
    <m/>
    <m/>
    <x v="59"/>
  </r>
  <r>
    <s v="ORD10199"/>
    <s v="C005"/>
    <s v="P201"/>
    <x v="160"/>
    <s v="27/04/2026"/>
    <s v="Vikas Mehta"/>
    <s v="Male"/>
    <s v="22/09/1982"/>
    <s v="Bengaluru"/>
    <x v="0"/>
    <x v="2"/>
    <s v="Mixer"/>
    <n v="18"/>
    <n v="3500"/>
    <n v="0.05"/>
    <n v="59850"/>
    <n v="1"/>
    <s v="UPI"/>
    <s v="Neha"/>
    <s v="vikas.mehta@company.com"/>
    <n v="9867169037"/>
    <s v="Pending"/>
    <m/>
    <m/>
    <m/>
    <m/>
    <m/>
    <m/>
    <m/>
    <m/>
    <m/>
    <m/>
    <m/>
    <m/>
    <m/>
    <m/>
    <m/>
    <m/>
    <m/>
    <m/>
    <m/>
    <m/>
    <x v="160"/>
  </r>
  <r>
    <s v="ORD10200"/>
    <s v="C002"/>
    <s v="P101"/>
    <x v="161"/>
    <s v="01/03/2025"/>
    <s v="Priya Patel"/>
    <s v="Female"/>
    <s v="14/09/1994"/>
    <s v="Jaipur"/>
    <x v="1"/>
    <x v="1"/>
    <s v="Laptop"/>
    <n v="16"/>
    <n v="55000"/>
    <n v="0"/>
    <n v="880000"/>
    <n v="1"/>
    <s v="Card"/>
    <s v="Aisha"/>
    <s v="priya.patel@company.com"/>
    <n v="9485547425"/>
    <s v="Cancelled"/>
    <m/>
    <m/>
    <m/>
    <m/>
    <m/>
    <m/>
    <m/>
    <m/>
    <m/>
    <m/>
    <m/>
    <m/>
    <m/>
    <m/>
    <m/>
    <m/>
    <m/>
    <m/>
    <m/>
    <m/>
    <x v="161"/>
  </r>
  <r>
    <s v="ORD10201"/>
    <s v="C005"/>
    <s v="P103"/>
    <x v="144"/>
    <s v="09/02/2025"/>
    <s v="Vikas Mehta"/>
    <s v="Male"/>
    <s v="02/12/1995"/>
    <s v="Ahmedabad"/>
    <x v="2"/>
    <x v="1"/>
    <s v="Keyboard"/>
    <n v="18"/>
    <n v="1200"/>
    <n v="0.15"/>
    <n v="18360"/>
    <n v="2"/>
    <s v="NetBanking"/>
    <s v="Ritika"/>
    <s v="vikas.mehta@company.com"/>
    <n v="9889733076"/>
    <s v="Cancelled"/>
    <m/>
    <m/>
    <m/>
    <m/>
    <m/>
    <m/>
    <m/>
    <m/>
    <m/>
    <m/>
    <m/>
    <m/>
    <m/>
    <m/>
    <m/>
    <m/>
    <m/>
    <m/>
    <m/>
    <m/>
    <x v="144"/>
  </r>
  <r>
    <s v="ORD10202"/>
    <s v="C009"/>
    <s v="P303"/>
    <x v="162"/>
    <s v="27/05/2025"/>
    <s v="Mohit Verma"/>
    <s v="Male"/>
    <s v="10/07/1985"/>
    <s v="Hyderabad"/>
    <x v="0"/>
    <x v="2"/>
    <s v="Marker"/>
    <n v="2"/>
    <n v="45"/>
    <n v="0.15"/>
    <n v="76.5"/>
    <n v="5"/>
    <s v="Cash"/>
    <s v="Aisha"/>
    <s v="mohit.verma@company.com"/>
    <n v="9145434449"/>
    <s v="Cancelled"/>
    <m/>
    <m/>
    <m/>
    <m/>
    <m/>
    <m/>
    <m/>
    <m/>
    <m/>
    <m/>
    <m/>
    <m/>
    <m/>
    <m/>
    <m/>
    <m/>
    <m/>
    <m/>
    <m/>
    <m/>
    <x v="162"/>
  </r>
  <r>
    <s v="ORD10203"/>
    <s v="C010"/>
    <s v="P203"/>
    <x v="163"/>
    <s v="12/01/2026"/>
    <s v="Pooja Shah"/>
    <s v="Female"/>
    <s v="25/03/2001"/>
    <s v="Bengaluru"/>
    <x v="0"/>
    <x v="0"/>
    <s v="Microwave"/>
    <n v="20"/>
    <n v="8500"/>
    <n v="0"/>
    <n v="170000"/>
    <n v="4"/>
    <s v="NetBanking"/>
    <s v="Aisha"/>
    <s v="pooja.shah@company.com"/>
    <n v="9598942148"/>
    <s v="Cancelled"/>
    <m/>
    <m/>
    <m/>
    <m/>
    <m/>
    <m/>
    <m/>
    <m/>
    <m/>
    <m/>
    <m/>
    <m/>
    <m/>
    <m/>
    <m/>
    <m/>
    <m/>
    <m/>
    <m/>
    <m/>
    <x v="163"/>
  </r>
  <r>
    <s v="ORD10204"/>
    <s v="C003"/>
    <s v="P201"/>
    <x v="36"/>
    <s v="09/03/2026"/>
    <s v="Rohit Singh"/>
    <s v="Male"/>
    <s v="27/04/1981"/>
    <s v="Jaipur"/>
    <x v="1"/>
    <x v="0"/>
    <s v="Mixer"/>
    <n v="6"/>
    <n v="3500"/>
    <n v="0.05"/>
    <n v="19950"/>
    <n v="1"/>
    <s v="Cash"/>
    <s v="Karan"/>
    <s v="rohit.singh@company.com"/>
    <n v="9599252705"/>
    <s v="Completed"/>
    <m/>
    <m/>
    <m/>
    <m/>
    <m/>
    <m/>
    <m/>
    <m/>
    <m/>
    <m/>
    <m/>
    <m/>
    <m/>
    <m/>
    <m/>
    <m/>
    <m/>
    <m/>
    <m/>
    <m/>
    <x v="36"/>
  </r>
  <r>
    <s v="ORD10205"/>
    <s v="C004"/>
    <s v="P303"/>
    <x v="38"/>
    <s v="09/10/2025"/>
    <s v="Anita Gupta"/>
    <s v="Female"/>
    <s v="14/01/2003"/>
    <s v="Pune"/>
    <x v="2"/>
    <x v="2"/>
    <s v="Marker"/>
    <n v="8"/>
    <n v="45"/>
    <n v="0.05"/>
    <n v="342"/>
    <n v="2"/>
    <s v="Cash"/>
    <s v="Rahul"/>
    <s v="anita.gupta@company.com"/>
    <n v="9626843681"/>
    <s v="Pending"/>
    <m/>
    <m/>
    <m/>
    <m/>
    <m/>
    <m/>
    <m/>
    <m/>
    <m/>
    <m/>
    <m/>
    <m/>
    <m/>
    <m/>
    <m/>
    <m/>
    <m/>
    <m/>
    <m/>
    <m/>
    <x v="38"/>
  </r>
  <r>
    <s v="ORD10206"/>
    <s v="C001"/>
    <s v="P202"/>
    <x v="164"/>
    <s v="12/03/2025"/>
    <s v="Amit Sharma"/>
    <s v="Male"/>
    <s v="02/10/1980"/>
    <s v="Mumbai"/>
    <x v="2"/>
    <x v="0"/>
    <s v="Iron"/>
    <n v="18"/>
    <n v="2200"/>
    <n v="0.15"/>
    <n v="33660"/>
    <n v="4"/>
    <s v="Card"/>
    <s v="Aisha"/>
    <s v="amit.sharma@company.com"/>
    <n v="9934933215"/>
    <s v="Pending"/>
    <m/>
    <m/>
    <m/>
    <m/>
    <m/>
    <m/>
    <m/>
    <m/>
    <m/>
    <m/>
    <m/>
    <m/>
    <m/>
    <m/>
    <m/>
    <m/>
    <m/>
    <m/>
    <m/>
    <m/>
    <x v="164"/>
  </r>
  <r>
    <s v="ORD10207"/>
    <s v="C005"/>
    <s v="P102"/>
    <x v="165"/>
    <s v="15/04/2026"/>
    <s v="Vikas Mehta"/>
    <s v="Male"/>
    <s v="24/10/1990"/>
    <s v="Hyderabad"/>
    <x v="0"/>
    <x v="1"/>
    <s v="Mouse"/>
    <n v="18"/>
    <n v="700"/>
    <n v="0.15"/>
    <n v="10710"/>
    <n v="3"/>
    <s v="Card"/>
    <s v="Karan"/>
    <s v="vikas.mehta@company.com"/>
    <n v="9508025585"/>
    <s v="Cancelled"/>
    <m/>
    <m/>
    <m/>
    <m/>
    <m/>
    <m/>
    <m/>
    <m/>
    <m/>
    <m/>
    <m/>
    <m/>
    <m/>
    <m/>
    <m/>
    <m/>
    <m/>
    <m/>
    <m/>
    <m/>
    <x v="165"/>
  </r>
  <r>
    <s v="ORD10208"/>
    <s v="C001"/>
    <s v="P101"/>
    <x v="166"/>
    <s v="20/01/2026"/>
    <s v="Amit Sharma"/>
    <s v="Male"/>
    <s v="24/09/1977"/>
    <s v="Pune"/>
    <x v="2"/>
    <x v="1"/>
    <s v="Laptop"/>
    <n v="12"/>
    <n v="55000"/>
    <n v="0"/>
    <n v="660000"/>
    <n v="2"/>
    <s v="UPI"/>
    <s v="Rahul"/>
    <s v="amit.sharma@company.com"/>
    <n v="9364681052"/>
    <s v="Cancelled"/>
    <m/>
    <m/>
    <m/>
    <m/>
    <m/>
    <m/>
    <m/>
    <m/>
    <m/>
    <m/>
    <m/>
    <m/>
    <m/>
    <m/>
    <m/>
    <m/>
    <m/>
    <m/>
    <m/>
    <m/>
    <x v="166"/>
  </r>
  <r>
    <s v="ORD10209"/>
    <s v="C008"/>
    <s v="P104"/>
    <x v="74"/>
    <s v="24/11/2025"/>
    <s v="Kavya Nair"/>
    <s v="Female"/>
    <s v="02/10/1996"/>
    <s v="Mumbai"/>
    <x v="2"/>
    <x v="1"/>
    <s v="Monitor"/>
    <n v="7"/>
    <n v="12000"/>
    <n v="0.05"/>
    <n v="79800"/>
    <n v="3"/>
    <s v="Card"/>
    <s v="Karan"/>
    <s v="kavya.nair@company.com"/>
    <n v="9117102884"/>
    <s v="Pending"/>
    <m/>
    <m/>
    <m/>
    <m/>
    <m/>
    <m/>
    <m/>
    <m/>
    <m/>
    <m/>
    <m/>
    <m/>
    <m/>
    <m/>
    <m/>
    <m/>
    <m/>
    <m/>
    <m/>
    <m/>
    <x v="74"/>
  </r>
  <r>
    <s v="ORD10210"/>
    <s v="C006"/>
    <s v="P104"/>
    <x v="167"/>
    <s v="23/09/2025"/>
    <s v="Sneha Joshi"/>
    <s v="Female"/>
    <s v="17/05/1976"/>
    <s v="Mumbai"/>
    <x v="2"/>
    <x v="1"/>
    <s v="Monitor"/>
    <n v="8"/>
    <n v="12000"/>
    <n v="0.15"/>
    <n v="81600"/>
    <n v="4"/>
    <s v="Card"/>
    <s v="Rahul"/>
    <s v="sneha.joshi@company.com"/>
    <n v="9819453185"/>
    <s v="Completed"/>
    <m/>
    <m/>
    <m/>
    <m/>
    <m/>
    <m/>
    <m/>
    <m/>
    <m/>
    <m/>
    <m/>
    <m/>
    <m/>
    <m/>
    <m/>
    <m/>
    <m/>
    <m/>
    <m/>
    <m/>
    <x v="167"/>
  </r>
  <r>
    <s v="ORD10211"/>
    <s v="C001"/>
    <s v="P201"/>
    <x v="168"/>
    <s v="27/12/2025"/>
    <s v="Amit Sharma"/>
    <s v="Male"/>
    <s v="09/12/1987"/>
    <s v="Mumbai"/>
    <x v="2"/>
    <x v="0"/>
    <s v="Mixer"/>
    <n v="19"/>
    <n v="3500"/>
    <n v="0.05"/>
    <n v="63175"/>
    <n v="3"/>
    <s v="Card"/>
    <s v="Aisha"/>
    <s v="amit.sharma@company.com"/>
    <n v="9511806701"/>
    <s v="Pending"/>
    <m/>
    <m/>
    <m/>
    <m/>
    <m/>
    <m/>
    <m/>
    <m/>
    <m/>
    <m/>
    <m/>
    <m/>
    <m/>
    <m/>
    <m/>
    <m/>
    <m/>
    <m/>
    <m/>
    <m/>
    <x v="168"/>
  </r>
  <r>
    <s v="ORD10212"/>
    <s v="C006"/>
    <s v="P303"/>
    <x v="144"/>
    <s v="16/02/2025"/>
    <s v="Sneha Joshi"/>
    <s v="Female"/>
    <s v="16/07/1990"/>
    <s v="Ahmedabad"/>
    <x v="2"/>
    <x v="2"/>
    <s v="Marker"/>
    <n v="7"/>
    <n v="45"/>
    <n v="0.05"/>
    <n v="299.25"/>
    <n v="3"/>
    <s v="Card"/>
    <s v="Ritika"/>
    <s v="sneha.joshi@company.com"/>
    <n v="9875249891"/>
    <s v="Cancelled"/>
    <m/>
    <m/>
    <m/>
    <m/>
    <m/>
    <m/>
    <m/>
    <m/>
    <m/>
    <m/>
    <m/>
    <m/>
    <m/>
    <m/>
    <m/>
    <m/>
    <m/>
    <m/>
    <m/>
    <m/>
    <x v="144"/>
  </r>
  <r>
    <s v="ORD10213"/>
    <s v="C008"/>
    <s v="P301"/>
    <x v="169"/>
    <s v="08/06/2025"/>
    <s v="Kavya Nair"/>
    <s v="Female"/>
    <s v="09/08/1991"/>
    <s v="Hyderabad"/>
    <x v="0"/>
    <x v="2"/>
    <s v="Notebook"/>
    <n v="3"/>
    <n v="60"/>
    <n v="0.15"/>
    <n v="153"/>
    <n v="3"/>
    <s v="NetBanking"/>
    <s v="Rahul"/>
    <s v="kavya.nair@company.com"/>
    <n v="9438232503"/>
    <s v="Cancelled"/>
    <m/>
    <m/>
    <m/>
    <m/>
    <m/>
    <m/>
    <m/>
    <m/>
    <m/>
    <m/>
    <m/>
    <m/>
    <m/>
    <m/>
    <m/>
    <m/>
    <m/>
    <m/>
    <m/>
    <m/>
    <x v="169"/>
  </r>
  <r>
    <s v="ORD10214"/>
    <s v="C010"/>
    <s v="P303"/>
    <x v="170"/>
    <s v="04/05/2026"/>
    <s v="Pooja Shah"/>
    <s v="Female"/>
    <s v="26/12/1977"/>
    <s v="Pune"/>
    <x v="2"/>
    <x v="2"/>
    <s v="Marker"/>
    <n v="19"/>
    <n v="45"/>
    <n v="0"/>
    <n v="855"/>
    <n v="2"/>
    <s v="Cash"/>
    <s v="Aisha"/>
    <s v="pooja.shah@company.com"/>
    <n v="9449953754"/>
    <s v="Completed"/>
    <m/>
    <m/>
    <m/>
    <m/>
    <m/>
    <m/>
    <m/>
    <m/>
    <m/>
    <m/>
    <m/>
    <m/>
    <m/>
    <m/>
    <m/>
    <m/>
    <m/>
    <m/>
    <m/>
    <m/>
    <x v="170"/>
  </r>
  <r>
    <s v="ORD10215"/>
    <s v="C002"/>
    <s v="P104"/>
    <x v="171"/>
    <s v="16/03/2026"/>
    <s v="Priya Patel"/>
    <s v="Female"/>
    <s v="04/06/1995"/>
    <s v="Bengaluru"/>
    <x v="0"/>
    <x v="1"/>
    <s v="Monitor"/>
    <n v="10"/>
    <n v="12000"/>
    <n v="0.05"/>
    <n v="114000"/>
    <n v="1"/>
    <s v="Card"/>
    <s v="Neha"/>
    <s v="priya.patel@company.com"/>
    <n v="9833801891"/>
    <s v="Cancelled"/>
    <m/>
    <m/>
    <m/>
    <m/>
    <m/>
    <m/>
    <m/>
    <m/>
    <m/>
    <m/>
    <m/>
    <m/>
    <m/>
    <m/>
    <m/>
    <m/>
    <m/>
    <m/>
    <m/>
    <m/>
    <x v="171"/>
  </r>
  <r>
    <s v="ORD10216"/>
    <s v="C008"/>
    <s v="P103"/>
    <x v="172"/>
    <s v="12/03/2025"/>
    <s v="Kavya Nair"/>
    <s v="Female"/>
    <s v="16/11/1983"/>
    <s v="Kolkata"/>
    <x v="3"/>
    <x v="1"/>
    <s v="Keyboard"/>
    <n v="4"/>
    <n v="1200"/>
    <n v="0"/>
    <n v="4800"/>
    <n v="4"/>
    <s v="Cash"/>
    <s v="Aisha"/>
    <s v="kavya.nair@company.com"/>
    <n v="9183949273"/>
    <s v="Completed"/>
    <m/>
    <m/>
    <m/>
    <m/>
    <m/>
    <m/>
    <m/>
    <m/>
    <m/>
    <m/>
    <m/>
    <m/>
    <m/>
    <m/>
    <m/>
    <m/>
    <m/>
    <m/>
    <m/>
    <m/>
    <x v="6"/>
  </r>
  <r>
    <s v="ORD10217"/>
    <s v="C005"/>
    <s v="P203"/>
    <x v="80"/>
    <s v="07/11/2025"/>
    <s v="Vikas Mehta"/>
    <s v="Male"/>
    <s v="10/10/1985"/>
    <s v="Bengaluru"/>
    <x v="0"/>
    <x v="0"/>
    <s v="Microwave"/>
    <n v="2"/>
    <n v="8500"/>
    <n v="0.2"/>
    <n v="13600"/>
    <n v="3"/>
    <s v="Card"/>
    <s v="Karan"/>
    <s v="vikas.mehta@company.com"/>
    <n v="9168257367"/>
    <s v="Completed"/>
    <m/>
    <m/>
    <m/>
    <m/>
    <m/>
    <m/>
    <m/>
    <m/>
    <m/>
    <m/>
    <m/>
    <m/>
    <m/>
    <m/>
    <m/>
    <m/>
    <m/>
    <m/>
    <m/>
    <m/>
    <x v="80"/>
  </r>
  <r>
    <s v="ORD10218"/>
    <s v="C007"/>
    <s v="P102"/>
    <x v="173"/>
    <s v="08/02/2026"/>
    <s v="Arjun Rao"/>
    <s v="Male"/>
    <s v="07/01/2002"/>
    <s v="Kolkata"/>
    <x v="3"/>
    <x v="1"/>
    <s v="Mouse"/>
    <n v="7"/>
    <n v="700"/>
    <n v="0.2"/>
    <n v="3920"/>
    <n v="2"/>
    <s v="Card"/>
    <s v="Karan"/>
    <s v="arjun.rao@company.com"/>
    <n v="9580903210"/>
    <s v="Pending"/>
    <m/>
    <m/>
    <m/>
    <m/>
    <m/>
    <m/>
    <m/>
    <m/>
    <m/>
    <m/>
    <m/>
    <m/>
    <m/>
    <m/>
    <m/>
    <m/>
    <m/>
    <m/>
    <m/>
    <m/>
    <x v="172"/>
  </r>
  <r>
    <s v="ORD10219"/>
    <s v="C010"/>
    <s v="P302"/>
    <x v="174"/>
    <s v="03/05/2026"/>
    <s v="Pooja Shah"/>
    <s v="Female"/>
    <s v="18/07/1999"/>
    <s v="Pune"/>
    <x v="2"/>
    <x v="2"/>
    <s v="Pen"/>
    <n v="9"/>
    <n v="20"/>
    <n v="0.15"/>
    <n v="153"/>
    <n v="3"/>
    <s v="NetBanking"/>
    <s v="Neha"/>
    <s v="pooja.shah@company.com"/>
    <n v="9602152945"/>
    <s v="Completed"/>
    <m/>
    <m/>
    <m/>
    <m/>
    <m/>
    <m/>
    <m/>
    <m/>
    <m/>
    <m/>
    <m/>
    <m/>
    <m/>
    <m/>
    <m/>
    <m/>
    <m/>
    <m/>
    <m/>
    <m/>
    <x v="173"/>
  </r>
  <r>
    <s v="ORD10220"/>
    <s v="C002"/>
    <s v="P203"/>
    <x v="175"/>
    <s v="20/05/2025"/>
    <s v="Priya Patel"/>
    <s v="Female"/>
    <s v="02/09/1990"/>
    <s v="Kolkata"/>
    <x v="3"/>
    <x v="0"/>
    <s v="Microwave"/>
    <n v="16"/>
    <n v="8500"/>
    <n v="0"/>
    <n v="136000"/>
    <n v="4"/>
    <s v="NetBanking"/>
    <s v="Ritika"/>
    <s v="priya.patel@company.com"/>
    <n v="9646917552"/>
    <s v="Completed"/>
    <m/>
    <m/>
    <m/>
    <m/>
    <m/>
    <m/>
    <m/>
    <m/>
    <m/>
    <m/>
    <m/>
    <m/>
    <m/>
    <m/>
    <m/>
    <m/>
    <m/>
    <m/>
    <m/>
    <m/>
    <x v="174"/>
  </r>
  <r>
    <s v="ORD10221"/>
    <s v="C006"/>
    <s v="P201"/>
    <x v="176"/>
    <s v="28/03/2026"/>
    <s v="Sneha Joshi"/>
    <s v="Female"/>
    <s v="02/08/1992"/>
    <s v="Delhi"/>
    <x v="1"/>
    <x v="0"/>
    <s v="Mixer"/>
    <n v="10"/>
    <n v="3500"/>
    <n v="0.05"/>
    <n v="33250"/>
    <n v="3"/>
    <s v="NetBanking"/>
    <s v="Neha"/>
    <s v="sneha.joshi@company.com"/>
    <n v="9127548552"/>
    <s v="Completed"/>
    <m/>
    <m/>
    <m/>
    <m/>
    <m/>
    <m/>
    <m/>
    <m/>
    <m/>
    <m/>
    <m/>
    <m/>
    <m/>
    <m/>
    <m/>
    <m/>
    <m/>
    <m/>
    <m/>
    <m/>
    <x v="175"/>
  </r>
  <r>
    <s v="ORD10222"/>
    <s v="C010"/>
    <s v="P104"/>
    <x v="177"/>
    <s v="27/01/2026"/>
    <s v="Pooja Shah"/>
    <s v="Female"/>
    <s v="09/02/1980"/>
    <s v="Kolkata"/>
    <x v="3"/>
    <x v="1"/>
    <s v="Monitor"/>
    <n v="1"/>
    <n v="12000"/>
    <n v="0"/>
    <n v="12000"/>
    <n v="5"/>
    <s v="UPI"/>
    <s v="Neha"/>
    <s v="pooja.shah@company.com"/>
    <n v="9712805603"/>
    <s v="Pending"/>
    <m/>
    <m/>
    <m/>
    <m/>
    <m/>
    <m/>
    <m/>
    <m/>
    <m/>
    <m/>
    <m/>
    <m/>
    <m/>
    <m/>
    <m/>
    <m/>
    <m/>
    <m/>
    <m/>
    <m/>
    <x v="176"/>
  </r>
  <r>
    <s v="ORD10223"/>
    <s v="C001"/>
    <s v="P303"/>
    <x v="178"/>
    <s v="10/05/2026"/>
    <s v="Amit Sharma"/>
    <s v="Male"/>
    <s v="18/02/1989"/>
    <s v="Kolkata"/>
    <x v="3"/>
    <x v="2"/>
    <s v="Marker"/>
    <n v="19"/>
    <n v="45"/>
    <n v="0.15"/>
    <n v="726.75"/>
    <n v="2"/>
    <s v="UPI"/>
    <s v="Karan"/>
    <s v="amit.sharma@company.com"/>
    <n v="9798313682"/>
    <s v="Pending"/>
    <m/>
    <m/>
    <m/>
    <m/>
    <m/>
    <m/>
    <m/>
    <m/>
    <m/>
    <m/>
    <m/>
    <m/>
    <m/>
    <m/>
    <m/>
    <m/>
    <m/>
    <m/>
    <m/>
    <m/>
    <x v="177"/>
  </r>
  <r>
    <s v="ORD10224"/>
    <s v="C008"/>
    <s v="P101"/>
    <x v="80"/>
    <s v="02/11/2025"/>
    <s v="Kavya Nair"/>
    <s v="Female"/>
    <s v="10/09/1993"/>
    <s v="Delhi"/>
    <x v="1"/>
    <x v="1"/>
    <s v="Laptop"/>
    <n v="13"/>
    <n v="55000"/>
    <n v="0.05"/>
    <n v="679250"/>
    <n v="4"/>
    <s v="Card"/>
    <s v="Rahul"/>
    <s v="kavya.nair@company.com"/>
    <n v="9642822397"/>
    <s v="Cancelled"/>
    <m/>
    <m/>
    <m/>
    <m/>
    <m/>
    <m/>
    <m/>
    <m/>
    <m/>
    <m/>
    <m/>
    <m/>
    <m/>
    <m/>
    <m/>
    <m/>
    <m/>
    <m/>
    <m/>
    <m/>
    <x v="80"/>
  </r>
  <r>
    <s v="ORD10225"/>
    <s v="C007"/>
    <s v="P303"/>
    <x v="179"/>
    <s v="26/07/2025"/>
    <s v="Arjun Rao"/>
    <s v="Male"/>
    <s v="17/11/1981"/>
    <s v="Mumbai"/>
    <x v="2"/>
    <x v="2"/>
    <s v="Marker"/>
    <n v="2"/>
    <n v="45"/>
    <n v="0.15"/>
    <n v="76.5"/>
    <n v="1"/>
    <s v="NetBanking"/>
    <s v="Neha"/>
    <s v="arjun.rao@company.com"/>
    <n v="9490067655"/>
    <s v="Completed"/>
    <m/>
    <m/>
    <m/>
    <m/>
    <m/>
    <m/>
    <m/>
    <m/>
    <m/>
    <m/>
    <m/>
    <m/>
    <m/>
    <m/>
    <m/>
    <m/>
    <m/>
    <m/>
    <m/>
    <m/>
    <x v="178"/>
  </r>
  <r>
    <s v="ORD10226"/>
    <s v="C002"/>
    <s v="P302"/>
    <x v="180"/>
    <s v="24/02/2025"/>
    <s v="Priya Patel"/>
    <s v="Female"/>
    <s v="24/08/2003"/>
    <s v="Hyderabad"/>
    <x v="0"/>
    <x v="2"/>
    <s v="Pen"/>
    <n v="8"/>
    <n v="20"/>
    <n v="0.15"/>
    <n v="136"/>
    <n v="1"/>
    <s v="Card"/>
    <s v="Ritika"/>
    <s v="priya.patel@company.com"/>
    <n v="9389792144"/>
    <s v="Pending"/>
    <m/>
    <m/>
    <m/>
    <m/>
    <m/>
    <m/>
    <m/>
    <m/>
    <m/>
    <m/>
    <m/>
    <m/>
    <m/>
    <m/>
    <m/>
    <m/>
    <m/>
    <m/>
    <m/>
    <m/>
    <x v="179"/>
  </r>
  <r>
    <s v="ORD10227"/>
    <s v="C004"/>
    <s v="P104"/>
    <x v="181"/>
    <s v="01/05/2025"/>
    <s v="Anita Gupta"/>
    <s v="Female"/>
    <s v="19/07/1985"/>
    <s v="Hyderabad"/>
    <x v="0"/>
    <x v="1"/>
    <s v="Monitor"/>
    <n v="9"/>
    <n v="12000"/>
    <n v="0.05"/>
    <n v="102600"/>
    <n v="2"/>
    <s v="Card"/>
    <s v="Ritika"/>
    <s v="anita.gupta@company.com"/>
    <n v="9736113863"/>
    <s v="Cancelled"/>
    <m/>
    <m/>
    <m/>
    <m/>
    <m/>
    <m/>
    <m/>
    <m/>
    <m/>
    <m/>
    <m/>
    <m/>
    <m/>
    <m/>
    <m/>
    <m/>
    <m/>
    <m/>
    <m/>
    <m/>
    <x v="180"/>
  </r>
  <r>
    <s v="ORD10228"/>
    <s v="C009"/>
    <s v="P201"/>
    <x v="182"/>
    <s v="13/06/2025"/>
    <s v="Mohit Verma"/>
    <s v="Male"/>
    <s v="10/05/1994"/>
    <s v="Kolkata"/>
    <x v="3"/>
    <x v="0"/>
    <s v="Mixer"/>
    <n v="3"/>
    <n v="3500"/>
    <n v="0.15"/>
    <n v="8925"/>
    <n v="1"/>
    <s v="Cash"/>
    <s v="Rahul"/>
    <s v="mohit.verma@company.com"/>
    <n v="9324634732"/>
    <s v="Cancelled"/>
    <m/>
    <m/>
    <m/>
    <m/>
    <m/>
    <m/>
    <m/>
    <m/>
    <m/>
    <m/>
    <m/>
    <m/>
    <m/>
    <m/>
    <m/>
    <m/>
    <m/>
    <m/>
    <m/>
    <m/>
    <x v="181"/>
  </r>
  <r>
    <s v="ORD10229"/>
    <s v="C002"/>
    <s v="P102"/>
    <x v="183"/>
    <s v="23/05/2025"/>
    <s v="Priya Patel"/>
    <s v="Female"/>
    <s v="23/03/1993"/>
    <s v="Hyderabad"/>
    <x v="0"/>
    <x v="1"/>
    <s v="Mouse"/>
    <n v="18"/>
    <n v="700"/>
    <n v="0.2"/>
    <n v="10080"/>
    <n v="1"/>
    <s v="Card"/>
    <s v="Karan"/>
    <s v="priya.patel@company.com"/>
    <n v="9529968110"/>
    <s v="Completed"/>
    <m/>
    <m/>
    <m/>
    <m/>
    <m/>
    <m/>
    <m/>
    <m/>
    <m/>
    <m/>
    <m/>
    <m/>
    <m/>
    <m/>
    <m/>
    <m/>
    <m/>
    <m/>
    <m/>
    <m/>
    <x v="182"/>
  </r>
  <r>
    <s v="ORD10230"/>
    <s v="C009"/>
    <s v="P201"/>
    <x v="184"/>
    <s v="31/01/2026"/>
    <s v="Mohit Verma"/>
    <s v="Male"/>
    <s v="13/06/1979"/>
    <s v="Pune"/>
    <x v="2"/>
    <x v="0"/>
    <s v="Mixer"/>
    <n v="14"/>
    <n v="3500"/>
    <n v="0.05"/>
    <n v="46550"/>
    <n v="1"/>
    <s v="Cash"/>
    <s v="Aisha"/>
    <s v="mohit.verma@company.com"/>
    <n v="9102417647"/>
    <s v="Completed"/>
    <m/>
    <m/>
    <m/>
    <m/>
    <m/>
    <m/>
    <m/>
    <m/>
    <m/>
    <m/>
    <m/>
    <m/>
    <m/>
    <m/>
    <m/>
    <m/>
    <m/>
    <m/>
    <m/>
    <m/>
    <x v="183"/>
  </r>
  <r>
    <s v="ORD10231"/>
    <s v="C002"/>
    <s v="P102"/>
    <x v="169"/>
    <s v="04/06/2025"/>
    <s v="Priya Patel"/>
    <s v="Female"/>
    <s v="24/01/1991"/>
    <s v="Kolkata"/>
    <x v="3"/>
    <x v="1"/>
    <s v="Mouse"/>
    <n v="6"/>
    <n v="700"/>
    <n v="0.05"/>
    <n v="3990"/>
    <n v="5"/>
    <s v="Cash"/>
    <s v="Ritika"/>
    <s v="priya.patel@company.com"/>
    <n v="9630302865"/>
    <s v="Completed"/>
    <m/>
    <m/>
    <m/>
    <m/>
    <m/>
    <m/>
    <m/>
    <m/>
    <m/>
    <m/>
    <m/>
    <m/>
    <m/>
    <m/>
    <m/>
    <m/>
    <m/>
    <m/>
    <m/>
    <m/>
    <x v="169"/>
  </r>
  <r>
    <s v="ORD10232"/>
    <s v="C002"/>
    <s v="P201"/>
    <x v="185"/>
    <s v="19/06/2025"/>
    <s v="Priya Patel"/>
    <s v="Female"/>
    <s v="22/02/2004"/>
    <s v="Mumbai"/>
    <x v="2"/>
    <x v="0"/>
    <s v="Mixer"/>
    <n v="17"/>
    <n v="3500"/>
    <n v="0.15"/>
    <n v="50575"/>
    <n v="3"/>
    <s v="NetBanking"/>
    <s v="Rahul"/>
    <s v="priya.patel@company.com"/>
    <n v="9465353780"/>
    <s v="Pending"/>
    <m/>
    <m/>
    <m/>
    <m/>
    <m/>
    <m/>
    <m/>
    <m/>
    <m/>
    <m/>
    <m/>
    <m/>
    <m/>
    <m/>
    <m/>
    <m/>
    <m/>
    <m/>
    <m/>
    <m/>
    <x v="184"/>
  </r>
  <r>
    <s v="ORD10233"/>
    <s v="C006"/>
    <s v="P302"/>
    <x v="186"/>
    <s v="24/01/2026"/>
    <s v="Sneha Joshi"/>
    <s v="Female"/>
    <s v="25/04/1977"/>
    <s v="Kolkata"/>
    <x v="3"/>
    <x v="2"/>
    <s v="Pen"/>
    <n v="7"/>
    <n v="20"/>
    <n v="0.05"/>
    <n v="133"/>
    <n v="2"/>
    <s v="UPI"/>
    <s v="Karan"/>
    <s v="sneha.joshi@company.com"/>
    <n v="9837426414"/>
    <s v="Completed"/>
    <m/>
    <m/>
    <m/>
    <m/>
    <m/>
    <m/>
    <m/>
    <m/>
    <m/>
    <m/>
    <m/>
    <m/>
    <m/>
    <m/>
    <m/>
    <m/>
    <m/>
    <m/>
    <m/>
    <m/>
    <x v="185"/>
  </r>
  <r>
    <s v="ORD10234"/>
    <s v="C008"/>
    <s v="P202"/>
    <x v="187"/>
    <s v="04/03/2026"/>
    <s v="Kavya Nair"/>
    <s v="Female"/>
    <s v="22/07/1994"/>
    <s v="Bengaluru"/>
    <x v="0"/>
    <x v="0"/>
    <s v="Iron"/>
    <n v="15"/>
    <n v="2200"/>
    <n v="0.2"/>
    <n v="26400"/>
    <n v="2"/>
    <s v="Cash"/>
    <s v="Aisha"/>
    <s v="kavya.nair@company.com"/>
    <n v="9249918272"/>
    <s v="Completed"/>
    <m/>
    <m/>
    <m/>
    <m/>
    <m/>
    <m/>
    <m/>
    <m/>
    <m/>
    <m/>
    <m/>
    <m/>
    <m/>
    <m/>
    <m/>
    <m/>
    <m/>
    <m/>
    <m/>
    <m/>
    <x v="186"/>
  </r>
  <r>
    <s v="ORD10235"/>
    <s v="C009"/>
    <s v="P302"/>
    <x v="117"/>
    <s v="25/02/2026"/>
    <s v="Mohit Verma"/>
    <s v="Male"/>
    <s v="11/11/1979"/>
    <s v="Mumbai"/>
    <x v="2"/>
    <x v="2"/>
    <s v="Pen"/>
    <n v="5"/>
    <n v="20"/>
    <n v="0"/>
    <n v="100"/>
    <n v="3"/>
    <s v="Cash"/>
    <s v="Karan"/>
    <s v="mohit.verma@company.com"/>
    <n v="9265580582"/>
    <s v="Completed"/>
    <m/>
    <m/>
    <m/>
    <m/>
    <m/>
    <m/>
    <m/>
    <m/>
    <m/>
    <m/>
    <m/>
    <m/>
    <m/>
    <m/>
    <m/>
    <m/>
    <m/>
    <m/>
    <m/>
    <m/>
    <x v="117"/>
  </r>
  <r>
    <s v="ORD10236"/>
    <s v="C003"/>
    <s v="P104"/>
    <x v="188"/>
    <s v="14/07/2025"/>
    <s v="Rohit Singh"/>
    <s v="Male"/>
    <s v="27/05/1995"/>
    <s v="Delhi"/>
    <x v="1"/>
    <x v="1"/>
    <s v="Monitor"/>
    <n v="8"/>
    <n v="12000"/>
    <n v="0.2"/>
    <n v="76800"/>
    <n v="3"/>
    <s v="Card"/>
    <s v="Aisha"/>
    <s v="rohit.singh@company.com"/>
    <n v="9751049833"/>
    <s v="Pending"/>
    <m/>
    <m/>
    <m/>
    <m/>
    <m/>
    <m/>
    <m/>
    <m/>
    <m/>
    <m/>
    <m/>
    <m/>
    <m/>
    <m/>
    <m/>
    <m/>
    <m/>
    <m/>
    <m/>
    <m/>
    <x v="187"/>
  </r>
  <r>
    <s v="ORD10237"/>
    <s v="C003"/>
    <s v="P201"/>
    <x v="189"/>
    <s v="16/02/2025"/>
    <s v="Rohit Singh"/>
    <s v="Male"/>
    <s v="18/06/1998"/>
    <s v="Mumbai"/>
    <x v="2"/>
    <x v="0"/>
    <s v="Mixer"/>
    <n v="4"/>
    <n v="3500"/>
    <n v="0.2"/>
    <n v="11200"/>
    <n v="1"/>
    <s v="Card"/>
    <s v="Neha"/>
    <s v="rohit.singh@company.com"/>
    <n v="9741671507"/>
    <s v="Completed"/>
    <m/>
    <m/>
    <m/>
    <m/>
    <m/>
    <m/>
    <m/>
    <m/>
    <m/>
    <m/>
    <m/>
    <m/>
    <m/>
    <m/>
    <m/>
    <m/>
    <m/>
    <m/>
    <m/>
    <m/>
    <x v="188"/>
  </r>
  <r>
    <s v="ORD10238"/>
    <s v="C005"/>
    <s v="P303"/>
    <x v="99"/>
    <s v="04/03/2025"/>
    <s v="Vikas Mehta"/>
    <s v="Male"/>
    <s v="21/01/1983"/>
    <s v="Hyderabad"/>
    <x v="0"/>
    <x v="2"/>
    <s v="Marker"/>
    <n v="19"/>
    <n v="45"/>
    <n v="0.1"/>
    <n v="769.5"/>
    <n v="1"/>
    <s v="Cash"/>
    <s v="Neha"/>
    <s v="vikas.mehta@company.com"/>
    <n v="9367541035"/>
    <s v="Completed"/>
    <m/>
    <m/>
    <m/>
    <m/>
    <m/>
    <m/>
    <m/>
    <m/>
    <m/>
    <m/>
    <m/>
    <m/>
    <m/>
    <m/>
    <m/>
    <m/>
    <m/>
    <m/>
    <m/>
    <m/>
    <x v="99"/>
  </r>
  <r>
    <s v="ORD10239"/>
    <s v="C010"/>
    <s v="P303"/>
    <x v="190"/>
    <s v="06/02/2026"/>
    <s v="Pooja Shah"/>
    <s v="Female"/>
    <s v="03/03/1978"/>
    <s v="Pune"/>
    <x v="2"/>
    <x v="2"/>
    <s v="Marker"/>
    <n v="10"/>
    <n v="45"/>
    <n v="0"/>
    <n v="450"/>
    <n v="4"/>
    <s v="UPI"/>
    <s v="Aisha"/>
    <s v="pooja.shah@company.com"/>
    <n v="9323696971"/>
    <s v="Completed"/>
    <m/>
    <m/>
    <m/>
    <m/>
    <m/>
    <m/>
    <m/>
    <m/>
    <m/>
    <m/>
    <m/>
    <m/>
    <m/>
    <m/>
    <m/>
    <m/>
    <m/>
    <m/>
    <m/>
    <m/>
    <x v="189"/>
  </r>
  <r>
    <s v="ORD10240"/>
    <s v="C010"/>
    <s v="P303"/>
    <x v="191"/>
    <s v="17/01/2026"/>
    <s v="Pooja Shah"/>
    <s v="Female"/>
    <s v="24/06/1997"/>
    <s v="Hyderabad"/>
    <x v="0"/>
    <x v="2"/>
    <s v="Marker"/>
    <n v="16"/>
    <n v="45"/>
    <n v="0.15"/>
    <n v="612"/>
    <n v="3"/>
    <s v="Cash"/>
    <s v="Neha"/>
    <s v="pooja.shah@company.com"/>
    <n v="9786384529"/>
    <s v="Cancelled"/>
    <m/>
    <m/>
    <m/>
    <m/>
    <m/>
    <m/>
    <m/>
    <m/>
    <m/>
    <m/>
    <m/>
    <m/>
    <m/>
    <m/>
    <m/>
    <m/>
    <m/>
    <m/>
    <m/>
    <m/>
    <x v="190"/>
  </r>
  <r>
    <s v="ORD10241"/>
    <s v="C004"/>
    <s v="P203"/>
    <x v="9"/>
    <s v="27/03/2025"/>
    <s v="Anita Gupta"/>
    <s v="Female"/>
    <s v="25/08/1976"/>
    <s v="Pune"/>
    <x v="2"/>
    <x v="0"/>
    <s v="Microwave"/>
    <n v="16"/>
    <n v="8500"/>
    <n v="0.15"/>
    <n v="115600"/>
    <n v="4"/>
    <s v="NetBanking"/>
    <s v="Ritika"/>
    <s v="anita.gupta@company.com"/>
    <n v="9444900541"/>
    <s v="Cancelled"/>
    <m/>
    <m/>
    <m/>
    <m/>
    <m/>
    <m/>
    <m/>
    <m/>
    <m/>
    <m/>
    <m/>
    <m/>
    <m/>
    <m/>
    <m/>
    <m/>
    <m/>
    <m/>
    <m/>
    <m/>
    <x v="9"/>
  </r>
  <r>
    <s v="ORD10242"/>
    <s v="C004"/>
    <s v="P302"/>
    <x v="62"/>
    <s v="12/09/2025"/>
    <s v="Anita Gupta"/>
    <s v="Female"/>
    <s v="04/04/1996"/>
    <s v="Kolkata"/>
    <x v="3"/>
    <x v="2"/>
    <s v="Pen"/>
    <n v="15"/>
    <n v="20"/>
    <n v="0.2"/>
    <n v="240"/>
    <n v="3"/>
    <s v="NetBanking"/>
    <s v="Rahul"/>
    <s v="anita.gupta@company.com"/>
    <n v="9108024911"/>
    <s v="Cancelled"/>
    <m/>
    <m/>
    <m/>
    <m/>
    <m/>
    <m/>
    <m/>
    <m/>
    <m/>
    <m/>
    <m/>
    <m/>
    <m/>
    <m/>
    <m/>
    <m/>
    <m/>
    <m/>
    <m/>
    <m/>
    <x v="62"/>
  </r>
  <r>
    <s v="ORD10243"/>
    <s v="C007"/>
    <s v="P301"/>
    <x v="61"/>
    <s v="13/01/2026"/>
    <s v="Arjun Rao"/>
    <s v="Male"/>
    <s v="09/10/2001"/>
    <s v="Bengaluru"/>
    <x v="0"/>
    <x v="2"/>
    <s v="Notebook"/>
    <n v="14"/>
    <n v="60"/>
    <n v="0.05"/>
    <n v="798"/>
    <n v="4"/>
    <s v="Cash"/>
    <s v="Rahul"/>
    <s v="arjun.rao@company.com"/>
    <n v="9897181325"/>
    <s v="Completed"/>
    <m/>
    <m/>
    <m/>
    <m/>
    <m/>
    <m/>
    <m/>
    <m/>
    <m/>
    <m/>
    <m/>
    <m/>
    <m/>
    <m/>
    <m/>
    <m/>
    <m/>
    <m/>
    <m/>
    <m/>
    <x v="61"/>
  </r>
  <r>
    <s v="ORD10244"/>
    <s v="C010"/>
    <s v="P103"/>
    <x v="192"/>
    <s v="19/05/2026"/>
    <s v="Pooja Shah"/>
    <s v="Female"/>
    <s v="11/04/1995"/>
    <s v="Mumbai"/>
    <x v="2"/>
    <x v="1"/>
    <s v="Keyboard"/>
    <n v="19"/>
    <n v="1200"/>
    <n v="0.2"/>
    <n v="18240"/>
    <n v="2"/>
    <s v="Cash"/>
    <s v="Neha"/>
    <s v="pooja.shah@company.com"/>
    <n v="9554719621"/>
    <s v="Cancelled"/>
    <m/>
    <m/>
    <m/>
    <m/>
    <m/>
    <m/>
    <m/>
    <m/>
    <m/>
    <m/>
    <m/>
    <m/>
    <m/>
    <m/>
    <m/>
    <m/>
    <m/>
    <m/>
    <m/>
    <m/>
    <x v="191"/>
  </r>
  <r>
    <s v="ORD10245"/>
    <s v="C008"/>
    <s v="P303"/>
    <x v="44"/>
    <s v="14/10/2025"/>
    <s v="Kavya Nair"/>
    <s v="Female"/>
    <s v="04/05/2000"/>
    <s v="Bengaluru"/>
    <x v="0"/>
    <x v="2"/>
    <s v="Marker"/>
    <n v="5"/>
    <n v="45"/>
    <n v="0.15"/>
    <n v="191.25"/>
    <n v="2"/>
    <s v="Cash"/>
    <s v="Aisha"/>
    <s v="kavya.nair@company.com"/>
    <n v="9815899217"/>
    <s v="Cancelled"/>
    <m/>
    <m/>
    <m/>
    <m/>
    <m/>
    <m/>
    <m/>
    <m/>
    <m/>
    <m/>
    <m/>
    <m/>
    <m/>
    <m/>
    <m/>
    <m/>
    <m/>
    <m/>
    <m/>
    <m/>
    <x v="44"/>
  </r>
  <r>
    <s v="ORD10246"/>
    <s v="C001"/>
    <s v="P102"/>
    <x v="193"/>
    <s v="01/06/2025"/>
    <s v="Amit Sharma"/>
    <s v="Male"/>
    <s v="01/03/2002"/>
    <s v="Hyderabad"/>
    <x v="0"/>
    <x v="1"/>
    <s v="Mouse"/>
    <n v="19"/>
    <n v="700"/>
    <n v="0.05"/>
    <n v="12635"/>
    <n v="5"/>
    <s v="UPI"/>
    <s v="Karan"/>
    <s v="amit.sharma@company.com"/>
    <n v="9308497039"/>
    <s v="Completed"/>
    <m/>
    <m/>
    <m/>
    <m/>
    <m/>
    <m/>
    <m/>
    <m/>
    <m/>
    <m/>
    <m/>
    <m/>
    <m/>
    <m/>
    <m/>
    <m/>
    <m/>
    <m/>
    <m/>
    <m/>
    <x v="192"/>
  </r>
  <r>
    <s v="ORD10247"/>
    <s v="C003"/>
    <s v="P301"/>
    <x v="110"/>
    <s v="04/01/2026"/>
    <s v="Rohit Singh"/>
    <s v="Male"/>
    <s v="27/05/1975"/>
    <s v="Kolkata"/>
    <x v="3"/>
    <x v="2"/>
    <s v="Notebook"/>
    <n v="7"/>
    <n v="60"/>
    <n v="0"/>
    <n v="420"/>
    <n v="4"/>
    <s v="Cash"/>
    <s v="Neha"/>
    <s v="rohit.singh@company.com"/>
    <n v="9882054354"/>
    <s v="Pending"/>
    <m/>
    <m/>
    <m/>
    <m/>
    <m/>
    <m/>
    <m/>
    <m/>
    <m/>
    <m/>
    <m/>
    <m/>
    <m/>
    <m/>
    <m/>
    <m/>
    <m/>
    <m/>
    <m/>
    <m/>
    <x v="110"/>
  </r>
  <r>
    <s v="ORD10248"/>
    <s v="C009"/>
    <s v="P202"/>
    <x v="23"/>
    <s v="02/01/2026"/>
    <s v="Mohit Verma"/>
    <s v="Male"/>
    <s v="02/12/1988"/>
    <s v="Mumbai"/>
    <x v="2"/>
    <x v="0"/>
    <s v="Iron"/>
    <n v="13"/>
    <n v="2200"/>
    <n v="0.1"/>
    <n v="25740"/>
    <n v="1"/>
    <s v="Card"/>
    <s v="Karan"/>
    <s v="mohit.verma@company.com"/>
    <n v="9193016830"/>
    <s v="Completed"/>
    <m/>
    <m/>
    <m/>
    <m/>
    <m/>
    <m/>
    <m/>
    <m/>
    <m/>
    <m/>
    <m/>
    <m/>
    <m/>
    <m/>
    <m/>
    <m/>
    <m/>
    <m/>
    <m/>
    <m/>
    <x v="23"/>
  </r>
  <r>
    <s v="ORD10249"/>
    <s v="C009"/>
    <s v="P202"/>
    <x v="194"/>
    <s v="05/01/2026"/>
    <s v="Mohit Verma"/>
    <s v="Male"/>
    <s v="06/12/1984"/>
    <s v="Bengaluru"/>
    <x v="0"/>
    <x v="0"/>
    <s v="Iron"/>
    <n v="9"/>
    <n v="2200"/>
    <n v="0.1"/>
    <n v="17820"/>
    <n v="2"/>
    <s v="Crypto"/>
    <s v="Aisha"/>
    <s v="mohit.verma@company.com"/>
    <n v="9921470418"/>
    <s v="Cancelled"/>
    <m/>
    <m/>
    <m/>
    <m/>
    <m/>
    <m/>
    <m/>
    <m/>
    <m/>
    <m/>
    <m/>
    <m/>
    <m/>
    <m/>
    <m/>
    <m/>
    <m/>
    <m/>
    <m/>
    <m/>
    <x v="193"/>
  </r>
  <r>
    <s v="ORD10250"/>
    <s v="C001"/>
    <s v="P203"/>
    <x v="152"/>
    <s v="17/05/2025"/>
    <s v="Amit Sharma"/>
    <s v="Male"/>
    <s v="01/05/1990"/>
    <s v="Bengaluru"/>
    <x v="0"/>
    <x v="0"/>
    <s v="Microwave"/>
    <n v="6"/>
    <n v="8500"/>
    <n v="0.15"/>
    <n v="43350"/>
    <n v="2"/>
    <s v="Cash"/>
    <s v="Karan"/>
    <s v="amit.sharma@company.com"/>
    <n v="9686979026"/>
    <s v="Cancelled"/>
    <m/>
    <m/>
    <m/>
    <m/>
    <m/>
    <m/>
    <m/>
    <m/>
    <m/>
    <m/>
    <m/>
    <m/>
    <m/>
    <m/>
    <m/>
    <m/>
    <m/>
    <m/>
    <m/>
    <m/>
    <x v="152"/>
  </r>
  <r>
    <s v="ORD10251"/>
    <s v="C005"/>
    <s v="P202"/>
    <x v="117"/>
    <s v="25/02/2026"/>
    <s v="Vikas Mehta"/>
    <s v="Male"/>
    <s v="09/02/1988"/>
    <s v="Delhi"/>
    <x v="1"/>
    <x v="0"/>
    <s v="Iron"/>
    <n v="9"/>
    <n v="2200"/>
    <n v="0.1"/>
    <n v="17820"/>
    <n v="3"/>
    <s v="Card"/>
    <s v="Ritika"/>
    <s v="vikas.mehta@company.com"/>
    <n v="9569007422"/>
    <s v="Pending"/>
    <m/>
    <m/>
    <m/>
    <m/>
    <m/>
    <m/>
    <m/>
    <m/>
    <m/>
    <m/>
    <m/>
    <m/>
    <m/>
    <m/>
    <m/>
    <m/>
    <m/>
    <m/>
    <m/>
    <m/>
    <x v="117"/>
  </r>
  <r>
    <s v="ORD10252"/>
    <s v="C008"/>
    <s v="P203"/>
    <x v="195"/>
    <s v="26/03/2025"/>
    <s v="Kavya Nair"/>
    <s v="Female"/>
    <s v="28/03/1982"/>
    <s v="Kolkata"/>
    <x v="3"/>
    <x v="0"/>
    <s v="Microwave"/>
    <n v="16"/>
    <n v="8500"/>
    <n v="0"/>
    <n v="136000"/>
    <n v="5"/>
    <s v="UPI"/>
    <s v="Neha"/>
    <s v="kavya.nair@company.com"/>
    <n v="9180820441"/>
    <s v="Cancelled"/>
    <m/>
    <m/>
    <m/>
    <m/>
    <m/>
    <m/>
    <m/>
    <m/>
    <m/>
    <m/>
    <m/>
    <m/>
    <m/>
    <m/>
    <m/>
    <m/>
    <m/>
    <m/>
    <m/>
    <m/>
    <x v="194"/>
  </r>
  <r>
    <s v="ORD10253"/>
    <s v="C001"/>
    <s v="P103"/>
    <x v="196"/>
    <s v="16/12/2025"/>
    <s v="Amit Sharma"/>
    <s v="Male"/>
    <s v="28/12/1976"/>
    <s v="Delhi"/>
    <x v="1"/>
    <x v="1"/>
    <s v="Keyboard"/>
    <n v="10"/>
    <n v="1200"/>
    <n v="0.15"/>
    <n v="10200"/>
    <n v="5"/>
    <s v="Cash"/>
    <s v="Rahul"/>
    <s v="amit.sharma@company.com"/>
    <n v="9769075826"/>
    <s v="Completed"/>
    <m/>
    <m/>
    <m/>
    <m/>
    <m/>
    <m/>
    <m/>
    <m/>
    <m/>
    <m/>
    <m/>
    <m/>
    <m/>
    <m/>
    <m/>
    <m/>
    <m/>
    <m/>
    <m/>
    <m/>
    <x v="195"/>
  </r>
  <r>
    <s v="ORD10254"/>
    <s v="C003"/>
    <s v="P104"/>
    <x v="56"/>
    <s v="15/03/2025"/>
    <s v="Rohit Singh"/>
    <s v="Male"/>
    <s v="03/08/2003"/>
    <s v="Kolkata"/>
    <x v="3"/>
    <x v="1"/>
    <s v="Monitor"/>
    <n v="7"/>
    <n v="12000"/>
    <n v="0"/>
    <n v="84000"/>
    <n v="1"/>
    <s v="UPI"/>
    <s v="Karan"/>
    <s v="rohit.singh@company.com"/>
    <n v="9467916296"/>
    <s v="Pending"/>
    <m/>
    <m/>
    <m/>
    <m/>
    <m/>
    <m/>
    <m/>
    <m/>
    <m/>
    <m/>
    <m/>
    <m/>
    <m/>
    <m/>
    <m/>
    <m/>
    <m/>
    <m/>
    <m/>
    <m/>
    <x v="56"/>
  </r>
  <r>
    <s v="ORD10255"/>
    <s v="C005"/>
    <s v="P104"/>
    <x v="10"/>
    <s v="01/10/2025"/>
    <s v="Vikas Mehta"/>
    <s v="Male"/>
    <s v="06/05/1986"/>
    <s v="Pune"/>
    <x v="2"/>
    <x v="1"/>
    <s v="Monitor"/>
    <n v="3"/>
    <n v="12000"/>
    <n v="0.1"/>
    <n v="32400"/>
    <n v="4"/>
    <s v="Card"/>
    <s v="Karan"/>
    <s v="vikas.mehta@company.com"/>
    <n v="9477052923"/>
    <s v="Completed"/>
    <m/>
    <m/>
    <m/>
    <m/>
    <m/>
    <m/>
    <m/>
    <m/>
    <m/>
    <m/>
    <m/>
    <m/>
    <m/>
    <m/>
    <m/>
    <m/>
    <m/>
    <m/>
    <m/>
    <m/>
    <x v="10"/>
  </r>
  <r>
    <s v="ORD10256"/>
    <s v="C005"/>
    <s v="P104"/>
    <x v="197"/>
    <s v="09/11/2025"/>
    <s v="Vikas Mehta"/>
    <s v="Male"/>
    <s v="04/02/1989"/>
    <s v="Hyderabad"/>
    <x v="0"/>
    <x v="1"/>
    <s v="Monitor"/>
    <n v="4"/>
    <n v="12000"/>
    <n v="0.15"/>
    <n v="40800"/>
    <n v="3"/>
    <s v="Card"/>
    <s v="Ritika"/>
    <s v="vikas.mehta@company.com"/>
    <n v="9184311420"/>
    <s v="Pending"/>
    <m/>
    <m/>
    <m/>
    <m/>
    <m/>
    <m/>
    <m/>
    <m/>
    <m/>
    <m/>
    <m/>
    <m/>
    <m/>
    <m/>
    <m/>
    <m/>
    <m/>
    <m/>
    <m/>
    <m/>
    <x v="196"/>
  </r>
  <r>
    <s v="ORD10257"/>
    <s v="C003"/>
    <s v="P104"/>
    <x v="30"/>
    <s v="18/06/2025"/>
    <s v="Rohit Singh"/>
    <s v="Male"/>
    <s v="08/02/1980"/>
    <s v="Hyderabad"/>
    <x v="0"/>
    <x v="1"/>
    <s v="Monitor"/>
    <n v="13"/>
    <n v="12000"/>
    <n v="0.1"/>
    <n v="140400"/>
    <n v="2"/>
    <s v="Cash"/>
    <s v="Karan"/>
    <s v="rohit.singh@company.com"/>
    <n v="9630913127"/>
    <s v="Cancelled"/>
    <m/>
    <m/>
    <m/>
    <m/>
    <m/>
    <m/>
    <m/>
    <m/>
    <m/>
    <m/>
    <m/>
    <m/>
    <m/>
    <m/>
    <m/>
    <m/>
    <m/>
    <m/>
    <m/>
    <m/>
    <x v="30"/>
  </r>
  <r>
    <s v="ORD10258"/>
    <s v="C008"/>
    <s v="P201"/>
    <x v="40"/>
    <s v="11/06/2025"/>
    <s v="Kavya Nair"/>
    <s v="Female"/>
    <s v="13/01/1985"/>
    <s v="Bengaluru"/>
    <x v="0"/>
    <x v="0"/>
    <s v="Mixer"/>
    <n v="19"/>
    <n v="3500"/>
    <n v="0.2"/>
    <n v="53200"/>
    <n v="1"/>
    <s v="Cash"/>
    <s v="Aisha"/>
    <s v="kavya.nair@company.com"/>
    <n v="9997515828"/>
    <s v="Cancelled"/>
    <m/>
    <m/>
    <m/>
    <m/>
    <m/>
    <m/>
    <m/>
    <m/>
    <m/>
    <m/>
    <m/>
    <m/>
    <m/>
    <m/>
    <m/>
    <m/>
    <m/>
    <m/>
    <m/>
    <m/>
    <x v="40"/>
  </r>
  <r>
    <s v="ORD10259"/>
    <s v="C008"/>
    <s v="P202"/>
    <x v="149"/>
    <s v="12/02/2025"/>
    <s v="Kavya Nair"/>
    <s v="Female"/>
    <s v="24/07/1979"/>
    <s v="Mumbai"/>
    <x v="2"/>
    <x v="0"/>
    <s v="Iron"/>
    <n v="7"/>
    <n v="2200"/>
    <n v="0.05"/>
    <n v="14630"/>
    <n v="3"/>
    <s v="UPI"/>
    <s v="Aisha"/>
    <s v="kavya.nair@company.com"/>
    <n v="9394291182"/>
    <s v="Cancelled"/>
    <m/>
    <m/>
    <m/>
    <m/>
    <m/>
    <m/>
    <m/>
    <m/>
    <m/>
    <m/>
    <m/>
    <m/>
    <m/>
    <m/>
    <m/>
    <m/>
    <m/>
    <m/>
    <m/>
    <m/>
    <x v="149"/>
  </r>
  <r>
    <s v="ORD10260"/>
    <s v="C007"/>
    <s v="P102"/>
    <x v="198"/>
    <s v="13/05/2026"/>
    <s v="Arjun Rao"/>
    <s v="Male"/>
    <s v="03/08/1993"/>
    <s v="Jaipur"/>
    <x v="1"/>
    <x v="1"/>
    <s v="Mouse"/>
    <n v="18"/>
    <n v="700"/>
    <n v="0.05"/>
    <n v="11970"/>
    <n v="2"/>
    <s v="UPI"/>
    <s v="Aisha"/>
    <s v="arjun.rao@company.com"/>
    <n v="9616853220"/>
    <s v="Cancelled"/>
    <m/>
    <m/>
    <m/>
    <m/>
    <m/>
    <m/>
    <m/>
    <m/>
    <m/>
    <m/>
    <m/>
    <m/>
    <m/>
    <m/>
    <m/>
    <m/>
    <m/>
    <m/>
    <m/>
    <m/>
    <x v="197"/>
  </r>
  <r>
    <s v="ORD10261"/>
    <s v="C008"/>
    <s v="P302"/>
    <x v="179"/>
    <s v="30/07/2025"/>
    <s v="Kavya Nair"/>
    <s v="Female"/>
    <s v="23/08/1975"/>
    <s v="Kolkata"/>
    <x v="3"/>
    <x v="2"/>
    <s v="Pen"/>
    <n v="11"/>
    <n v="20"/>
    <n v="0"/>
    <n v="220"/>
    <n v="2"/>
    <s v="NetBanking"/>
    <s v="Neha"/>
    <s v="kavya.nair@company.com"/>
    <n v="9147552626"/>
    <s v="Cancelled"/>
    <m/>
    <m/>
    <m/>
    <m/>
    <m/>
    <m/>
    <m/>
    <m/>
    <m/>
    <m/>
    <m/>
    <m/>
    <m/>
    <m/>
    <m/>
    <m/>
    <m/>
    <m/>
    <m/>
    <m/>
    <x v="178"/>
  </r>
  <r>
    <s v="ORD10262"/>
    <s v="C001"/>
    <s v="P104"/>
    <x v="172"/>
    <s v="07/03/2025"/>
    <s v="Amit Sharma"/>
    <s v="Male"/>
    <s v="23/04/1978"/>
    <s v="Pune"/>
    <x v="2"/>
    <x v="1"/>
    <s v="Monitor"/>
    <n v="17"/>
    <n v="12000"/>
    <n v="0.2"/>
    <n v="163200"/>
    <n v="4"/>
    <s v="UPI"/>
    <s v="Karan"/>
    <s v="amit.sharma@company.com"/>
    <n v="9724197033"/>
    <s v="Completed"/>
    <m/>
    <m/>
    <m/>
    <m/>
    <m/>
    <m/>
    <m/>
    <m/>
    <m/>
    <m/>
    <m/>
    <m/>
    <m/>
    <m/>
    <m/>
    <m/>
    <m/>
    <m/>
    <m/>
    <m/>
    <x v="6"/>
  </r>
  <r>
    <s v="ORD10263"/>
    <s v="C006"/>
    <s v="P202"/>
    <x v="199"/>
    <s v="13/07/2025"/>
    <s v="Sneha Joshi"/>
    <s v="Female"/>
    <s v="25/09/2003"/>
    <s v="Kolkata"/>
    <x v="3"/>
    <x v="0"/>
    <s v="Iron"/>
    <n v="4"/>
    <n v="2200"/>
    <n v="0.05"/>
    <n v="8360"/>
    <n v="2"/>
    <s v="Cash"/>
    <s v="Ritika"/>
    <s v="sneha.joshi@company.com"/>
    <n v="9130666128"/>
    <s v="Completed"/>
    <m/>
    <m/>
    <m/>
    <m/>
    <m/>
    <m/>
    <m/>
    <m/>
    <m/>
    <m/>
    <m/>
    <m/>
    <m/>
    <m/>
    <m/>
    <m/>
    <m/>
    <m/>
    <m/>
    <m/>
    <x v="198"/>
  </r>
  <r>
    <s v="ORD10264"/>
    <s v="C008"/>
    <s v="P101"/>
    <x v="200"/>
    <s v="19/12/2025"/>
    <s v="Kavya Nair"/>
    <s v="Female"/>
    <s v="09/04/2002"/>
    <s v="Ahmedabad"/>
    <x v="2"/>
    <x v="1"/>
    <s v="Laptop"/>
    <n v="6"/>
    <n v="55000"/>
    <n v="0.2"/>
    <n v="264000"/>
    <n v="2"/>
    <s v="UPI"/>
    <s v="Karan"/>
    <s v="kavya.nair@company.com"/>
    <n v="9866567601"/>
    <s v="Cancelled"/>
    <m/>
    <m/>
    <m/>
    <m/>
    <m/>
    <m/>
    <m/>
    <m/>
    <m/>
    <m/>
    <m/>
    <m/>
    <m/>
    <m/>
    <m/>
    <m/>
    <m/>
    <m/>
    <m/>
    <m/>
    <x v="199"/>
  </r>
  <r>
    <s v="ORD10265"/>
    <s v="C009"/>
    <s v="P203"/>
    <x v="5"/>
    <s v="14/01/2026"/>
    <s v="Mohit Verma"/>
    <s v="Male"/>
    <s v="24/09/1985"/>
    <s v="Delhi"/>
    <x v="1"/>
    <x v="0"/>
    <s v="Microwave"/>
    <n v="6"/>
    <n v="8500"/>
    <n v="0.1"/>
    <n v="45900"/>
    <n v="5"/>
    <s v="UPI"/>
    <s v="Aisha"/>
    <s v="mohit.verma@company.com"/>
    <n v="9477282450"/>
    <s v="Completed"/>
    <m/>
    <m/>
    <m/>
    <m/>
    <m/>
    <m/>
    <m/>
    <m/>
    <m/>
    <m/>
    <m/>
    <m/>
    <m/>
    <m/>
    <m/>
    <m/>
    <m/>
    <m/>
    <m/>
    <m/>
    <x v="5"/>
  </r>
  <r>
    <s v="ORD10266"/>
    <s v="C008"/>
    <s v="P302"/>
    <x v="85"/>
    <s v="25/08/2025"/>
    <s v="Kavya Nair"/>
    <s v="Female"/>
    <s v="12/12/1984"/>
    <s v="Jaipur"/>
    <x v="1"/>
    <x v="2"/>
    <s v="Pen"/>
    <n v="6"/>
    <n v="20"/>
    <n v="0.15"/>
    <n v="102"/>
    <n v="2"/>
    <s v="UPI"/>
    <s v="Rahul"/>
    <s v="kavya.nair@company.com"/>
    <n v="9857621478"/>
    <s v="Cancelled"/>
    <m/>
    <m/>
    <m/>
    <m/>
    <m/>
    <m/>
    <m/>
    <m/>
    <m/>
    <m/>
    <m/>
    <m/>
    <m/>
    <m/>
    <m/>
    <m/>
    <m/>
    <m/>
    <m/>
    <m/>
    <x v="85"/>
  </r>
  <r>
    <s v="ORD10267"/>
    <s v="C010"/>
    <s v="P301"/>
    <x v="201"/>
    <s v="11/05/2025"/>
    <s v="Pooja Shah"/>
    <s v="Female"/>
    <s v="20/07/1984"/>
    <s v="Mumbai"/>
    <x v="2"/>
    <x v="2"/>
    <s v="Notebook"/>
    <n v="6"/>
    <n v="60"/>
    <n v="0.05"/>
    <n v="342"/>
    <n v="1"/>
    <s v="NetBanking"/>
    <s v="Aisha"/>
    <s v="pooja.shah@company.com"/>
    <n v="9753869055"/>
    <s v="Completed"/>
    <m/>
    <m/>
    <m/>
    <m/>
    <m/>
    <m/>
    <m/>
    <m/>
    <m/>
    <m/>
    <m/>
    <m/>
    <m/>
    <m/>
    <m/>
    <m/>
    <m/>
    <m/>
    <m/>
    <m/>
    <x v="200"/>
  </r>
  <r>
    <s v="ORD10268"/>
    <s v="C003"/>
    <s v="P203"/>
    <x v="202"/>
    <s v="12/01/2025"/>
    <s v="Rohit Singh"/>
    <s v="Male"/>
    <s v="15/03/1988"/>
    <s v="Hyderabad"/>
    <x v="0"/>
    <x v="0"/>
    <s v="Microwave"/>
    <n v="19"/>
    <n v="8500"/>
    <n v="0"/>
    <n v="161500"/>
    <n v="5"/>
    <s v="UPI"/>
    <s v="Karan"/>
    <s v="rohit.singh@company.com"/>
    <n v="9663266204"/>
    <s v="Completed"/>
    <m/>
    <m/>
    <m/>
    <m/>
    <m/>
    <m/>
    <m/>
    <m/>
    <m/>
    <m/>
    <m/>
    <m/>
    <m/>
    <m/>
    <m/>
    <m/>
    <m/>
    <m/>
    <m/>
    <m/>
    <x v="201"/>
  </r>
  <r>
    <s v="ORD10269"/>
    <s v="C006"/>
    <s v="P101"/>
    <x v="62"/>
    <s v="10/09/2025"/>
    <s v="Sneha Joshi"/>
    <s v="Female"/>
    <s v="27/05/1987"/>
    <s v="Jaipur"/>
    <x v="1"/>
    <x v="1"/>
    <s v="Laptop"/>
    <n v="8"/>
    <n v="55000"/>
    <n v="0"/>
    <n v="440000"/>
    <n v="3"/>
    <s v="Card"/>
    <s v="Neha"/>
    <s v="sneha.joshi@company.com"/>
    <n v="9675208616"/>
    <s v="Pending"/>
    <m/>
    <m/>
    <m/>
    <m/>
    <m/>
    <m/>
    <m/>
    <m/>
    <m/>
    <m/>
    <m/>
    <m/>
    <m/>
    <m/>
    <m/>
    <m/>
    <m/>
    <m/>
    <m/>
    <m/>
    <x v="62"/>
  </r>
  <r>
    <s v="ORD10270"/>
    <s v="C009"/>
    <s v="P104"/>
    <x v="178"/>
    <s v="07/05/2026"/>
    <s v="Mohit Verma"/>
    <s v="Male"/>
    <s v="25/10/1988"/>
    <s v="Kolkata"/>
    <x v="3"/>
    <x v="1"/>
    <s v="Monitor"/>
    <n v="18"/>
    <n v="12000"/>
    <n v="0.2"/>
    <n v="172800"/>
    <n v="5"/>
    <s v="UPI"/>
    <s v="Aisha"/>
    <s v="mohit.verma@company.com"/>
    <n v="9618393586"/>
    <s v="Cancelled"/>
    <m/>
    <m/>
    <m/>
    <m/>
    <m/>
    <m/>
    <m/>
    <m/>
    <m/>
    <m/>
    <m/>
    <m/>
    <m/>
    <m/>
    <m/>
    <m/>
    <m/>
    <m/>
    <m/>
    <m/>
    <x v="177"/>
  </r>
  <r>
    <s v="ORD10271"/>
    <s v="C003"/>
    <s v="P203"/>
    <x v="203"/>
    <s v="26/04/2025"/>
    <s v="Rohit Singh"/>
    <s v="Male"/>
    <s v="12/12/1990"/>
    <s v="Ahmedabad"/>
    <x v="2"/>
    <x v="0"/>
    <s v="Microwave"/>
    <n v="8"/>
    <n v="8500"/>
    <n v="0.05"/>
    <n v="64600"/>
    <n v="2"/>
    <s v="Card"/>
    <s v="Aisha"/>
    <s v="rohit.singh@company.com"/>
    <n v="9137027840"/>
    <s v="Cancelled"/>
    <m/>
    <m/>
    <m/>
    <m/>
    <m/>
    <m/>
    <m/>
    <m/>
    <m/>
    <m/>
    <m/>
    <m/>
    <m/>
    <m/>
    <m/>
    <m/>
    <m/>
    <m/>
    <m/>
    <m/>
    <x v="202"/>
  </r>
  <r>
    <s v="ORD10272"/>
    <s v="C008"/>
    <s v="P302"/>
    <x v="204"/>
    <s v="18/08/2025"/>
    <s v="Kavya Nair"/>
    <s v="Female"/>
    <s v="23/02/1981"/>
    <s v="Mumbai"/>
    <x v="2"/>
    <x v="2"/>
    <s v="Pen"/>
    <n v="13"/>
    <n v="20"/>
    <n v="0.05"/>
    <n v="247"/>
    <n v="3"/>
    <s v="NetBanking"/>
    <s v="Neha"/>
    <s v="kavya.nair@company.com"/>
    <n v="9362758134"/>
    <s v="Pending"/>
    <m/>
    <m/>
    <m/>
    <m/>
    <m/>
    <m/>
    <m/>
    <m/>
    <m/>
    <m/>
    <m/>
    <m/>
    <m/>
    <m/>
    <m/>
    <m/>
    <m/>
    <m/>
    <m/>
    <m/>
    <x v="203"/>
  </r>
  <r>
    <s v="ORD10273"/>
    <s v="C007"/>
    <s v="P301"/>
    <x v="118"/>
    <s v="16/04/2026"/>
    <s v="Arjun Rao"/>
    <s v="Male"/>
    <s v="03/04/1985"/>
    <s v="Jaipur"/>
    <x v="1"/>
    <x v="2"/>
    <s v="Notebook"/>
    <n v="1"/>
    <n v="60"/>
    <n v="0.15"/>
    <n v="51"/>
    <n v="2"/>
    <s v="Card"/>
    <s v="Aisha"/>
    <s v="arjun.rao@company.com"/>
    <n v="9648541985"/>
    <s v="Cancelled"/>
    <m/>
    <m/>
    <m/>
    <m/>
    <m/>
    <m/>
    <m/>
    <m/>
    <m/>
    <m/>
    <m/>
    <m/>
    <m/>
    <m/>
    <m/>
    <m/>
    <m/>
    <m/>
    <m/>
    <m/>
    <x v="118"/>
  </r>
  <r>
    <s v="ORD10274"/>
    <s v="C010"/>
    <s v="P302"/>
    <x v="205"/>
    <s v="28/06/2025"/>
    <s v="Pooja Shah"/>
    <s v="Female"/>
    <s v="06/08/1976"/>
    <s v="Pune"/>
    <x v="2"/>
    <x v="2"/>
    <s v="Pen"/>
    <n v="5"/>
    <n v="20"/>
    <n v="0.05"/>
    <n v="95"/>
    <n v="2"/>
    <s v="NetBanking"/>
    <s v="Rahul"/>
    <s v="pooja.shah@company.com"/>
    <n v="9175002781"/>
    <s v="Pending"/>
    <m/>
    <m/>
    <m/>
    <m/>
    <m/>
    <m/>
    <m/>
    <m/>
    <m/>
    <m/>
    <m/>
    <m/>
    <m/>
    <m/>
    <m/>
    <m/>
    <m/>
    <m/>
    <m/>
    <m/>
    <x v="204"/>
  </r>
  <r>
    <s v="ORD10275"/>
    <s v="C005"/>
    <s v="P302"/>
    <x v="206"/>
    <s v="24/05/2025"/>
    <s v="Vikas Mehta"/>
    <s v="Male"/>
    <s v="13/05/1978"/>
    <s v="Kolkata"/>
    <x v="3"/>
    <x v="2"/>
    <s v="Pen"/>
    <n v="19"/>
    <n v="20"/>
    <n v="0.2"/>
    <n v="304"/>
    <n v="3"/>
    <s v="Cash"/>
    <s v="Ritika"/>
    <s v="vikas.mehta@company.com"/>
    <n v="9786241263"/>
    <s v="Cancelled"/>
    <m/>
    <m/>
    <m/>
    <m/>
    <m/>
    <m/>
    <m/>
    <m/>
    <m/>
    <m/>
    <m/>
    <m/>
    <m/>
    <m/>
    <m/>
    <m/>
    <m/>
    <m/>
    <m/>
    <m/>
    <x v="205"/>
  </r>
  <r>
    <s v="ORD10276"/>
    <s v="C002"/>
    <s v="P303"/>
    <x v="207"/>
    <s v="07/04/2025"/>
    <s v="Priya Patel"/>
    <s v="Female"/>
    <s v="19/08/1998"/>
    <s v="Ahmedabad"/>
    <x v="2"/>
    <x v="2"/>
    <s v="Marker"/>
    <n v="17"/>
    <n v="45"/>
    <n v="0.05"/>
    <n v="726.75"/>
    <n v="4"/>
    <s v="Cash"/>
    <s v="Neha"/>
    <s v="priya.patel@company.com"/>
    <n v="9691078176"/>
    <s v="Pending"/>
    <m/>
    <m/>
    <m/>
    <m/>
    <m/>
    <m/>
    <m/>
    <m/>
    <m/>
    <m/>
    <m/>
    <m/>
    <m/>
    <m/>
    <m/>
    <m/>
    <m/>
    <m/>
    <m/>
    <m/>
    <x v="206"/>
  </r>
  <r>
    <s v="ORD10277"/>
    <s v="C007"/>
    <s v="P102"/>
    <x v="208"/>
    <s v="22/02/2026"/>
    <s v="Arjun Rao"/>
    <s v="Male"/>
    <s v="20/10/1975"/>
    <s v="Bengaluru"/>
    <x v="0"/>
    <x v="1"/>
    <s v="Mouse"/>
    <n v="8"/>
    <n v="700"/>
    <n v="0.15"/>
    <n v="4760"/>
    <n v="4"/>
    <s v="NetBanking"/>
    <s v="Ritika"/>
    <s v="arjun.rao@company.com"/>
    <n v="9336679085"/>
    <s v="Pending"/>
    <m/>
    <m/>
    <m/>
    <m/>
    <m/>
    <m/>
    <m/>
    <m/>
    <m/>
    <m/>
    <m/>
    <m/>
    <m/>
    <m/>
    <m/>
    <m/>
    <m/>
    <m/>
    <m/>
    <m/>
    <x v="207"/>
  </r>
  <r>
    <s v="ORD10278"/>
    <s v="C004"/>
    <s v="P202"/>
    <x v="209"/>
    <s v="29/01/2026"/>
    <s v="Anita Gupta"/>
    <s v="Female"/>
    <s v="28/09/1975"/>
    <s v="Mumbai"/>
    <x v="2"/>
    <x v="0"/>
    <s v="Iron"/>
    <n v="15"/>
    <n v="2200"/>
    <n v="0.1"/>
    <n v="29700"/>
    <n v="5"/>
    <s v="UPI"/>
    <s v="Karan"/>
    <s v="anita.gupta@company.com"/>
    <n v="9497351043"/>
    <s v="Completed"/>
    <m/>
    <m/>
    <m/>
    <m/>
    <m/>
    <m/>
    <m/>
    <m/>
    <m/>
    <m/>
    <m/>
    <m/>
    <m/>
    <m/>
    <m/>
    <m/>
    <m/>
    <m/>
    <m/>
    <m/>
    <x v="208"/>
  </r>
  <r>
    <s v="ORD10279"/>
    <s v="C002"/>
    <s v="P202"/>
    <x v="210"/>
    <s v="29/09/2025"/>
    <s v="Priya Patel"/>
    <s v="Female"/>
    <s v="23/09/2002"/>
    <s v="Mumbai"/>
    <x v="2"/>
    <x v="0"/>
    <s v="Iron"/>
    <n v="1"/>
    <n v="2200"/>
    <n v="0"/>
    <n v="2200"/>
    <n v="4"/>
    <s v="Cash"/>
    <s v="Rahul"/>
    <s v="priya.patel@company.com"/>
    <n v="9357038998"/>
    <s v="Cancelled"/>
    <m/>
    <m/>
    <m/>
    <m/>
    <m/>
    <m/>
    <m/>
    <m/>
    <m/>
    <m/>
    <m/>
    <m/>
    <m/>
    <m/>
    <m/>
    <m/>
    <m/>
    <m/>
    <m/>
    <m/>
    <x v="209"/>
  </r>
  <r>
    <s v="ORD10280"/>
    <s v="C006"/>
    <s v="P201"/>
    <x v="139"/>
    <s v="30/06/2025"/>
    <s v="Sneha Joshi"/>
    <s v="Female"/>
    <s v="17/06/1988"/>
    <s v="Ahmedabad"/>
    <x v="2"/>
    <x v="0"/>
    <s v="Mixer"/>
    <n v="10"/>
    <n v="3500"/>
    <n v="0.1"/>
    <n v="31500"/>
    <n v="4"/>
    <s v="NetBanking"/>
    <s v="Ritika"/>
    <s v="sneha.joshi@company.com"/>
    <n v="9986371291"/>
    <s v="Cancelled"/>
    <m/>
    <m/>
    <m/>
    <m/>
    <m/>
    <m/>
    <m/>
    <m/>
    <m/>
    <m/>
    <m/>
    <m/>
    <m/>
    <m/>
    <m/>
    <m/>
    <m/>
    <m/>
    <m/>
    <m/>
    <x v="139"/>
  </r>
  <r>
    <s v="ORD10281"/>
    <s v="C009"/>
    <s v="P201"/>
    <x v="211"/>
    <s v="16/05/2025"/>
    <s v="Mohit Verma"/>
    <s v="Male"/>
    <s v="02/02/1991"/>
    <s v="Jaipur"/>
    <x v="1"/>
    <x v="0"/>
    <s v="Mixer"/>
    <n v="16"/>
    <n v="3500"/>
    <n v="0.15"/>
    <n v="47600"/>
    <n v="1"/>
    <s v="Card"/>
    <s v="Neha"/>
    <s v="mohit.verma@company.com"/>
    <n v="9397839191"/>
    <s v="Pending"/>
    <m/>
    <m/>
    <m/>
    <m/>
    <m/>
    <m/>
    <m/>
    <m/>
    <m/>
    <m/>
    <m/>
    <m/>
    <m/>
    <m/>
    <m/>
    <m/>
    <m/>
    <m/>
    <m/>
    <m/>
    <x v="210"/>
  </r>
  <r>
    <s v="ORD10282"/>
    <s v="C006"/>
    <s v="P104"/>
    <x v="212"/>
    <s v="18/09/2025"/>
    <s v="Sneha Joshi"/>
    <s v="Female"/>
    <s v="09/08/1978"/>
    <s v="Jaipur"/>
    <x v="1"/>
    <x v="1"/>
    <s v="Monitor"/>
    <n v="1"/>
    <n v="12000"/>
    <n v="0"/>
    <n v="12000"/>
    <n v="4"/>
    <s v="NetBanking"/>
    <s v="Neha"/>
    <s v="sneha.joshi@company.com"/>
    <n v="9162975843"/>
    <s v="Cancelled"/>
    <m/>
    <m/>
    <m/>
    <m/>
    <m/>
    <m/>
    <m/>
    <m/>
    <m/>
    <m/>
    <m/>
    <m/>
    <m/>
    <m/>
    <m/>
    <m/>
    <m/>
    <m/>
    <m/>
    <m/>
    <x v="211"/>
  </r>
  <r>
    <s v="ORD10283"/>
    <s v="C007"/>
    <s v="P102"/>
    <x v="213"/>
    <s v="29/04/2025"/>
    <s v="Arjun Rao"/>
    <s v="Male"/>
    <s v="02/02/1994"/>
    <s v="Mumbai"/>
    <x v="2"/>
    <x v="1"/>
    <s v="Mouse"/>
    <n v="6"/>
    <n v="700"/>
    <n v="0.2"/>
    <n v="3360"/>
    <n v="2"/>
    <s v="NetBanking"/>
    <s v="Neha"/>
    <s v="arjun.rao@company.com"/>
    <n v="9237616558"/>
    <s v="Pending"/>
    <m/>
    <m/>
    <m/>
    <m/>
    <m/>
    <m/>
    <m/>
    <m/>
    <m/>
    <m/>
    <m/>
    <m/>
    <m/>
    <m/>
    <m/>
    <m/>
    <m/>
    <m/>
    <m/>
    <m/>
    <x v="212"/>
  </r>
  <r>
    <s v="ORD10284"/>
    <s v="C009"/>
    <s v="P202"/>
    <x v="214"/>
    <s v="27/02/2026"/>
    <s v="Mohit Verma"/>
    <s v="Male"/>
    <s v="28/03/1995"/>
    <s v="Ahmedabad"/>
    <x v="2"/>
    <x v="0"/>
    <s v="Iron"/>
    <n v="3"/>
    <n v="2200"/>
    <n v="0"/>
    <n v="6600"/>
    <n v="4"/>
    <s v="Card"/>
    <s v="Ritika"/>
    <s v="mohit.verma@company.com"/>
    <n v="9935063989"/>
    <s v="Completed"/>
    <m/>
    <m/>
    <m/>
    <m/>
    <m/>
    <m/>
    <m/>
    <m/>
    <m/>
    <m/>
    <m/>
    <m/>
    <m/>
    <m/>
    <m/>
    <m/>
    <m/>
    <m/>
    <m/>
    <m/>
    <x v="213"/>
  </r>
  <r>
    <s v="ORD10285"/>
    <s v="C006"/>
    <s v="P303"/>
    <x v="194"/>
    <s v="01/01/2026"/>
    <s v="Sneha Joshi"/>
    <s v="Female"/>
    <s v="12/03/1992"/>
    <s v="Hyderabad"/>
    <x v="0"/>
    <x v="2"/>
    <s v="Marker"/>
    <n v="6"/>
    <n v="45"/>
    <n v="0.15"/>
    <n v="229.5"/>
    <n v="1"/>
    <s v="UPI"/>
    <s v="Rahul"/>
    <s v="sneha.joshi@company.com"/>
    <n v="9167376169"/>
    <s v="Completed"/>
    <m/>
    <m/>
    <m/>
    <m/>
    <m/>
    <m/>
    <m/>
    <m/>
    <m/>
    <m/>
    <m/>
    <m/>
    <m/>
    <m/>
    <m/>
    <m/>
    <m/>
    <m/>
    <m/>
    <m/>
    <x v="193"/>
  </r>
  <r>
    <s v="ORD10286"/>
    <s v="C006"/>
    <s v="P103"/>
    <x v="215"/>
    <s v="30/09/2025"/>
    <s v="Sneha Joshi"/>
    <s v="Female"/>
    <s v="23/01/1981"/>
    <s v="Bengaluru"/>
    <x v="0"/>
    <x v="1"/>
    <s v="Keyboard"/>
    <n v="2"/>
    <n v="1200"/>
    <n v="0"/>
    <n v="2400"/>
    <n v="1"/>
    <s v="Cash"/>
    <s v="Karan"/>
    <s v="sneha.joshi@company.com"/>
    <n v="9231845497"/>
    <s v="Cancelled"/>
    <m/>
    <m/>
    <m/>
    <m/>
    <m/>
    <m/>
    <m/>
    <m/>
    <m/>
    <m/>
    <m/>
    <m/>
    <m/>
    <m/>
    <m/>
    <m/>
    <m/>
    <m/>
    <m/>
    <m/>
    <x v="214"/>
  </r>
  <r>
    <s v="ORD10287"/>
    <s v="C004"/>
    <s v="P102"/>
    <x v="216"/>
    <s v="11/05/2026"/>
    <s v="Anita Gupta"/>
    <s v="Female"/>
    <s v="28/09/1984"/>
    <s v="Hyderabad"/>
    <x v="0"/>
    <x v="1"/>
    <s v="Mouse"/>
    <n v="14"/>
    <n v="700"/>
    <n v="0.15"/>
    <n v="8330"/>
    <n v="5"/>
    <s v="Cash"/>
    <s v="Neha"/>
    <s v="anita.gupta@company.com"/>
    <n v="9409415805"/>
    <s v="Pending"/>
    <m/>
    <m/>
    <m/>
    <m/>
    <m/>
    <m/>
    <m/>
    <m/>
    <m/>
    <m/>
    <m/>
    <m/>
    <m/>
    <m/>
    <m/>
    <m/>
    <m/>
    <m/>
    <m/>
    <m/>
    <x v="215"/>
  </r>
  <r>
    <s v="ORD10288"/>
    <s v="C002"/>
    <s v="P302"/>
    <x v="35"/>
    <s v="06/11/2025"/>
    <s v="Priya Patel"/>
    <s v="Female"/>
    <s v="06/11/1975"/>
    <s v="Mumbai"/>
    <x v="2"/>
    <x v="2"/>
    <s v="Pen"/>
    <n v="13"/>
    <n v="20"/>
    <n v="0.05"/>
    <n v="247"/>
    <n v="1"/>
    <s v="Card"/>
    <s v="Ritika"/>
    <s v="priya.patecompany.com"/>
    <n v="9240800508"/>
    <s v="Pending"/>
    <m/>
    <m/>
    <m/>
    <m/>
    <m/>
    <m/>
    <m/>
    <m/>
    <m/>
    <m/>
    <m/>
    <m/>
    <m/>
    <m/>
    <m/>
    <m/>
    <m/>
    <m/>
    <m/>
    <m/>
    <x v="35"/>
  </r>
  <r>
    <s v="ORD10289"/>
    <s v="C009"/>
    <s v="P202"/>
    <x v="11"/>
    <s v="15/03/2025"/>
    <s v="Mohit Verma"/>
    <s v="Male"/>
    <s v="26/06/1995"/>
    <s v="Pune"/>
    <x v="2"/>
    <x v="0"/>
    <s v="Iron"/>
    <n v="3"/>
    <n v="2200"/>
    <n v="0"/>
    <n v="6600"/>
    <n v="4"/>
    <s v="NetBanking"/>
    <s v="Aisha"/>
    <s v="mohit.verma@company.com"/>
    <n v="9764609936"/>
    <s v="Cancelled"/>
    <m/>
    <m/>
    <m/>
    <m/>
    <m/>
    <m/>
    <m/>
    <m/>
    <m/>
    <m/>
    <m/>
    <m/>
    <m/>
    <m/>
    <m/>
    <m/>
    <m/>
    <m/>
    <m/>
    <m/>
    <x v="11"/>
  </r>
  <r>
    <s v="ORD10290"/>
    <s v="C009"/>
    <s v="P301"/>
    <x v="63"/>
    <s v="21/02/2026"/>
    <s v="Mohit Verma"/>
    <s v="Male"/>
    <s v="21/11/1979"/>
    <s v="Pune"/>
    <x v="2"/>
    <x v="2"/>
    <s v="Notebook"/>
    <n v="3"/>
    <n v="60"/>
    <n v="0.15"/>
    <n v="153"/>
    <n v="4"/>
    <s v="UPI"/>
    <s v="Neha"/>
    <s v="mohit.verma@company.com"/>
    <n v="9362733217"/>
    <s v="Completed"/>
    <m/>
    <m/>
    <m/>
    <m/>
    <m/>
    <m/>
    <m/>
    <m/>
    <m/>
    <m/>
    <m/>
    <m/>
    <m/>
    <m/>
    <m/>
    <m/>
    <m/>
    <m/>
    <m/>
    <m/>
    <x v="63"/>
  </r>
  <r>
    <s v="ORD10291"/>
    <s v="C003"/>
    <s v="P201"/>
    <x v="98"/>
    <s v="23/03/2025"/>
    <s v="Rohit Singh"/>
    <s v="Male"/>
    <s v="28/01/1987"/>
    <s v="Mumbai"/>
    <x v="2"/>
    <x v="0"/>
    <s v="Mixer"/>
    <n v="9"/>
    <n v="3500"/>
    <n v="0.05"/>
    <n v="29925"/>
    <n v="1"/>
    <s v="Cash"/>
    <s v="Aisha"/>
    <s v="rohit.singh@company.com"/>
    <n v="9270466205"/>
    <s v="Pending"/>
    <m/>
    <m/>
    <m/>
    <m/>
    <m/>
    <m/>
    <m/>
    <m/>
    <m/>
    <m/>
    <m/>
    <m/>
    <m/>
    <m/>
    <m/>
    <m/>
    <m/>
    <m/>
    <m/>
    <m/>
    <x v="98"/>
  </r>
  <r>
    <s v="ORD10292"/>
    <s v="C001"/>
    <s v="P103"/>
    <x v="217"/>
    <s v="01/04/2025"/>
    <s v="Amit Sharma"/>
    <s v="Male"/>
    <s v="08/02/2001"/>
    <s v="Jaipur"/>
    <x v="1"/>
    <x v="1"/>
    <s v="Keyboard"/>
    <n v="5"/>
    <n v="1200"/>
    <n v="0.2"/>
    <n v="4800"/>
    <n v="2"/>
    <s v="UPI"/>
    <s v="Neha"/>
    <s v="amit.sharma@company.com"/>
    <n v="9571436865"/>
    <s v="Pending"/>
    <m/>
    <m/>
    <m/>
    <m/>
    <m/>
    <m/>
    <m/>
    <m/>
    <m/>
    <m/>
    <m/>
    <m/>
    <m/>
    <m/>
    <m/>
    <m/>
    <m/>
    <m/>
    <m/>
    <m/>
    <x v="216"/>
  </r>
  <r>
    <s v="ORD10293"/>
    <s v="C010"/>
    <s v="P103"/>
    <x v="218"/>
    <s v="14/03/2025"/>
    <s v="Pooja Shah"/>
    <s v="Female"/>
    <s v="14/12/1989"/>
    <s v="Jaipur"/>
    <x v="1"/>
    <x v="1"/>
    <s v="Keyboard"/>
    <n v="10"/>
    <n v="1200"/>
    <n v="0.2"/>
    <n v="9600"/>
    <n v="4"/>
    <s v="Cash"/>
    <s v="Rahul"/>
    <s v="pooja.shah@company.com"/>
    <n v="9307011171"/>
    <s v="Completed"/>
    <m/>
    <m/>
    <m/>
    <m/>
    <m/>
    <m/>
    <m/>
    <m/>
    <m/>
    <m/>
    <m/>
    <m/>
    <m/>
    <m/>
    <m/>
    <m/>
    <m/>
    <m/>
    <m/>
    <m/>
    <x v="217"/>
  </r>
  <r>
    <s v="ORD10294"/>
    <s v="C008"/>
    <s v="P103"/>
    <x v="219"/>
    <s v="24/02/2026"/>
    <s v="Kavya Nair"/>
    <s v="Female"/>
    <s v="15/12/1988"/>
    <s v="Ahmedabad"/>
    <x v="2"/>
    <x v="1"/>
    <s v="Keyboard"/>
    <n v="5"/>
    <n v="1200"/>
    <n v="0.2"/>
    <n v="4800"/>
    <n v="3"/>
    <s v="NetBanking"/>
    <s v="Karan"/>
    <s v="kavya.nair@company.com"/>
    <n v="9922380435"/>
    <s v="Completed"/>
    <m/>
    <m/>
    <m/>
    <m/>
    <m/>
    <m/>
    <m/>
    <m/>
    <m/>
    <m/>
    <m/>
    <m/>
    <m/>
    <m/>
    <m/>
    <m/>
    <m/>
    <m/>
    <m/>
    <m/>
    <x v="218"/>
  </r>
  <r>
    <s v="ORD10295"/>
    <s v="C004"/>
    <s v="P302"/>
    <x v="220"/>
    <s v="14/02/2025"/>
    <s v="Anita Gupta"/>
    <s v="Female"/>
    <s v="20/10/1990"/>
    <s v="Mumbai"/>
    <x v="2"/>
    <x v="2"/>
    <s v="Pen"/>
    <n v="10"/>
    <n v="20"/>
    <n v="0.05"/>
    <n v="190"/>
    <n v="4"/>
    <s v="Cash"/>
    <s v="Karan"/>
    <s v="anita.gupta@company.com"/>
    <n v="9463618792"/>
    <s v="Pending"/>
    <m/>
    <m/>
    <m/>
    <m/>
    <m/>
    <m/>
    <m/>
    <m/>
    <m/>
    <m/>
    <m/>
    <m/>
    <m/>
    <m/>
    <m/>
    <m/>
    <m/>
    <m/>
    <m/>
    <m/>
    <x v="219"/>
  </r>
  <r>
    <s v="ORD10296"/>
    <s v="C002"/>
    <s v="P301"/>
    <x v="221"/>
    <s v="27/01/2025"/>
    <s v="Priya Patel"/>
    <s v="Female"/>
    <s v="08/09/1978"/>
    <s v="Delhi"/>
    <x v="1"/>
    <x v="2"/>
    <s v="Notebook"/>
    <n v="20"/>
    <n v="60"/>
    <n v="0.15"/>
    <n v="1020"/>
    <n v="5"/>
    <s v="Card"/>
    <s v="Ritika"/>
    <s v="priya.patel@company.com"/>
    <n v="9954973200"/>
    <s v="Pending"/>
    <m/>
    <m/>
    <m/>
    <m/>
    <m/>
    <m/>
    <m/>
    <m/>
    <m/>
    <m/>
    <m/>
    <m/>
    <m/>
    <m/>
    <m/>
    <m/>
    <m/>
    <m/>
    <m/>
    <m/>
    <x v="220"/>
  </r>
  <r>
    <s v="ORD10297"/>
    <s v="C001"/>
    <s v="P202"/>
    <x v="222"/>
    <s v="12/04/2025"/>
    <s v="Amit Sharma"/>
    <s v="Male"/>
    <s v="09/02/1978"/>
    <s v="Ahmedabad"/>
    <x v="2"/>
    <x v="0"/>
    <s v="Iron"/>
    <n v="7"/>
    <n v="2200"/>
    <n v="0.15"/>
    <n v="13090"/>
    <n v="4"/>
    <s v="Cash"/>
    <s v="Aisha"/>
    <s v="amit.sharma@company.com"/>
    <n v="9383199236"/>
    <s v="Cancelled"/>
    <m/>
    <m/>
    <m/>
    <m/>
    <m/>
    <m/>
    <m/>
    <m/>
    <m/>
    <m/>
    <m/>
    <m/>
    <m/>
    <m/>
    <m/>
    <m/>
    <m/>
    <m/>
    <m/>
    <m/>
    <x v="221"/>
  </r>
  <r>
    <s v="ORD10298"/>
    <s v="C003"/>
    <s v="P101"/>
    <x v="97"/>
    <s v="16/01/2025"/>
    <s v="Rohit Singh"/>
    <s v="Male"/>
    <s v="03/01/2004"/>
    <s v="Hyderabad"/>
    <x v="0"/>
    <x v="1"/>
    <s v="Laptop"/>
    <n v="11"/>
    <n v="55000"/>
    <n v="0.05"/>
    <n v="574750"/>
    <n v="1"/>
    <s v="UPI"/>
    <s v="Ritika"/>
    <s v="rohit.singh@company.com"/>
    <n v="9482699727"/>
    <s v="Cancelled"/>
    <m/>
    <m/>
    <m/>
    <m/>
    <m/>
    <m/>
    <m/>
    <m/>
    <m/>
    <m/>
    <m/>
    <m/>
    <m/>
    <m/>
    <m/>
    <m/>
    <m/>
    <m/>
    <m/>
    <m/>
    <x v="97"/>
  </r>
  <r>
    <s v="ORD10299"/>
    <s v="C007"/>
    <s v="P201"/>
    <x v="38"/>
    <s v="17/10/2025"/>
    <s v="Arjun Rao"/>
    <s v="Male"/>
    <s v="02/05/1992"/>
    <s v="Jaipur"/>
    <x v="1"/>
    <x v="0"/>
    <s v="Mixer"/>
    <n v="12"/>
    <n v="3500"/>
    <n v="0"/>
    <n v="42000"/>
    <n v="2"/>
    <s v="NetBanking"/>
    <s v="Not Assigned"/>
    <s v="arjun.rao@company.com"/>
    <n v="9332473934"/>
    <s v="Pending"/>
    <m/>
    <m/>
    <m/>
    <m/>
    <m/>
    <m/>
    <m/>
    <m/>
    <m/>
    <m/>
    <m/>
    <m/>
    <m/>
    <m/>
    <m/>
    <m/>
    <m/>
    <m/>
    <m/>
    <m/>
    <x v="38"/>
  </r>
  <r>
    <s v="ORD10300"/>
    <s v="C009"/>
    <s v="P303"/>
    <x v="223"/>
    <s v="08/03/2026"/>
    <s v="Mohit Verma"/>
    <s v="Male"/>
    <s v="26/01/2003"/>
    <s v="Hyderabad"/>
    <x v="0"/>
    <x v="2"/>
    <s v="Marker"/>
    <n v="15"/>
    <n v="45"/>
    <n v="0.1"/>
    <n v="607.5"/>
    <n v="2"/>
    <s v="Cash"/>
    <s v="Karan"/>
    <s v="mohit.verma@company.com"/>
    <n v="9647657382"/>
    <s v="Pending"/>
    <m/>
    <m/>
    <m/>
    <m/>
    <m/>
    <m/>
    <m/>
    <m/>
    <m/>
    <m/>
    <m/>
    <m/>
    <m/>
    <m/>
    <m/>
    <m/>
    <m/>
    <m/>
    <m/>
    <m/>
    <x v="222"/>
  </r>
  <r>
    <s v="ORD10301"/>
    <s v="C001"/>
    <s v="P303"/>
    <x v="224"/>
    <s v="26/05/2025"/>
    <s v="Amit Sharma"/>
    <s v="Male"/>
    <s v="20/05/1987"/>
    <s v="Bengaluru"/>
    <x v="0"/>
    <x v="2"/>
    <s v="Marker"/>
    <n v="13"/>
    <n v="45"/>
    <n v="0"/>
    <n v="585"/>
    <n v="5"/>
    <s v="NetBanking"/>
    <s v="Rahul"/>
    <s v="amit.sharma@company.com"/>
    <n v="9736797776"/>
    <s v="Pending"/>
    <m/>
    <m/>
    <m/>
    <m/>
    <m/>
    <m/>
    <m/>
    <m/>
    <m/>
    <m/>
    <m/>
    <m/>
    <m/>
    <m/>
    <m/>
    <m/>
    <m/>
    <m/>
    <m/>
    <m/>
    <x v="223"/>
  </r>
  <r>
    <s v="ORD10302"/>
    <s v="C003"/>
    <s v="P101"/>
    <x v="113"/>
    <s v="05/01/2026"/>
    <s v="Rohit Singh"/>
    <s v="Male"/>
    <s v="07/09/1975"/>
    <s v="Bengaluru"/>
    <x v="0"/>
    <x v="1"/>
    <s v="Laptop"/>
    <n v="8"/>
    <n v="55000"/>
    <n v="0"/>
    <n v="440000"/>
    <n v="2"/>
    <s v="UPI"/>
    <s v="Karan"/>
    <s v="rohit.singh@company.com"/>
    <n v="9745773533"/>
    <s v="Cancelled"/>
    <m/>
    <m/>
    <m/>
    <m/>
    <m/>
    <m/>
    <m/>
    <m/>
    <m/>
    <m/>
    <m/>
    <m/>
    <m/>
    <m/>
    <m/>
    <m/>
    <m/>
    <m/>
    <m/>
    <m/>
    <x v="113"/>
  </r>
  <r>
    <s v="ORD10303"/>
    <s v="C006"/>
    <s v="P101"/>
    <x v="225"/>
    <s v="27/07/2025"/>
    <s v="Sneha Joshi"/>
    <s v="Female"/>
    <s v="10/08/1980"/>
    <s v="Delhi"/>
    <x v="1"/>
    <x v="1"/>
    <s v="Laptop"/>
    <n v="4"/>
    <n v="55000"/>
    <n v="0.2"/>
    <n v="176000"/>
    <n v="5"/>
    <s v="Cash"/>
    <s v="Rahul"/>
    <s v="sneha.joshi@company.com"/>
    <n v="9246715757"/>
    <s v="Pending"/>
    <m/>
    <m/>
    <m/>
    <m/>
    <m/>
    <m/>
    <m/>
    <m/>
    <m/>
    <m/>
    <m/>
    <m/>
    <m/>
    <m/>
    <m/>
    <m/>
    <m/>
    <m/>
    <m/>
    <m/>
    <x v="224"/>
  </r>
  <r>
    <s v="ORD10304"/>
    <s v="C008"/>
    <s v="P201"/>
    <x v="226"/>
    <s v="26/04/2026"/>
    <s v="Kavya Nair"/>
    <s v="Female"/>
    <s v="07/04/1989"/>
    <s v="Ahmedabad"/>
    <x v="2"/>
    <x v="0"/>
    <s v="Mixer"/>
    <n v="19"/>
    <n v="3500"/>
    <n v="0.05"/>
    <n v="63175"/>
    <n v="1"/>
    <s v="Card"/>
    <s v="Neha"/>
    <s v="kavya.nair@company.com"/>
    <n v="9904065774"/>
    <s v="Completed"/>
    <m/>
    <m/>
    <m/>
    <m/>
    <m/>
    <m/>
    <m/>
    <m/>
    <m/>
    <m/>
    <m/>
    <m/>
    <m/>
    <m/>
    <m/>
    <m/>
    <m/>
    <m/>
    <m/>
    <m/>
    <x v="225"/>
  </r>
  <r>
    <s v="ORD10305"/>
    <s v="C005"/>
    <s v="P103"/>
    <x v="227"/>
    <s v="06/03/2025"/>
    <s v="Vikas Mehta"/>
    <s v="Male"/>
    <s v="20/08/1998"/>
    <s v="Jaipur"/>
    <x v="1"/>
    <x v="1"/>
    <s v="Keyboard"/>
    <n v="17"/>
    <n v="1200"/>
    <n v="0.15"/>
    <n v="17340"/>
    <n v="2"/>
    <s v="NetBanking"/>
    <s v="Rahul"/>
    <s v="vikas.mehta@company.com"/>
    <n v="9652985385"/>
    <s v="Completed"/>
    <m/>
    <m/>
    <m/>
    <m/>
    <m/>
    <m/>
    <m/>
    <m/>
    <m/>
    <m/>
    <m/>
    <m/>
    <m/>
    <m/>
    <m/>
    <m/>
    <m/>
    <m/>
    <m/>
    <m/>
    <x v="226"/>
  </r>
  <r>
    <s v="ORD10306"/>
    <s v="C008"/>
    <s v="P202"/>
    <x v="63"/>
    <s v="17/02/2026"/>
    <s v="Kavya Nair"/>
    <s v="Female"/>
    <s v="03/04/2001"/>
    <s v="Hyderabad"/>
    <x v="0"/>
    <x v="0"/>
    <s v="Iron"/>
    <n v="8"/>
    <n v="2200"/>
    <n v="0.05"/>
    <n v="16720"/>
    <n v="3"/>
    <s v="Card"/>
    <s v="Neha"/>
    <s v="kavya.nair@company.com"/>
    <n v="9427001508"/>
    <s v="Pending"/>
    <m/>
    <m/>
    <m/>
    <m/>
    <m/>
    <m/>
    <m/>
    <m/>
    <m/>
    <m/>
    <m/>
    <m/>
    <m/>
    <m/>
    <m/>
    <m/>
    <m/>
    <m/>
    <m/>
    <m/>
    <x v="63"/>
  </r>
  <r>
    <s v="ORD10307"/>
    <s v="C006"/>
    <s v="P102"/>
    <x v="158"/>
    <s v="26/02/2025"/>
    <s v="Sneha Joshi"/>
    <s v="Female"/>
    <s v="05/03/1992"/>
    <s v="Mumbai"/>
    <x v="2"/>
    <x v="1"/>
    <s v="Mouse"/>
    <n v="17"/>
    <n v="700"/>
    <n v="0.2"/>
    <n v="9520"/>
    <n v="4"/>
    <s v="NetBanking"/>
    <s v="Neha"/>
    <s v="sneha.joshi@company.com"/>
    <n v="9666803655"/>
    <s v="Completed"/>
    <m/>
    <m/>
    <m/>
    <m/>
    <m/>
    <m/>
    <m/>
    <m/>
    <m/>
    <m/>
    <m/>
    <m/>
    <m/>
    <m/>
    <m/>
    <m/>
    <m/>
    <m/>
    <m/>
    <m/>
    <x v="158"/>
  </r>
  <r>
    <s v="ORD10308"/>
    <s v="C006"/>
    <s v="P203"/>
    <x v="228"/>
    <s v="08/09/2025"/>
    <s v="Sneha Joshi"/>
    <s v="Female"/>
    <s v="28/12/1976"/>
    <s v="Pune"/>
    <x v="2"/>
    <x v="0"/>
    <s v="Microwave"/>
    <n v="6"/>
    <n v="8500"/>
    <n v="0.15"/>
    <n v="43350"/>
    <n v="1"/>
    <s v="Cash"/>
    <s v="Aisha"/>
    <s v="sneha.joshi@company.com"/>
    <n v="9134878547"/>
    <s v="Completed"/>
    <m/>
    <m/>
    <m/>
    <m/>
    <m/>
    <m/>
    <m/>
    <m/>
    <m/>
    <m/>
    <m/>
    <m/>
    <m/>
    <m/>
    <m/>
    <m/>
    <m/>
    <m/>
    <m/>
    <m/>
    <x v="227"/>
  </r>
  <r>
    <s v="ORD10309"/>
    <s v="C010"/>
    <s v="P201"/>
    <x v="229"/>
    <s v="11/10/2025"/>
    <s v="Pooja Shah"/>
    <s v="Female"/>
    <s v="04/09/1986"/>
    <s v="Hyderabad"/>
    <x v="0"/>
    <x v="0"/>
    <s v="Mixer"/>
    <n v="3"/>
    <n v="3500"/>
    <n v="0.1"/>
    <n v="9450"/>
    <n v="1"/>
    <s v="NetBanking"/>
    <s v="Rahul"/>
    <s v="pooja.shah@company.com"/>
    <n v="9253593557"/>
    <s v="Completed"/>
    <m/>
    <m/>
    <m/>
    <m/>
    <m/>
    <m/>
    <m/>
    <m/>
    <m/>
    <m/>
    <m/>
    <m/>
    <m/>
    <m/>
    <m/>
    <m/>
    <m/>
    <m/>
    <m/>
    <m/>
    <x v="228"/>
  </r>
  <r>
    <s v="ORD10310"/>
    <s v="C009"/>
    <s v="P104"/>
    <x v="221"/>
    <s v="29/01/2025"/>
    <s v="Mohit Verma"/>
    <s v="Male"/>
    <s v="14/08/1989"/>
    <s v="Ahmedabad"/>
    <x v="2"/>
    <x v="1"/>
    <s v="Monitor"/>
    <n v="2"/>
    <n v="12000"/>
    <n v="0.2"/>
    <n v="19200"/>
    <n v="1"/>
    <s v="Card"/>
    <s v="Aisha"/>
    <s v="mohit.verma@company.com"/>
    <n v="9183094051"/>
    <s v="Completed"/>
    <m/>
    <m/>
    <m/>
    <m/>
    <m/>
    <m/>
    <m/>
    <m/>
    <m/>
    <m/>
    <m/>
    <m/>
    <m/>
    <m/>
    <m/>
    <m/>
    <m/>
    <m/>
    <m/>
    <m/>
    <x v="220"/>
  </r>
  <r>
    <s v="ORD10311"/>
    <s v="C005"/>
    <s v="P302"/>
    <x v="44"/>
    <s v="16/10/2025"/>
    <s v="Vikas Mehta"/>
    <s v="Male"/>
    <s v="02/03/1991"/>
    <s v="Delhi"/>
    <x v="1"/>
    <x v="2"/>
    <s v="Pen"/>
    <n v="12"/>
    <n v="20"/>
    <n v="0.2"/>
    <n v="192"/>
    <n v="2"/>
    <s v="Card"/>
    <s v="Rahul"/>
    <s v="vikas.mehta@company.com"/>
    <n v="9293147620"/>
    <s v="Completed"/>
    <m/>
    <m/>
    <m/>
    <m/>
    <m/>
    <m/>
    <m/>
    <m/>
    <m/>
    <m/>
    <m/>
    <m/>
    <m/>
    <m/>
    <m/>
    <m/>
    <m/>
    <m/>
    <m/>
    <m/>
    <x v="44"/>
  </r>
  <r>
    <s v="ORD10312"/>
    <s v="C002"/>
    <s v="P104"/>
    <x v="230"/>
    <s v="28/04/2026"/>
    <s v="Priya Patel"/>
    <s v="Female"/>
    <s v="13/08/1989"/>
    <s v="Kolkata"/>
    <x v="3"/>
    <x v="1"/>
    <s v="Monitor"/>
    <n v="20"/>
    <n v="12000"/>
    <n v="0.15"/>
    <n v="204000"/>
    <n v="3"/>
    <s v="Cash"/>
    <s v="Ritika"/>
    <s v="priya.patel@company.com"/>
    <n v="9755583734"/>
    <s v="Pending"/>
    <m/>
    <m/>
    <m/>
    <m/>
    <m/>
    <m/>
    <m/>
    <m/>
    <m/>
    <m/>
    <m/>
    <m/>
    <m/>
    <m/>
    <m/>
    <m/>
    <m/>
    <m/>
    <m/>
    <m/>
    <x v="229"/>
  </r>
  <r>
    <s v="ORD10313"/>
    <s v="C010"/>
    <s v="P301"/>
    <x v="54"/>
    <s v="04/04/2026"/>
    <s v="Pooja Shah"/>
    <s v="Female"/>
    <s v="02/02/2003"/>
    <s v="Jaipur"/>
    <x v="1"/>
    <x v="2"/>
    <s v="Notebook"/>
    <n v="13"/>
    <n v="60"/>
    <n v="0.1"/>
    <n v="702"/>
    <n v="5"/>
    <s v="Cash"/>
    <s v="Ritika"/>
    <s v="pooja.shah@company.com"/>
    <n v="9186592813"/>
    <s v="Pending"/>
    <m/>
    <m/>
    <m/>
    <m/>
    <m/>
    <m/>
    <m/>
    <m/>
    <m/>
    <m/>
    <m/>
    <m/>
    <m/>
    <m/>
    <m/>
    <m/>
    <m/>
    <m/>
    <m/>
    <m/>
    <x v="54"/>
  </r>
  <r>
    <s v="ORD10314"/>
    <s v="C009"/>
    <s v="P101"/>
    <x v="231"/>
    <s v="19/05/2025"/>
    <s v="Mohit Verma"/>
    <s v="Male"/>
    <s v="16/11/1995"/>
    <s v="Pune"/>
    <x v="2"/>
    <x v="1"/>
    <s v="Laptop"/>
    <n v="13"/>
    <n v="55000"/>
    <n v="0.05"/>
    <n v="679250"/>
    <n v="1"/>
    <s v="UPI"/>
    <s v="Karan"/>
    <s v="mohit.verma@company.com"/>
    <n v="9203482008"/>
    <s v="Pending"/>
    <m/>
    <m/>
    <m/>
    <m/>
    <m/>
    <m/>
    <m/>
    <m/>
    <m/>
    <m/>
    <m/>
    <m/>
    <m/>
    <m/>
    <m/>
    <m/>
    <m/>
    <m/>
    <m/>
    <m/>
    <x v="230"/>
  </r>
  <r>
    <s v="ORD10315"/>
    <s v="C002"/>
    <s v="P103"/>
    <x v="128"/>
    <s v="10/03/2026"/>
    <s v="Priya Patel"/>
    <s v="Female"/>
    <s v="24/11/1989"/>
    <s v="Bengaluru"/>
    <x v="0"/>
    <x v="1"/>
    <s v="Keyboard"/>
    <n v="7"/>
    <n v="1200"/>
    <n v="0.15"/>
    <n v="7140"/>
    <n v="5"/>
    <s v="UPI"/>
    <s v="Rahul"/>
    <s v="priya.patel@company.com"/>
    <n v="9829888777"/>
    <s v="Pending"/>
    <m/>
    <m/>
    <m/>
    <m/>
    <m/>
    <m/>
    <m/>
    <m/>
    <m/>
    <m/>
    <m/>
    <m/>
    <m/>
    <m/>
    <m/>
    <m/>
    <m/>
    <m/>
    <m/>
    <m/>
    <x v="128"/>
  </r>
  <r>
    <s v="ORD10316"/>
    <s v="C007"/>
    <s v="P104"/>
    <x v="232"/>
    <s v="30/12/2025"/>
    <s v="Arjun Rao"/>
    <s v="Male"/>
    <s v="20/04/1988"/>
    <s v="Jaipur"/>
    <x v="1"/>
    <x v="1"/>
    <s v="Monitor"/>
    <n v="17"/>
    <n v="12000"/>
    <n v="0.05"/>
    <n v="193800"/>
    <n v="1"/>
    <s v="Cash"/>
    <s v="Aisha"/>
    <s v="arjun.rao@company.com"/>
    <n v="9566101317"/>
    <s v="Cancelled"/>
    <m/>
    <m/>
    <m/>
    <m/>
    <m/>
    <m/>
    <m/>
    <m/>
    <m/>
    <m/>
    <m/>
    <m/>
    <m/>
    <m/>
    <m/>
    <m/>
    <m/>
    <m/>
    <m/>
    <m/>
    <x v="231"/>
  </r>
  <r>
    <s v="ORD10317"/>
    <s v="C007"/>
    <s v="P302"/>
    <x v="47"/>
    <s v="25/04/2026"/>
    <s v="Arjun Rao"/>
    <s v="Male"/>
    <s v="02/11/1978"/>
    <s v="Bengaluru"/>
    <x v="0"/>
    <x v="2"/>
    <s v="Pen"/>
    <n v="10"/>
    <n v="20"/>
    <n v="0.05"/>
    <n v="190"/>
    <n v="2"/>
    <s v="Cash"/>
    <s v="Aisha"/>
    <s v="arjun.rao@company.com"/>
    <n v="9706240823"/>
    <s v="Cancelled"/>
    <m/>
    <m/>
    <m/>
    <m/>
    <m/>
    <m/>
    <m/>
    <m/>
    <m/>
    <m/>
    <m/>
    <m/>
    <m/>
    <m/>
    <m/>
    <m/>
    <m/>
    <m/>
    <m/>
    <m/>
    <x v="47"/>
  </r>
  <r>
    <s v="ORD10318"/>
    <s v="C004"/>
    <s v="P202"/>
    <x v="35"/>
    <s v="08/11/2025"/>
    <s v="Anita Gupta"/>
    <s v="Female"/>
    <s v="13/12/1989"/>
    <s v="Delhi"/>
    <x v="1"/>
    <x v="0"/>
    <s v="Iron"/>
    <n v="11"/>
    <n v="2200"/>
    <n v="0.05"/>
    <n v="22990"/>
    <n v="5"/>
    <s v="Card"/>
    <s v="Rahul"/>
    <s v="anita.gupta@company.com"/>
    <n v="9259943760"/>
    <s v="Pending"/>
    <m/>
    <m/>
    <m/>
    <m/>
    <m/>
    <m/>
    <m/>
    <m/>
    <m/>
    <m/>
    <m/>
    <m/>
    <m/>
    <m/>
    <m/>
    <m/>
    <m/>
    <m/>
    <m/>
    <m/>
    <x v="35"/>
  </r>
  <r>
    <s v="ORD10319"/>
    <s v="C002"/>
    <s v="P301"/>
    <x v="233"/>
    <s v="28/02/2026"/>
    <s v="Priya Patel"/>
    <s v="Female"/>
    <s v="08/01/1995"/>
    <s v="Jaipur"/>
    <x v="1"/>
    <x v="2"/>
    <s v="Notebook"/>
    <n v="8"/>
    <n v="60"/>
    <n v="0.15"/>
    <n v="408"/>
    <n v="4"/>
    <s v="Cash"/>
    <s v="Rahul"/>
    <s v="priya.patel@company.com"/>
    <n v="9527326977"/>
    <s v="Pending"/>
    <m/>
    <m/>
    <m/>
    <m/>
    <m/>
    <m/>
    <m/>
    <m/>
    <m/>
    <m/>
    <m/>
    <m/>
    <m/>
    <m/>
    <m/>
    <m/>
    <m/>
    <m/>
    <m/>
    <m/>
    <x v="232"/>
  </r>
  <r>
    <s v="ORD10320"/>
    <s v="C005"/>
    <s v="P303"/>
    <x v="195"/>
    <s v="25/03/2025"/>
    <s v="Vikas Mehta"/>
    <s v="Male"/>
    <s v="23/10/1994"/>
    <s v="Delhi"/>
    <x v="1"/>
    <x v="2"/>
    <s v="Marker"/>
    <n v="17"/>
    <n v="45"/>
    <n v="0.15"/>
    <n v="650.25"/>
    <n v="2"/>
    <s v="UPI"/>
    <s v="Karan"/>
    <s v="vikas.mehta@company.com"/>
    <n v="9886970990"/>
    <s v="Completed"/>
    <m/>
    <m/>
    <m/>
    <m/>
    <m/>
    <m/>
    <m/>
    <m/>
    <m/>
    <m/>
    <m/>
    <m/>
    <m/>
    <m/>
    <m/>
    <m/>
    <m/>
    <m/>
    <m/>
    <m/>
    <x v="194"/>
  </r>
  <r>
    <s v="ORD10321"/>
    <s v="C001"/>
    <s v="P102"/>
    <x v="234"/>
    <s v="10/03/2025"/>
    <s v="Amit Sharma"/>
    <s v="Male"/>
    <s v="21/05/1996"/>
    <s v="Jaipur"/>
    <x v="1"/>
    <x v="1"/>
    <s v="Mouse"/>
    <n v="14"/>
    <n v="700"/>
    <n v="0.15"/>
    <n v="8330"/>
    <n v="1"/>
    <s v="Card"/>
    <s v="Neha"/>
    <s v="amit.sharma@company.com"/>
    <n v="9106930369"/>
    <s v="Completed"/>
    <m/>
    <m/>
    <m/>
    <m/>
    <m/>
    <m/>
    <m/>
    <m/>
    <m/>
    <m/>
    <m/>
    <m/>
    <m/>
    <m/>
    <m/>
    <m/>
    <m/>
    <m/>
    <m/>
    <m/>
    <x v="233"/>
  </r>
  <r>
    <s v="ORD10322"/>
    <s v="C007"/>
    <s v="P103"/>
    <x v="235"/>
    <s v="14/06/2025"/>
    <s v="Arjun Rao"/>
    <s v="Male"/>
    <s v="26/05/1982"/>
    <s v="Pune"/>
    <x v="2"/>
    <x v="1"/>
    <s v="Keyboard"/>
    <n v="3"/>
    <n v="1200"/>
    <n v="0.05"/>
    <n v="3420"/>
    <n v="3"/>
    <s v="NetBanking"/>
    <s v="Karan"/>
    <s v="arjun.rao@company.com"/>
    <n v="9342009114"/>
    <s v="Completed"/>
    <m/>
    <m/>
    <m/>
    <m/>
    <m/>
    <m/>
    <m/>
    <m/>
    <m/>
    <m/>
    <m/>
    <m/>
    <m/>
    <m/>
    <m/>
    <m/>
    <m/>
    <m/>
    <m/>
    <m/>
    <x v="234"/>
  </r>
  <r>
    <s v="ORD10323"/>
    <s v="C008"/>
    <s v="P103"/>
    <x v="130"/>
    <s v="16/07/2025"/>
    <s v="Kavya Nair"/>
    <s v="Female"/>
    <s v="22/11/2001"/>
    <s v="Ahmedabad"/>
    <x v="2"/>
    <x v="1"/>
    <s v="Keyboard"/>
    <n v="9"/>
    <n v="1200"/>
    <n v="0.15"/>
    <n v="9180"/>
    <n v="3"/>
    <s v="Cash"/>
    <s v="Rahul"/>
    <s v="kavya.nair@company.com"/>
    <n v="9992739960"/>
    <s v="Completed"/>
    <m/>
    <m/>
    <m/>
    <m/>
    <m/>
    <m/>
    <m/>
    <m/>
    <m/>
    <m/>
    <m/>
    <m/>
    <m/>
    <m/>
    <m/>
    <m/>
    <m/>
    <m/>
    <m/>
    <m/>
    <x v="130"/>
  </r>
  <r>
    <s v="ORD10324"/>
    <s v="C006"/>
    <s v="P302"/>
    <x v="114"/>
    <s v="21/04/2026"/>
    <s v="Sneha Joshi"/>
    <s v="Female"/>
    <s v="26/02/1989"/>
    <s v="Mumbai"/>
    <x v="2"/>
    <x v="2"/>
    <s v="Pen"/>
    <n v="5"/>
    <n v="20"/>
    <n v="0.05"/>
    <n v="95"/>
    <n v="4"/>
    <s v="Cash"/>
    <s v="Karan"/>
    <s v="sneha.joshi@company.com"/>
    <n v="9241987748"/>
    <s v="Completed"/>
    <m/>
    <m/>
    <m/>
    <m/>
    <m/>
    <m/>
    <m/>
    <m/>
    <m/>
    <m/>
    <m/>
    <m/>
    <m/>
    <m/>
    <m/>
    <m/>
    <m/>
    <m/>
    <m/>
    <m/>
    <x v="114"/>
  </r>
  <r>
    <s v="ORD10325"/>
    <s v="C006"/>
    <s v="P202"/>
    <x v="236"/>
    <s v="21/12/2025"/>
    <s v="Sneha Joshi"/>
    <s v="Female"/>
    <s v="18/08/1985"/>
    <s v="Ahmedabad"/>
    <x v="2"/>
    <x v="0"/>
    <s v="Iron"/>
    <n v="8"/>
    <n v="2200"/>
    <n v="0.1"/>
    <n v="15840"/>
    <n v="4"/>
    <s v="UPI"/>
    <s v="Aisha"/>
    <s v="sneha.joshi@company.com"/>
    <n v="9571990711"/>
    <s v="Cancelled"/>
    <m/>
    <m/>
    <m/>
    <m/>
    <m/>
    <m/>
    <m/>
    <m/>
    <m/>
    <m/>
    <m/>
    <m/>
    <m/>
    <m/>
    <m/>
    <m/>
    <m/>
    <m/>
    <m/>
    <m/>
    <x v="235"/>
  </r>
  <r>
    <s v="ORD10326"/>
    <s v="C006"/>
    <s v="P102"/>
    <x v="36"/>
    <s v="12/03/2026"/>
    <s v="Sneha Joshi"/>
    <s v="Female"/>
    <s v="03/01/1980"/>
    <s v="Mumbai"/>
    <x v="2"/>
    <x v="1"/>
    <s v="Mouse"/>
    <n v="10"/>
    <n v="700"/>
    <n v="0.2"/>
    <n v="5600"/>
    <n v="1"/>
    <s v="UPI"/>
    <s v="Neha"/>
    <s v="sneha.joshi@company.com"/>
    <n v="9219231183"/>
    <s v="Completed"/>
    <m/>
    <m/>
    <m/>
    <m/>
    <m/>
    <m/>
    <m/>
    <m/>
    <m/>
    <m/>
    <m/>
    <m/>
    <m/>
    <m/>
    <m/>
    <m/>
    <m/>
    <m/>
    <m/>
    <m/>
    <x v="36"/>
  </r>
  <r>
    <s v="ORD10327"/>
    <s v="C007"/>
    <s v="P102"/>
    <x v="237"/>
    <s v="28/11/2025"/>
    <s v="Arjun Rao"/>
    <s v="Male"/>
    <s v="08/01/1978"/>
    <s v="Bengaluru"/>
    <x v="0"/>
    <x v="1"/>
    <s v="Mouse"/>
    <n v="2"/>
    <n v="700"/>
    <n v="0.2"/>
    <n v="1120"/>
    <n v="2"/>
    <s v="Cash"/>
    <s v="Neha"/>
    <s v="arjun.rao@company.com"/>
    <n v="9847386174"/>
    <s v="Pending"/>
    <m/>
    <m/>
    <m/>
    <m/>
    <m/>
    <m/>
    <m/>
    <m/>
    <m/>
    <m/>
    <m/>
    <m/>
    <m/>
    <m/>
    <m/>
    <m/>
    <m/>
    <m/>
    <m/>
    <m/>
    <x v="236"/>
  </r>
  <r>
    <s v="ORD10328"/>
    <s v="C005"/>
    <s v="P201"/>
    <x v="139"/>
    <s v="28/06/2025"/>
    <s v="Vikas Mehta"/>
    <s v="Male"/>
    <s v="05/08/1992"/>
    <s v="Pune"/>
    <x v="2"/>
    <x v="0"/>
    <s v="Mixer"/>
    <n v="16"/>
    <n v="3500"/>
    <n v="0.2"/>
    <n v="44800"/>
    <n v="2"/>
    <s v="UPI"/>
    <s v="Ritika"/>
    <s v="vikas.mehta@company.com"/>
    <n v="9941274924"/>
    <s v="Pending"/>
    <m/>
    <m/>
    <m/>
    <m/>
    <m/>
    <m/>
    <m/>
    <m/>
    <m/>
    <m/>
    <m/>
    <m/>
    <m/>
    <m/>
    <m/>
    <m/>
    <m/>
    <m/>
    <m/>
    <m/>
    <x v="139"/>
  </r>
  <r>
    <s v="ORD10329"/>
    <s v="C004"/>
    <s v="P201"/>
    <x v="135"/>
    <s v="01/08/2025"/>
    <s v="Anita Gupta"/>
    <s v="Female"/>
    <s v="28/12/2004"/>
    <s v="Delhi"/>
    <x v="1"/>
    <x v="0"/>
    <s v="Mixer"/>
    <n v="9"/>
    <n v="3500"/>
    <n v="0.2"/>
    <n v="25200"/>
    <n v="1"/>
    <s v="Card"/>
    <s v="Rahul"/>
    <s v="anita.gupta@company.com"/>
    <n v="9950650508"/>
    <s v="Cancelled"/>
    <m/>
    <m/>
    <m/>
    <m/>
    <m/>
    <m/>
    <m/>
    <m/>
    <m/>
    <m/>
    <m/>
    <m/>
    <m/>
    <m/>
    <m/>
    <m/>
    <m/>
    <m/>
    <m/>
    <m/>
    <x v="135"/>
  </r>
  <r>
    <s v="ORD10330"/>
    <s v="C003"/>
    <s v="P102"/>
    <x v="238"/>
    <s v="30/10/2025"/>
    <s v="Rohit Singh"/>
    <s v="Male"/>
    <s v="07/01/2003"/>
    <s v="Hyderabad"/>
    <x v="0"/>
    <x v="1"/>
    <s v="Mouse"/>
    <n v="15"/>
    <n v="700"/>
    <n v="0.05"/>
    <n v="9975"/>
    <n v="1"/>
    <s v="Cash"/>
    <s v="Rahul"/>
    <s v="rohit.singh@company.com"/>
    <n v="9464035549"/>
    <s v="Cancelled"/>
    <m/>
    <m/>
    <m/>
    <m/>
    <m/>
    <m/>
    <m/>
    <m/>
    <m/>
    <m/>
    <m/>
    <m/>
    <m/>
    <m/>
    <m/>
    <m/>
    <m/>
    <m/>
    <m/>
    <m/>
    <x v="237"/>
  </r>
  <r>
    <s v="ORD10331"/>
    <s v="C010"/>
    <s v="P103"/>
    <x v="239"/>
    <s v="10/03/2026"/>
    <s v="Pooja Shah"/>
    <s v="Female"/>
    <s v="09/03/1993"/>
    <s v="Ahmedabad"/>
    <x v="2"/>
    <x v="1"/>
    <s v="Keyboard"/>
    <n v="13"/>
    <n v="1200"/>
    <n v="0"/>
    <n v="15600"/>
    <n v="3"/>
    <s v="NetBanking"/>
    <s v="Neha"/>
    <s v="pooja.shah@company.com"/>
    <n v="9142334315"/>
    <s v="Cancelled"/>
    <m/>
    <m/>
    <m/>
    <m/>
    <m/>
    <m/>
    <m/>
    <m/>
    <m/>
    <m/>
    <m/>
    <m/>
    <m/>
    <m/>
    <m/>
    <m/>
    <m/>
    <m/>
    <m/>
    <m/>
    <x v="238"/>
  </r>
  <r>
    <s v="ORD10332"/>
    <s v="C001"/>
    <s v="P104"/>
    <x v="240"/>
    <s v="07/09/2025"/>
    <s v="Amit Sharma"/>
    <s v="Male"/>
    <s v="03/06/1993"/>
    <s v="Delhi"/>
    <x v="1"/>
    <x v="1"/>
    <s v="Monitor"/>
    <n v="5"/>
    <n v="12000"/>
    <n v="0.1"/>
    <n v="54000"/>
    <n v="3"/>
    <s v="UPI"/>
    <s v="Rahul"/>
    <s v="amit.sharma@company.com"/>
    <n v="9123961962"/>
    <s v="Completed"/>
    <m/>
    <m/>
    <m/>
    <m/>
    <m/>
    <m/>
    <m/>
    <m/>
    <m/>
    <m/>
    <m/>
    <m/>
    <m/>
    <m/>
    <m/>
    <m/>
    <m/>
    <m/>
    <m/>
    <m/>
    <x v="239"/>
  </r>
  <r>
    <s v="ORD10333"/>
    <s v="C010"/>
    <s v="P303"/>
    <x v="241"/>
    <s v="08/04/2025"/>
    <s v="Pooja Shah"/>
    <s v="Female"/>
    <s v="10/12/1999"/>
    <s v="Bengaluru"/>
    <x v="0"/>
    <x v="2"/>
    <s v="Marker"/>
    <n v="12"/>
    <n v="45"/>
    <n v="0.2"/>
    <n v="432"/>
    <n v="3"/>
    <s v="NetBanking"/>
    <s v="Aisha"/>
    <s v="pooja.shah@company.com"/>
    <n v="9741953402"/>
    <s v="Completed"/>
    <m/>
    <m/>
    <m/>
    <m/>
    <m/>
    <m/>
    <m/>
    <m/>
    <m/>
    <m/>
    <m/>
    <m/>
    <m/>
    <m/>
    <m/>
    <m/>
    <m/>
    <m/>
    <m/>
    <m/>
    <x v="240"/>
  </r>
  <r>
    <s v="ORD10334"/>
    <s v="C008"/>
    <s v="P201"/>
    <x v="103"/>
    <s v="14/04/2025"/>
    <s v="Kavya Nair"/>
    <s v="Female"/>
    <s v="06/06/1976"/>
    <s v="Bengaluru"/>
    <x v="0"/>
    <x v="0"/>
    <s v="Mixer"/>
    <n v="2"/>
    <n v="3500"/>
    <n v="0"/>
    <n v="7000"/>
    <n v="1"/>
    <s v="NetBanking"/>
    <s v="Neha"/>
    <s v="kavya.nair@company.com"/>
    <n v="9404733633"/>
    <s v="Pending"/>
    <m/>
    <m/>
    <m/>
    <m/>
    <m/>
    <m/>
    <m/>
    <m/>
    <m/>
    <m/>
    <m/>
    <m/>
    <m/>
    <m/>
    <m/>
    <m/>
    <m/>
    <m/>
    <m/>
    <m/>
    <x v="103"/>
  </r>
  <r>
    <s v="ORD10335"/>
    <s v="C008"/>
    <s v="P202"/>
    <x v="58"/>
    <s v="16/05/2026"/>
    <s v="Kavya Nair"/>
    <s v="Female"/>
    <s v="27/10/1984"/>
    <s v="Pune"/>
    <x v="2"/>
    <x v="0"/>
    <s v="Iron"/>
    <n v="15"/>
    <n v="2200"/>
    <n v="0.15"/>
    <n v="28050"/>
    <n v="2"/>
    <s v="NetBanking"/>
    <s v="Rahul"/>
    <s v="kavya.nair@company.com"/>
    <n v="9297492337"/>
    <s v="Pending"/>
    <m/>
    <m/>
    <m/>
    <m/>
    <m/>
    <m/>
    <m/>
    <m/>
    <m/>
    <m/>
    <m/>
    <m/>
    <m/>
    <m/>
    <m/>
    <m/>
    <m/>
    <m/>
    <m/>
    <m/>
    <x v="58"/>
  </r>
  <r>
    <s v="ORD10336"/>
    <s v="C002"/>
    <s v="P302"/>
    <x v="242"/>
    <s v="12/12/2025"/>
    <s v="Priya Patel"/>
    <s v="Female"/>
    <s v="28/02/1975"/>
    <s v="Ahmedabad"/>
    <x v="2"/>
    <x v="2"/>
    <s v="Pen"/>
    <n v="8"/>
    <n v="20"/>
    <n v="0.2"/>
    <n v="128"/>
    <n v="5"/>
    <s v="UPI"/>
    <s v="Rahul"/>
    <s v="priya.patel@company.com"/>
    <n v="9350338928"/>
    <s v="Completed"/>
    <m/>
    <m/>
    <m/>
    <m/>
    <m/>
    <m/>
    <m/>
    <m/>
    <m/>
    <m/>
    <m/>
    <m/>
    <m/>
    <m/>
    <m/>
    <m/>
    <m/>
    <m/>
    <m/>
    <m/>
    <x v="241"/>
  </r>
  <r>
    <s v="ORD10337"/>
    <s v="C003"/>
    <s v="P302"/>
    <x v="36"/>
    <s v="10/03/2026"/>
    <s v="Rohit Singh"/>
    <s v="Male"/>
    <s v="19/10/1993"/>
    <s v="Hyderabad"/>
    <x v="0"/>
    <x v="2"/>
    <s v="Pen"/>
    <n v="1"/>
    <n v="20"/>
    <n v="0"/>
    <n v="20"/>
    <n v="3"/>
    <s v="UPI"/>
    <s v="Ritika"/>
    <s v="rohit.singh@company.com"/>
    <n v="9933894798"/>
    <s v="Completed"/>
    <m/>
    <m/>
    <m/>
    <m/>
    <m/>
    <m/>
    <m/>
    <m/>
    <m/>
    <m/>
    <m/>
    <m/>
    <m/>
    <m/>
    <m/>
    <m/>
    <m/>
    <m/>
    <m/>
    <m/>
    <x v="36"/>
  </r>
  <r>
    <s v="ORD10338"/>
    <s v="C008"/>
    <s v="P102"/>
    <x v="243"/>
    <s v="16/01/2026"/>
    <s v="Kavya Nair"/>
    <s v="Female"/>
    <s v="25/10/1983"/>
    <s v="Jaipur"/>
    <x v="1"/>
    <x v="1"/>
    <s v="Mouse"/>
    <n v="15"/>
    <n v="700"/>
    <n v="0"/>
    <n v="10500"/>
    <n v="2"/>
    <s v="UPI"/>
    <s v="Rahul"/>
    <s v="kavya.nair@company.com"/>
    <n v="9705218824"/>
    <s v="Completed"/>
    <m/>
    <m/>
    <m/>
    <m/>
    <m/>
    <m/>
    <m/>
    <m/>
    <m/>
    <m/>
    <m/>
    <m/>
    <m/>
    <m/>
    <m/>
    <m/>
    <m/>
    <m/>
    <m/>
    <m/>
    <x v="242"/>
  </r>
  <r>
    <s v="ORD10339"/>
    <s v="C001"/>
    <s v="P201"/>
    <x v="149"/>
    <s v="10/02/2025"/>
    <s v="Amit Sharma"/>
    <s v="Male"/>
    <s v="08/01/1983"/>
    <s v="Hyderabad"/>
    <x v="0"/>
    <x v="0"/>
    <s v="Mixer"/>
    <n v="15"/>
    <n v="3500"/>
    <n v="0.1"/>
    <n v="47250"/>
    <n v="3"/>
    <s v="Cash"/>
    <s v="Karan"/>
    <s v="amit.sharma@company.com"/>
    <n v="9229164453"/>
    <s v="Pending"/>
    <m/>
    <m/>
    <m/>
    <m/>
    <m/>
    <m/>
    <m/>
    <m/>
    <m/>
    <m/>
    <m/>
    <m/>
    <m/>
    <m/>
    <m/>
    <m/>
    <m/>
    <m/>
    <m/>
    <m/>
    <x v="149"/>
  </r>
  <r>
    <s v="ORD10340"/>
    <s v="C008"/>
    <s v="P301"/>
    <x v="244"/>
    <s v="07/08/2025"/>
    <s v="Kavya Nair"/>
    <s v="Female"/>
    <s v="14/12/1983"/>
    <s v="Kolkata"/>
    <x v="3"/>
    <x v="2"/>
    <s v="Notebook"/>
    <n v="16"/>
    <n v="60"/>
    <n v="0.1"/>
    <n v="864"/>
    <n v="4"/>
    <s v="Card"/>
    <s v="Aisha"/>
    <s v="kavya.nair@company.com"/>
    <n v="9219806176"/>
    <s v="Completed"/>
    <m/>
    <m/>
    <m/>
    <m/>
    <m/>
    <m/>
    <m/>
    <m/>
    <m/>
    <m/>
    <m/>
    <m/>
    <m/>
    <m/>
    <m/>
    <m/>
    <m/>
    <m/>
    <m/>
    <m/>
    <x v="243"/>
  </r>
  <r>
    <s v="ORD10341"/>
    <s v="C003"/>
    <s v="P303"/>
    <x v="245"/>
    <s v="21/10/2025"/>
    <s v="Rohit Singh"/>
    <s v="Male"/>
    <s v="26/09/1983"/>
    <s v="Delhi"/>
    <x v="1"/>
    <x v="2"/>
    <s v="Marker"/>
    <n v="2"/>
    <n v="45"/>
    <n v="0.15"/>
    <n v="76.5"/>
    <n v="1"/>
    <s v="UPI"/>
    <s v="Karan"/>
    <s v="rohit.singh@company.com"/>
    <n v="9630210250"/>
    <s v="Cancelled"/>
    <m/>
    <m/>
    <m/>
    <m/>
    <m/>
    <m/>
    <m/>
    <m/>
    <m/>
    <m/>
    <m/>
    <m/>
    <m/>
    <m/>
    <m/>
    <m/>
    <m/>
    <m/>
    <m/>
    <m/>
    <x v="244"/>
  </r>
  <r>
    <s v="ORD10342"/>
    <s v="C004"/>
    <s v="P301"/>
    <x v="246"/>
    <s v="15/12/2025"/>
    <s v="Anita Gupta"/>
    <s v="Female"/>
    <s v="23/05/1975"/>
    <s v="Delhi"/>
    <x v="1"/>
    <x v="2"/>
    <s v="Notebook"/>
    <n v="13"/>
    <n v="60"/>
    <n v="0.15"/>
    <n v="663"/>
    <n v="2"/>
    <s v="NetBanking"/>
    <s v="Aisha"/>
    <s v="anita.gupta@company.com"/>
    <n v="9583354052"/>
    <s v="Cancelled"/>
    <m/>
    <m/>
    <m/>
    <m/>
    <m/>
    <m/>
    <m/>
    <m/>
    <m/>
    <m/>
    <m/>
    <m/>
    <m/>
    <m/>
    <m/>
    <m/>
    <m/>
    <m/>
    <m/>
    <m/>
    <x v="245"/>
  </r>
  <r>
    <s v="ORD10343"/>
    <s v="C007"/>
    <s v="P104"/>
    <x v="183"/>
    <s v="22/05/2025"/>
    <s v="Arjun Rao"/>
    <s v="Male"/>
    <s v="09/11/1994"/>
    <s v="Delhi"/>
    <x v="1"/>
    <x v="1"/>
    <s v="Monitor"/>
    <n v="15"/>
    <n v="12000"/>
    <n v="0.2"/>
    <n v="144000"/>
    <n v="3"/>
    <s v="Card"/>
    <s v="Ritika"/>
    <s v="arjun.rao@company.com"/>
    <n v="9242534507"/>
    <s v="Cancelled"/>
    <m/>
    <m/>
    <m/>
    <m/>
    <m/>
    <m/>
    <m/>
    <m/>
    <m/>
    <m/>
    <m/>
    <m/>
    <m/>
    <m/>
    <m/>
    <m/>
    <m/>
    <m/>
    <m/>
    <m/>
    <x v="182"/>
  </r>
  <r>
    <s v="ORD10344"/>
    <s v="C001"/>
    <s v="P302"/>
    <x v="120"/>
    <s v="02/08/2025"/>
    <s v="Amit Sharma"/>
    <s v="Male"/>
    <s v="17/12/1987"/>
    <s v="Delhi"/>
    <x v="1"/>
    <x v="2"/>
    <s v="Pen"/>
    <n v="2"/>
    <n v="20"/>
    <n v="0.2"/>
    <n v="32"/>
    <n v="4"/>
    <s v="Cash"/>
    <s v="Ritika"/>
    <s v="amit.sharma@company.com"/>
    <n v="9291239150"/>
    <s v="Pending"/>
    <m/>
    <m/>
    <m/>
    <m/>
    <m/>
    <m/>
    <m/>
    <m/>
    <m/>
    <m/>
    <m/>
    <m/>
    <m/>
    <m/>
    <m/>
    <m/>
    <m/>
    <m/>
    <m/>
    <m/>
    <x v="120"/>
  </r>
  <r>
    <s v="ORD10345"/>
    <s v="C003"/>
    <s v="P201"/>
    <x v="247"/>
    <s v="17/08/2025"/>
    <s v="Rohit Singh"/>
    <s v="Male"/>
    <s v="19/06/1975"/>
    <s v="Bengaluru"/>
    <x v="0"/>
    <x v="0"/>
    <s v="Mixer"/>
    <n v="16"/>
    <n v="3500"/>
    <n v="0"/>
    <n v="56000"/>
    <n v="4"/>
    <s v="Cash"/>
    <s v="Neha"/>
    <s v="rohit.singh@company.com"/>
    <n v="9550820904"/>
    <s v="Completed"/>
    <m/>
    <m/>
    <m/>
    <m/>
    <m/>
    <m/>
    <m/>
    <m/>
    <m/>
    <m/>
    <m/>
    <m/>
    <m/>
    <m/>
    <m/>
    <m/>
    <m/>
    <m/>
    <m/>
    <m/>
    <x v="246"/>
  </r>
  <r>
    <s v="ORD10346"/>
    <s v="C010"/>
    <s v="P201"/>
    <x v="208"/>
    <s v="25/02/2026"/>
    <s v="Pooja Shah"/>
    <s v="Female"/>
    <s v="09/01/1977"/>
    <s v="Ahmedabad"/>
    <x v="2"/>
    <x v="0"/>
    <s v="Mixer"/>
    <n v="18"/>
    <n v="3500"/>
    <n v="0.15"/>
    <n v="53550"/>
    <n v="5"/>
    <s v="Cash"/>
    <s v="Karan"/>
    <s v="pooja.shah@company.com"/>
    <n v="9294486423"/>
    <s v="Cancelled"/>
    <m/>
    <m/>
    <m/>
    <m/>
    <m/>
    <m/>
    <m/>
    <m/>
    <m/>
    <m/>
    <m/>
    <m/>
    <m/>
    <m/>
    <m/>
    <m/>
    <m/>
    <m/>
    <m/>
    <m/>
    <x v="207"/>
  </r>
  <r>
    <s v="ORD10347"/>
    <s v="C008"/>
    <s v="P303"/>
    <x v="3"/>
    <s v="26/03/2026"/>
    <s v="Kavya Nair"/>
    <s v="Female"/>
    <s v="20/09/1993"/>
    <s v="Ahmedabad"/>
    <x v="2"/>
    <x v="2"/>
    <s v="Marker"/>
    <n v="20"/>
    <n v="45"/>
    <n v="0.15"/>
    <n v="765"/>
    <n v="4"/>
    <s v="Cash"/>
    <s v="Karan"/>
    <s v="kavya.nair@company.com"/>
    <n v="9260258621"/>
    <s v="Cancelled"/>
    <m/>
    <m/>
    <m/>
    <m/>
    <m/>
    <m/>
    <m/>
    <m/>
    <m/>
    <m/>
    <m/>
    <m/>
    <m/>
    <m/>
    <m/>
    <m/>
    <m/>
    <m/>
    <m/>
    <m/>
    <x v="3"/>
  </r>
  <r>
    <s v="ORD10348"/>
    <s v="C006"/>
    <s v="P202"/>
    <x v="248"/>
    <s v="19/04/2026"/>
    <s v="Sneha Joshi"/>
    <s v="Female"/>
    <s v="05/03/1997"/>
    <s v="Delhi"/>
    <x v="1"/>
    <x v="0"/>
    <s v="Iron"/>
    <n v="13"/>
    <n v="2200"/>
    <n v="0.15"/>
    <n v="24310"/>
    <n v="2"/>
    <s v="NetBanking"/>
    <s v="Neha"/>
    <s v="sneha.joshi@company.com"/>
    <n v="9697433584"/>
    <s v="Pending"/>
    <m/>
    <m/>
    <m/>
    <m/>
    <m/>
    <m/>
    <m/>
    <m/>
    <m/>
    <m/>
    <m/>
    <m/>
    <m/>
    <m/>
    <m/>
    <m/>
    <m/>
    <m/>
    <m/>
    <m/>
    <x v="247"/>
  </r>
  <r>
    <s v="ORD10349"/>
    <s v="C010"/>
    <s v="P999"/>
    <x v="44"/>
    <s v="14/10/2025"/>
    <s v="Pooja Shah"/>
    <s v="Female"/>
    <s v="10/07/2002"/>
    <s v="Kolkata"/>
    <x v="3"/>
    <x v="0"/>
    <s v="Microwave"/>
    <n v="11"/>
    <n v="8500"/>
    <n v="0.05"/>
    <n v="88825"/>
    <n v="1"/>
    <s v="UPI"/>
    <s v="Neha"/>
    <s v="pooja.shah@company.com"/>
    <n v="9837969758"/>
    <s v="Cancelled"/>
    <m/>
    <m/>
    <m/>
    <m/>
    <m/>
    <m/>
    <m/>
    <m/>
    <m/>
    <m/>
    <m/>
    <m/>
    <m/>
    <m/>
    <m/>
    <m/>
    <m/>
    <m/>
    <m/>
    <m/>
    <x v="44"/>
  </r>
  <r>
    <s v="ORD10350"/>
    <s v="C010"/>
    <s v="P202"/>
    <x v="249"/>
    <s v="10/12/2025"/>
    <s v="Pooja Shah"/>
    <s v="Female"/>
    <s v="18/04/1984"/>
    <s v="Jaipur"/>
    <x v="1"/>
    <x v="0"/>
    <s v="Iron"/>
    <n v="2"/>
    <n v="2200"/>
    <n v="0"/>
    <n v="4400"/>
    <n v="4"/>
    <s v="UPI"/>
    <s v="Karan"/>
    <s v="pooja.shah@company.com"/>
    <n v="9209736419"/>
    <s v="Pending"/>
    <m/>
    <m/>
    <m/>
    <m/>
    <m/>
    <m/>
    <m/>
    <m/>
    <m/>
    <m/>
    <m/>
    <m/>
    <m/>
    <m/>
    <m/>
    <m/>
    <m/>
    <m/>
    <m/>
    <m/>
    <x v="248"/>
  </r>
  <r>
    <s v="ORD10351"/>
    <s v="C007"/>
    <s v="P102"/>
    <x v="250"/>
    <s v="04/08/2025"/>
    <s v="Arjun Rao"/>
    <s v="Male"/>
    <s v="01/07/2003"/>
    <s v="Mumbai"/>
    <x v="2"/>
    <x v="1"/>
    <s v="Mouse"/>
    <n v="15"/>
    <n v="700"/>
    <n v="0.15"/>
    <n v="8925"/>
    <n v="3"/>
    <s v="NetBanking"/>
    <s v="Neha"/>
    <s v="arjun.rao@company.com"/>
    <n v="9645907237"/>
    <s v="Completed"/>
    <m/>
    <m/>
    <m/>
    <m/>
    <m/>
    <m/>
    <m/>
    <m/>
    <m/>
    <m/>
    <m/>
    <m/>
    <m/>
    <m/>
    <m/>
    <m/>
    <m/>
    <m/>
    <m/>
    <m/>
    <x v="249"/>
  </r>
  <r>
    <s v="ORD10352"/>
    <s v="C003"/>
    <s v="P202"/>
    <x v="251"/>
    <s v="24/07/2025"/>
    <s v="Rohit Singh"/>
    <s v="Male"/>
    <s v="25/10/1992"/>
    <s v="Ahmedabad"/>
    <x v="2"/>
    <x v="0"/>
    <s v="Iron"/>
    <n v="5"/>
    <n v="2200"/>
    <n v="0.15"/>
    <n v="9350"/>
    <n v="1"/>
    <s v="NetBanking"/>
    <s v="Neha"/>
    <s v="rohit.singh@company.com"/>
    <n v="9566149945"/>
    <s v="Pending"/>
    <m/>
    <m/>
    <m/>
    <m/>
    <m/>
    <m/>
    <m/>
    <m/>
    <m/>
    <m/>
    <m/>
    <m/>
    <m/>
    <m/>
    <m/>
    <m/>
    <m/>
    <m/>
    <m/>
    <m/>
    <x v="250"/>
  </r>
  <r>
    <s v="ORD10353"/>
    <s v="C007"/>
    <s v="P103"/>
    <x v="84"/>
    <s v="12/03/2026"/>
    <s v="Arjun Rao"/>
    <s v="Male"/>
    <s v="05/08/1988"/>
    <s v="Ahmedabad"/>
    <x v="2"/>
    <x v="1"/>
    <s v="Keyboard"/>
    <n v="15"/>
    <n v="1200"/>
    <n v="0"/>
    <n v="18000"/>
    <n v="3"/>
    <s v="NetBanking"/>
    <s v="Aisha"/>
    <s v="arjun.rao@company.com"/>
    <n v="9935018068"/>
    <s v="Cancelled"/>
    <m/>
    <m/>
    <m/>
    <m/>
    <m/>
    <m/>
    <m/>
    <m/>
    <m/>
    <m/>
    <m/>
    <m/>
    <m/>
    <m/>
    <m/>
    <m/>
    <m/>
    <m/>
    <m/>
    <m/>
    <x v="84"/>
  </r>
  <r>
    <s v="ORD10354"/>
    <s v="C006"/>
    <s v="P103"/>
    <x v="15"/>
    <s v="10/04/2026"/>
    <s v="Sneha Joshi"/>
    <s v="Female"/>
    <s v="24/06/1987"/>
    <s v="Mumbai"/>
    <x v="2"/>
    <x v="1"/>
    <s v="Keyboard"/>
    <n v="19"/>
    <n v="1200"/>
    <n v="0"/>
    <n v="22800"/>
    <n v="1"/>
    <s v="Cash"/>
    <s v="Rahul"/>
    <s v="sneha.joshi@company.com"/>
    <n v="9171794652"/>
    <s v="Cancelled"/>
    <m/>
    <m/>
    <m/>
    <m/>
    <m/>
    <m/>
    <m/>
    <m/>
    <m/>
    <m/>
    <m/>
    <m/>
    <m/>
    <m/>
    <m/>
    <m/>
    <m/>
    <m/>
    <m/>
    <m/>
    <x v="15"/>
  </r>
  <r>
    <s v="ORD10355"/>
    <s v="C004"/>
    <s v="P104"/>
    <x v="0"/>
    <s v="25/09/2025"/>
    <s v="Anita Gupta"/>
    <s v="Female"/>
    <s v="19/10/1989"/>
    <s v="Mumbai"/>
    <x v="2"/>
    <x v="1"/>
    <s v="Monitor"/>
    <n v="9"/>
    <n v="12000"/>
    <n v="0.15"/>
    <n v="91800"/>
    <n v="3"/>
    <s v="UPI"/>
    <s v="Rahul"/>
    <s v="anita.gupta@company.com"/>
    <n v="9671497416"/>
    <s v="Cancelled"/>
    <m/>
    <m/>
    <m/>
    <m/>
    <m/>
    <m/>
    <m/>
    <m/>
    <m/>
    <m/>
    <m/>
    <m/>
    <m/>
    <m/>
    <m/>
    <m/>
    <m/>
    <m/>
    <m/>
    <m/>
    <x v="0"/>
  </r>
  <r>
    <s v="ORD10356"/>
    <s v="C008"/>
    <s v="P303"/>
    <x v="45"/>
    <s v="21/10/2025"/>
    <s v="Kavya Nair"/>
    <s v="Female"/>
    <s v="22/05/1992"/>
    <s v="Jaipur"/>
    <x v="1"/>
    <x v="2"/>
    <s v="Marker"/>
    <n v="5"/>
    <n v="45"/>
    <n v="0.05"/>
    <n v="213.75"/>
    <n v="1"/>
    <s v="Card"/>
    <s v="Neha"/>
    <s v="kavya.nair@company.com"/>
    <n v="9810433484"/>
    <s v="Completed"/>
    <m/>
    <m/>
    <m/>
    <m/>
    <m/>
    <m/>
    <m/>
    <m/>
    <m/>
    <m/>
    <m/>
    <m/>
    <m/>
    <m/>
    <m/>
    <m/>
    <m/>
    <m/>
    <m/>
    <m/>
    <x v="45"/>
  </r>
  <r>
    <s v="ORD10357"/>
    <s v="C006"/>
    <s v="P102"/>
    <x v="252"/>
    <s v="11/02/2025"/>
    <s v="Sneha Joshi"/>
    <s v="Female"/>
    <s v="10/11/1989"/>
    <s v="Mumbai"/>
    <x v="2"/>
    <x v="1"/>
    <s v="Mouse"/>
    <n v="3"/>
    <n v="700"/>
    <n v="0.15"/>
    <n v="1785"/>
    <n v="4"/>
    <s v="Cash"/>
    <s v="Karan"/>
    <s v="sneha.joshi@company.com"/>
    <n v="9990243436"/>
    <s v="Completed"/>
    <m/>
    <m/>
    <m/>
    <m/>
    <m/>
    <m/>
    <m/>
    <m/>
    <m/>
    <m/>
    <m/>
    <m/>
    <m/>
    <m/>
    <m/>
    <m/>
    <m/>
    <m/>
    <m/>
    <m/>
    <x v="76"/>
  </r>
  <r>
    <s v="ORD10358"/>
    <s v="C009"/>
    <s v="P203"/>
    <x v="64"/>
    <s v="26/12/2025"/>
    <s v="Mohit Verma"/>
    <s v="Male"/>
    <s v="03/09/1980"/>
    <s v="Jaipur"/>
    <x v="1"/>
    <x v="0"/>
    <s v="Microwave"/>
    <n v="12"/>
    <n v="8500"/>
    <n v="0.05"/>
    <n v="96900"/>
    <n v="3"/>
    <s v="Card"/>
    <s v="Aisha"/>
    <s v="mohit.verma@company.com"/>
    <n v="9396678031"/>
    <s v="Pending"/>
    <m/>
    <m/>
    <m/>
    <m/>
    <m/>
    <m/>
    <m/>
    <m/>
    <m/>
    <m/>
    <m/>
    <m/>
    <m/>
    <m/>
    <m/>
    <m/>
    <m/>
    <m/>
    <m/>
    <m/>
    <x v="64"/>
  </r>
  <r>
    <s v="ORD10359"/>
    <s v="C006"/>
    <s v="P203"/>
    <x v="253"/>
    <s v="19/04/2026"/>
    <s v="Sneha Joshi"/>
    <s v="Female"/>
    <s v="06/03/1979"/>
    <s v="Pune"/>
    <x v="2"/>
    <x v="0"/>
    <s v="Microwave"/>
    <n v="4"/>
    <n v="8500"/>
    <n v="0.15"/>
    <n v="28900"/>
    <n v="4"/>
    <s v="NetBanking"/>
    <s v="Aisha"/>
    <s v="sneha.joshi@company.com"/>
    <n v="9818591245"/>
    <s v="Pending"/>
    <m/>
    <m/>
    <m/>
    <m/>
    <m/>
    <m/>
    <m/>
    <m/>
    <m/>
    <m/>
    <m/>
    <m/>
    <m/>
    <m/>
    <m/>
    <m/>
    <m/>
    <m/>
    <m/>
    <m/>
    <x v="251"/>
  </r>
  <r>
    <s v="ORD10360"/>
    <s v="C003"/>
    <s v="P302"/>
    <x v="22"/>
    <s v="22/04/2025"/>
    <s v="Rohit Singh"/>
    <s v="Male"/>
    <s v="04/09/1996"/>
    <s v="Jaipur"/>
    <x v="1"/>
    <x v="2"/>
    <s v="Pen"/>
    <n v="16"/>
    <n v="20"/>
    <n v="0.1"/>
    <n v="288"/>
    <n v="4"/>
    <s v="Cash"/>
    <s v="Neha"/>
    <s v="rohit.singh@company.com"/>
    <n v="9505550047"/>
    <s v="Cancelled"/>
    <m/>
    <m/>
    <m/>
    <m/>
    <m/>
    <m/>
    <m/>
    <m/>
    <m/>
    <m/>
    <m/>
    <m/>
    <m/>
    <m/>
    <m/>
    <m/>
    <m/>
    <m/>
    <m/>
    <m/>
    <x v="22"/>
  </r>
  <r>
    <s v="ORD10361"/>
    <s v="C003"/>
    <s v="P301"/>
    <x v="254"/>
    <s v="18/05/2026"/>
    <s v="Rohit Singh"/>
    <s v="Male"/>
    <s v="14/03/1999"/>
    <s v="Mumbai"/>
    <x v="2"/>
    <x v="2"/>
    <s v="Notebook"/>
    <n v="3"/>
    <n v="60"/>
    <n v="0.2"/>
    <n v="144"/>
    <n v="4"/>
    <s v="UPI"/>
    <s v="Karan"/>
    <s v="rohit.singh@company.com"/>
    <n v="9469828772"/>
    <s v="Pending"/>
    <m/>
    <m/>
    <m/>
    <m/>
    <m/>
    <m/>
    <m/>
    <m/>
    <m/>
    <m/>
    <m/>
    <m/>
    <m/>
    <m/>
    <m/>
    <m/>
    <m/>
    <m/>
    <m/>
    <m/>
    <x v="252"/>
  </r>
  <r>
    <s v="ORD10362"/>
    <s v="C009"/>
    <s v="P202"/>
    <x v="179"/>
    <s v="26/07/2025"/>
    <s v="Mohit Verma"/>
    <s v="Male"/>
    <s v="03/10/1984"/>
    <s v="Mumbai"/>
    <x v="2"/>
    <x v="0"/>
    <s v="Iron"/>
    <n v="19"/>
    <n v="2200"/>
    <n v="0.1"/>
    <n v="37620"/>
    <n v="2"/>
    <s v="Cash"/>
    <s v="Karan"/>
    <s v="mohit.verma@company.com"/>
    <n v="9885092680"/>
    <s v="Pending"/>
    <m/>
    <m/>
    <m/>
    <m/>
    <m/>
    <m/>
    <m/>
    <m/>
    <m/>
    <m/>
    <m/>
    <m/>
    <m/>
    <m/>
    <m/>
    <m/>
    <m/>
    <m/>
    <m/>
    <m/>
    <x v="178"/>
  </r>
  <r>
    <s v="ORD10363"/>
    <s v="C009"/>
    <s v="P103"/>
    <x v="255"/>
    <s v="27/01/2026"/>
    <s v="Mohit Verma"/>
    <s v="Male"/>
    <s v="09/07/1984"/>
    <s v="Hyderabad"/>
    <x v="0"/>
    <x v="1"/>
    <s v="Keyboard"/>
    <n v="7"/>
    <n v="1200"/>
    <n v="0.2"/>
    <n v="6720"/>
    <n v="3"/>
    <s v="Card"/>
    <s v="Neha"/>
    <s v="mohit.verma@company.com"/>
    <n v="9362319457"/>
    <s v="Cancelled"/>
    <m/>
    <m/>
    <m/>
    <m/>
    <m/>
    <m/>
    <m/>
    <m/>
    <m/>
    <m/>
    <m/>
    <m/>
    <m/>
    <m/>
    <m/>
    <m/>
    <m/>
    <m/>
    <m/>
    <m/>
    <x v="253"/>
  </r>
  <r>
    <s v="ORD10364"/>
    <s v="C010"/>
    <s v="P302"/>
    <x v="82"/>
    <s v="21/03/2026"/>
    <s v="Pooja Shah"/>
    <s v="Female"/>
    <s v="10/03/1989"/>
    <s v="Bengaluru"/>
    <x v="0"/>
    <x v="2"/>
    <s v="Pen"/>
    <n v="20"/>
    <n v="20"/>
    <n v="0.2"/>
    <n v="320"/>
    <n v="5"/>
    <s v="Card"/>
    <s v="Neha"/>
    <s v="pooja.shah@company.com"/>
    <n v="9223945130"/>
    <s v="Pending"/>
    <m/>
    <m/>
    <m/>
    <m/>
    <m/>
    <m/>
    <m/>
    <m/>
    <m/>
    <m/>
    <m/>
    <m/>
    <m/>
    <m/>
    <m/>
    <m/>
    <m/>
    <m/>
    <m/>
    <m/>
    <x v="82"/>
  </r>
  <r>
    <s v="ORD10365"/>
    <s v="C002"/>
    <s v="P103"/>
    <x v="256"/>
    <s v="07/05/2025"/>
    <s v="Priya Patel"/>
    <s v="Female"/>
    <s v="19/04/1985"/>
    <s v="Hyderabad"/>
    <x v="0"/>
    <x v="1"/>
    <s v="Keyboard"/>
    <n v="19"/>
    <n v="1200"/>
    <n v="0.05"/>
    <n v="21660"/>
    <n v="3"/>
    <s v="Card"/>
    <s v="Ritika"/>
    <s v="priya.patel@company.com"/>
    <n v="9910804926"/>
    <s v="Pending"/>
    <m/>
    <m/>
    <m/>
    <m/>
    <m/>
    <m/>
    <m/>
    <m/>
    <m/>
    <m/>
    <m/>
    <m/>
    <m/>
    <m/>
    <m/>
    <m/>
    <m/>
    <m/>
    <m/>
    <m/>
    <x v="254"/>
  </r>
  <r>
    <s v="ORD10366"/>
    <s v="C010"/>
    <s v="P302"/>
    <x v="257"/>
    <s v="13/02/2025"/>
    <s v="Pooja Shah"/>
    <s v="Female"/>
    <s v="13/08/2003"/>
    <s v="Hyderabad"/>
    <x v="0"/>
    <x v="2"/>
    <s v="Pen"/>
    <n v="5"/>
    <n v="20"/>
    <n v="0"/>
    <n v="100"/>
    <n v="2"/>
    <s v="UPI"/>
    <s v="Rahul"/>
    <s v="pooja.shah@company.com"/>
    <n v="9274269744"/>
    <s v="Pending"/>
    <m/>
    <m/>
    <m/>
    <m/>
    <m/>
    <m/>
    <m/>
    <m/>
    <m/>
    <m/>
    <m/>
    <m/>
    <m/>
    <m/>
    <m/>
    <m/>
    <m/>
    <m/>
    <m/>
    <m/>
    <x v="255"/>
  </r>
  <r>
    <s v="ORD10367"/>
    <s v="C002"/>
    <s v="P303"/>
    <x v="128"/>
    <s v="16/03/2026"/>
    <s v="Priya Patel"/>
    <s v="Female"/>
    <s v="11/09/1983"/>
    <s v="Jaipur"/>
    <x v="1"/>
    <x v="2"/>
    <s v="Marker"/>
    <n v="16"/>
    <n v="45"/>
    <n v="0.15"/>
    <n v="612"/>
    <n v="5"/>
    <s v="Cash"/>
    <s v="Aisha"/>
    <s v="priya.patel@company.com"/>
    <n v="9223196101"/>
    <s v="Cancelled"/>
    <m/>
    <m/>
    <m/>
    <m/>
    <m/>
    <m/>
    <m/>
    <m/>
    <m/>
    <m/>
    <m/>
    <m/>
    <m/>
    <m/>
    <m/>
    <m/>
    <m/>
    <m/>
    <m/>
    <m/>
    <x v="128"/>
  </r>
  <r>
    <s v="ORD10368"/>
    <s v="C008"/>
    <s v="P202"/>
    <x v="201"/>
    <s v="15/05/2025"/>
    <s v="Kavya Nair"/>
    <s v="Female"/>
    <s v="11/06/1976"/>
    <s v="Jaipur"/>
    <x v="1"/>
    <x v="0"/>
    <s v="Iron"/>
    <n v="1"/>
    <n v="2200"/>
    <n v="0.1"/>
    <n v="1980"/>
    <n v="5"/>
    <s v="Card"/>
    <s v="Rahul"/>
    <s v="kavya.nair@company.com"/>
    <n v="9888477457"/>
    <s v="Completed"/>
    <m/>
    <m/>
    <m/>
    <m/>
    <m/>
    <m/>
    <m/>
    <m/>
    <m/>
    <m/>
    <m/>
    <m/>
    <m/>
    <m/>
    <m/>
    <m/>
    <m/>
    <m/>
    <m/>
    <m/>
    <x v="200"/>
  </r>
  <r>
    <s v="ORD10369"/>
    <s v="C010"/>
    <s v="P301"/>
    <x v="142"/>
    <s v="05/04/2026"/>
    <s v="Pooja Shah"/>
    <s v="Female"/>
    <s v="04/01/1987"/>
    <s v="Hyderabad"/>
    <x v="0"/>
    <x v="2"/>
    <s v="Notebook"/>
    <n v="19"/>
    <n v="60"/>
    <n v="0.15"/>
    <n v="969"/>
    <n v="4"/>
    <s v="NetBanking"/>
    <s v="Neha"/>
    <s v="pooja.shah@company.com"/>
    <n v="9435947486"/>
    <s v="Cancelled"/>
    <m/>
    <m/>
    <m/>
    <m/>
    <m/>
    <m/>
    <m/>
    <m/>
    <m/>
    <m/>
    <m/>
    <m/>
    <m/>
    <m/>
    <m/>
    <m/>
    <m/>
    <m/>
    <m/>
    <m/>
    <x v="142"/>
  </r>
  <r>
    <s v="ORD10370"/>
    <s v="C001"/>
    <s v="P101"/>
    <x v="252"/>
    <s v="02/02/2025"/>
    <s v="Amit Sharma"/>
    <s v="Male"/>
    <s v="14/05/1992"/>
    <s v="Delhi"/>
    <x v="1"/>
    <x v="1"/>
    <s v="Laptop"/>
    <n v="15"/>
    <n v="55000"/>
    <n v="0"/>
    <n v="825000"/>
    <n v="5"/>
    <s v="Card"/>
    <s v="Neha"/>
    <s v="amit.sharma@company.com"/>
    <n v="9411668831"/>
    <s v="Cancelled"/>
    <m/>
    <m/>
    <m/>
    <m/>
    <m/>
    <m/>
    <m/>
    <m/>
    <m/>
    <m/>
    <m/>
    <m/>
    <m/>
    <m/>
    <m/>
    <m/>
    <m/>
    <m/>
    <m/>
    <m/>
    <x v="76"/>
  </r>
  <r>
    <s v="ORD10371"/>
    <s v="C009"/>
    <s v="P303"/>
    <x v="229"/>
    <s v="08/10/2025"/>
    <s v="Mohit Verma"/>
    <s v="Male"/>
    <s v="03/05/1989"/>
    <s v="Bengaluru"/>
    <x v="0"/>
    <x v="2"/>
    <s v="Marker"/>
    <n v="11"/>
    <n v="45"/>
    <n v="0.05"/>
    <n v="470.25"/>
    <n v="5"/>
    <s v="NetBanking"/>
    <s v="Karan"/>
    <s v="mohit.verma@company.com"/>
    <n v="9523682403"/>
    <s v="Completed"/>
    <m/>
    <m/>
    <m/>
    <m/>
    <m/>
    <m/>
    <m/>
    <m/>
    <m/>
    <m/>
    <m/>
    <m/>
    <m/>
    <m/>
    <m/>
    <m/>
    <m/>
    <m/>
    <m/>
    <m/>
    <x v="228"/>
  </r>
  <r>
    <s v="ORD10372"/>
    <s v="C006"/>
    <s v="P302"/>
    <x v="258"/>
    <s v="17/06/2025"/>
    <s v="Sneha Joshi"/>
    <s v="Female"/>
    <s v="19/12/1990"/>
    <s v="Jaipur"/>
    <x v="1"/>
    <x v="2"/>
    <s v="Pen"/>
    <n v="9"/>
    <n v="20"/>
    <n v="0.1"/>
    <n v="162"/>
    <n v="1"/>
    <s v="Card"/>
    <s v="Rahul"/>
    <s v="sneha.joshi@company.com"/>
    <n v="9652936744"/>
    <s v="Cancelled"/>
    <m/>
    <m/>
    <m/>
    <m/>
    <m/>
    <m/>
    <m/>
    <m/>
    <m/>
    <m/>
    <m/>
    <m/>
    <m/>
    <m/>
    <m/>
    <m/>
    <m/>
    <m/>
    <m/>
    <m/>
    <x v="256"/>
  </r>
  <r>
    <s v="ORD10373"/>
    <s v="C004"/>
    <s v="P303"/>
    <x v="102"/>
    <s v="20/11/2025"/>
    <s v="Anita Gupta"/>
    <s v="Female"/>
    <s v="09/07/1995"/>
    <s v="Bengaluru"/>
    <x v="0"/>
    <x v="2"/>
    <s v="Marker"/>
    <n v="5"/>
    <n v="45"/>
    <n v="0.05"/>
    <n v="213.75"/>
    <n v="3"/>
    <s v="Card"/>
    <s v="Neha"/>
    <s v="anita.gupta@company.com"/>
    <n v="9726464733"/>
    <s v="Pending"/>
    <m/>
    <m/>
    <m/>
    <m/>
    <m/>
    <m/>
    <m/>
    <m/>
    <m/>
    <m/>
    <m/>
    <m/>
    <m/>
    <m/>
    <m/>
    <m/>
    <m/>
    <m/>
    <m/>
    <m/>
    <x v="102"/>
  </r>
  <r>
    <s v="ORD10374"/>
    <s v="C007"/>
    <s v="P102"/>
    <x v="259"/>
    <s v="02/11/2025"/>
    <s v="Arjun Rao"/>
    <s v="Male"/>
    <s v="23/12/1998"/>
    <s v="Hyderabad"/>
    <x v="0"/>
    <x v="1"/>
    <s v="Mouse"/>
    <n v="5"/>
    <n v="700"/>
    <n v="0.1"/>
    <n v="3150"/>
    <n v="2"/>
    <s v="UPI"/>
    <s v="Rahul"/>
    <s v="arjun.rao@company.com"/>
    <n v="9273520544"/>
    <s v="Completed"/>
    <m/>
    <m/>
    <m/>
    <m/>
    <m/>
    <m/>
    <m/>
    <m/>
    <m/>
    <m/>
    <m/>
    <m/>
    <m/>
    <m/>
    <m/>
    <m/>
    <m/>
    <m/>
    <m/>
    <m/>
    <x v="257"/>
  </r>
  <r>
    <s v="ORD10375"/>
    <s v="C005"/>
    <s v="P102"/>
    <x v="260"/>
    <s v="31/01/2025"/>
    <s v="Vikas Mehta"/>
    <s v="Male"/>
    <s v="23/12/1979"/>
    <s v="Kolkata"/>
    <x v="3"/>
    <x v="1"/>
    <s v="Mouse"/>
    <n v="1"/>
    <n v="700"/>
    <n v="0"/>
    <n v="700"/>
    <n v="1"/>
    <s v="UPI"/>
    <s v="Karan"/>
    <s v="vikas.mehta@company.com"/>
    <n v="9374259988"/>
    <s v="Completed"/>
    <m/>
    <m/>
    <m/>
    <m/>
    <m/>
    <m/>
    <m/>
    <m/>
    <m/>
    <m/>
    <m/>
    <m/>
    <m/>
    <m/>
    <m/>
    <m/>
    <m/>
    <m/>
    <m/>
    <m/>
    <x v="258"/>
  </r>
  <r>
    <s v="ORD10376"/>
    <s v="C008"/>
    <s v="P102"/>
    <x v="219"/>
    <s v="21/02/2026"/>
    <s v="Kavya Nair"/>
    <s v="Female"/>
    <s v="15/12/1975"/>
    <s v="Mumbai"/>
    <x v="2"/>
    <x v="1"/>
    <s v="Mouse"/>
    <n v="13"/>
    <n v="700"/>
    <n v="0.2"/>
    <n v="7280"/>
    <n v="2"/>
    <s v="Card"/>
    <s v="Ritika"/>
    <s v="kavya.nair@company.com"/>
    <n v="9538129419"/>
    <s v="Completed"/>
    <m/>
    <m/>
    <m/>
    <m/>
    <m/>
    <m/>
    <m/>
    <m/>
    <m/>
    <m/>
    <m/>
    <m/>
    <m/>
    <m/>
    <m/>
    <m/>
    <m/>
    <m/>
    <m/>
    <m/>
    <x v="218"/>
  </r>
  <r>
    <s v="ORD10377"/>
    <s v="C009"/>
    <s v="P104"/>
    <x v="189"/>
    <s v="19/02/2025"/>
    <s v="Mohit Verma"/>
    <s v="Male"/>
    <s v="17/05/1993"/>
    <s v="Pune"/>
    <x v="2"/>
    <x v="1"/>
    <s v="Monitor"/>
    <n v="20"/>
    <n v="12000"/>
    <n v="0"/>
    <n v="240000"/>
    <n v="2"/>
    <s v="Card"/>
    <s v="Neha"/>
    <s v="mohit.verma@company.com"/>
    <n v="9382815686"/>
    <s v="Completed"/>
    <m/>
    <m/>
    <m/>
    <m/>
    <m/>
    <m/>
    <m/>
    <m/>
    <m/>
    <m/>
    <m/>
    <m/>
    <m/>
    <m/>
    <m/>
    <m/>
    <m/>
    <m/>
    <m/>
    <m/>
    <x v="188"/>
  </r>
  <r>
    <s v="ORD10378"/>
    <s v="C007"/>
    <s v="P103"/>
    <x v="194"/>
    <s v="06/01/2026"/>
    <s v="Arjun Rao"/>
    <s v="Male"/>
    <s v="17/09/1976"/>
    <s v="Kolkata"/>
    <x v="3"/>
    <x v="1"/>
    <s v="Keyboard"/>
    <n v="9"/>
    <n v="1200"/>
    <n v="0.15"/>
    <n v="9180"/>
    <n v="1"/>
    <s v="UPI"/>
    <s v="Ritika"/>
    <s v="arjun.rao@company.com"/>
    <n v="9450746157"/>
    <s v="Pending"/>
    <m/>
    <m/>
    <m/>
    <m/>
    <m/>
    <m/>
    <m/>
    <m/>
    <m/>
    <m/>
    <m/>
    <m/>
    <m/>
    <m/>
    <m/>
    <m/>
    <m/>
    <m/>
    <m/>
    <m/>
    <x v="193"/>
  </r>
  <r>
    <s v="ORD10379"/>
    <s v="C007"/>
    <s v="P302"/>
    <x v="261"/>
    <s v="03/10/2025"/>
    <s v="Arjun Rao"/>
    <s v="Male"/>
    <s v="22/12/1996"/>
    <s v="Jaipur"/>
    <x v="1"/>
    <x v="2"/>
    <s v="Pen"/>
    <n v="3"/>
    <n v="20"/>
    <n v="0.15"/>
    <n v="51"/>
    <n v="3"/>
    <s v="Cash"/>
    <s v="Neha"/>
    <s v="arjun.rao@company.com"/>
    <n v="9349012570"/>
    <s v="Pending"/>
    <m/>
    <m/>
    <m/>
    <m/>
    <m/>
    <m/>
    <m/>
    <m/>
    <m/>
    <m/>
    <m/>
    <m/>
    <m/>
    <m/>
    <m/>
    <m/>
    <m/>
    <m/>
    <m/>
    <m/>
    <x v="259"/>
  </r>
  <r>
    <s v="ORD10380"/>
    <s v="C006"/>
    <s v="P101"/>
    <x v="168"/>
    <s v="19/12/2025"/>
    <s v="Sneha Joshi"/>
    <s v="Female"/>
    <s v="25/12/1995"/>
    <s v="Delhi"/>
    <x v="1"/>
    <x v="1"/>
    <s v="Laptop"/>
    <n v="8"/>
    <n v="55000"/>
    <n v="0.2"/>
    <n v="352000"/>
    <n v="5"/>
    <s v="Card"/>
    <s v="Karan"/>
    <s v="sneha.joshi@company.com"/>
    <n v="9442163790"/>
    <s v="Pending"/>
    <m/>
    <m/>
    <m/>
    <m/>
    <m/>
    <m/>
    <m/>
    <m/>
    <m/>
    <m/>
    <m/>
    <m/>
    <m/>
    <m/>
    <m/>
    <m/>
    <m/>
    <m/>
    <m/>
    <m/>
    <x v="168"/>
  </r>
  <r>
    <s v="ORD10381"/>
    <s v="C006"/>
    <s v="P301"/>
    <x v="262"/>
    <s v="07/10/2025"/>
    <s v="Sneha Joshi"/>
    <s v="Female"/>
    <s v="23/06/1985"/>
    <s v="Delhi"/>
    <x v="1"/>
    <x v="2"/>
    <s v="Notebook"/>
    <n v="17"/>
    <n v="60"/>
    <n v="0.2"/>
    <n v="816"/>
    <n v="1"/>
    <s v="UPI"/>
    <s v="Ritika"/>
    <s v="sneha.joshi@company.com"/>
    <n v="9953329223"/>
    <s v="Pending"/>
    <m/>
    <m/>
    <m/>
    <m/>
    <m/>
    <m/>
    <m/>
    <m/>
    <m/>
    <m/>
    <m/>
    <m/>
    <m/>
    <m/>
    <m/>
    <m/>
    <m/>
    <m/>
    <m/>
    <m/>
    <x v="260"/>
  </r>
  <r>
    <s v="ORD10382"/>
    <s v="C003"/>
    <s v="P302"/>
    <x v="263"/>
    <s v="22/05/2025"/>
    <s v="Rohit Singh"/>
    <s v="Male"/>
    <s v="10/02/1984"/>
    <s v="Bengaluru"/>
    <x v="0"/>
    <x v="2"/>
    <s v="Pen"/>
    <n v="4"/>
    <n v="20"/>
    <n v="0.15"/>
    <n v="68"/>
    <n v="3"/>
    <s v="NetBanking"/>
    <s v="Aisha"/>
    <s v="rohit.singh@company.com"/>
    <n v="9202321359"/>
    <s v="Pending"/>
    <m/>
    <m/>
    <m/>
    <m/>
    <m/>
    <m/>
    <m/>
    <m/>
    <m/>
    <m/>
    <m/>
    <m/>
    <m/>
    <m/>
    <m/>
    <m/>
    <m/>
    <m/>
    <m/>
    <m/>
    <x v="261"/>
  </r>
  <r>
    <s v="ORD10383"/>
    <s v="C003"/>
    <s v="P202"/>
    <x v="222"/>
    <s v="11/04/2025"/>
    <s v="Rohit Singh"/>
    <s v="Male"/>
    <s v="02/04/2002"/>
    <s v="Kolkata"/>
    <x v="3"/>
    <x v="0"/>
    <s v="Iron"/>
    <n v="2"/>
    <n v="2200"/>
    <n v="0.1"/>
    <n v="3960"/>
    <n v="2"/>
    <s v="UPI"/>
    <s v="Rahul"/>
    <s v="rohit.singh@company.com"/>
    <n v="9812564160"/>
    <s v="Pending"/>
    <m/>
    <m/>
    <m/>
    <m/>
    <m/>
    <m/>
    <m/>
    <m/>
    <m/>
    <m/>
    <m/>
    <m/>
    <m/>
    <m/>
    <m/>
    <m/>
    <m/>
    <m/>
    <m/>
    <m/>
    <x v="221"/>
  </r>
  <r>
    <s v="ORD10384"/>
    <s v="C005"/>
    <s v="P301"/>
    <x v="65"/>
    <s v="18/04/2025"/>
    <s v="Vikas Mehta"/>
    <s v="Male"/>
    <s v="17/07/2003"/>
    <s v="Bengaluru"/>
    <x v="0"/>
    <x v="2"/>
    <s v="Notebook"/>
    <n v="5"/>
    <n v="60"/>
    <n v="0.05"/>
    <n v="285"/>
    <n v="1"/>
    <s v="UPI"/>
    <s v="Ritika"/>
    <s v="vikas.mehta@company.com"/>
    <n v="9688458222"/>
    <s v="Cancelled"/>
    <m/>
    <m/>
    <m/>
    <m/>
    <m/>
    <m/>
    <m/>
    <m/>
    <m/>
    <m/>
    <m/>
    <m/>
    <m/>
    <m/>
    <m/>
    <m/>
    <m/>
    <m/>
    <m/>
    <m/>
    <x v="65"/>
  </r>
  <r>
    <s v="ORD10385"/>
    <s v="C003"/>
    <s v="P202"/>
    <x v="264"/>
    <s v="23/02/2026"/>
    <s v="Rohit Singh"/>
    <s v="Male"/>
    <s v="06/10/1991"/>
    <s v="Delhi"/>
    <x v="1"/>
    <x v="0"/>
    <s v="Iron"/>
    <n v="17"/>
    <n v="2200"/>
    <n v="0"/>
    <n v="37400"/>
    <n v="2"/>
    <s v="UPI"/>
    <s v="Karan"/>
    <s v="rohit.singh@company.com"/>
    <n v="9634473337"/>
    <s v="Cancelled"/>
    <m/>
    <m/>
    <m/>
    <m/>
    <m/>
    <m/>
    <m/>
    <m/>
    <m/>
    <m/>
    <m/>
    <m/>
    <m/>
    <m/>
    <m/>
    <m/>
    <m/>
    <m/>
    <m/>
    <m/>
    <x v="262"/>
  </r>
  <r>
    <s v="ORD10386"/>
    <s v="C004"/>
    <s v="P301"/>
    <x v="242"/>
    <s v="11/12/2025"/>
    <s v="Anita Gupta"/>
    <s v="Female"/>
    <s v="05/01/1984"/>
    <s v="Ahmedabad"/>
    <x v="2"/>
    <x v="2"/>
    <s v="Notebook"/>
    <n v="7"/>
    <n v="60"/>
    <n v="0"/>
    <n v="420"/>
    <n v="2"/>
    <s v="UPI"/>
    <s v="Aisha"/>
    <s v="anita.gupta@company.com"/>
    <n v="9608737026"/>
    <s v="Pending"/>
    <m/>
    <m/>
    <m/>
    <m/>
    <m/>
    <m/>
    <m/>
    <m/>
    <m/>
    <m/>
    <m/>
    <m/>
    <m/>
    <m/>
    <m/>
    <m/>
    <m/>
    <m/>
    <m/>
    <m/>
    <x v="241"/>
  </r>
  <r>
    <s v="ORD10387"/>
    <s v="C005"/>
    <s v="P101"/>
    <x v="111"/>
    <s v="24/10/2025"/>
    <s v="Vikas Mehta"/>
    <s v="Male"/>
    <s v="12/03/1975"/>
    <s v="Hyderabad"/>
    <x v="0"/>
    <x v="1"/>
    <s v="Laptop"/>
    <n v="6"/>
    <n v="55000"/>
    <n v="0.05"/>
    <n v="313500"/>
    <n v="4"/>
    <s v="Card"/>
    <s v="Aisha"/>
    <s v="vikas.mehta@company.com"/>
    <n v="9804498139"/>
    <s v="Completed"/>
    <m/>
    <m/>
    <m/>
    <m/>
    <m/>
    <m/>
    <m/>
    <m/>
    <m/>
    <m/>
    <m/>
    <m/>
    <m/>
    <m/>
    <m/>
    <m/>
    <m/>
    <m/>
    <m/>
    <m/>
    <x v="111"/>
  </r>
  <r>
    <s v="ORD10388"/>
    <s v="C009"/>
    <s v="P302"/>
    <x v="209"/>
    <s v="25/01/2026"/>
    <s v="Mohit Verma"/>
    <s v="Male"/>
    <s v="15/03/1983"/>
    <s v="Hyderabad"/>
    <x v="0"/>
    <x v="2"/>
    <s v="Pen"/>
    <n v="16"/>
    <n v="20"/>
    <n v="0.05"/>
    <n v="304"/>
    <n v="1"/>
    <s v="Card"/>
    <s v="Rahul"/>
    <s v="mohit.verma@company.com"/>
    <n v="9798643580"/>
    <s v="Completed"/>
    <m/>
    <m/>
    <m/>
    <m/>
    <m/>
    <m/>
    <m/>
    <m/>
    <m/>
    <m/>
    <m/>
    <m/>
    <m/>
    <m/>
    <m/>
    <m/>
    <m/>
    <m/>
    <m/>
    <m/>
    <x v="208"/>
  </r>
  <r>
    <s v="ORD10389"/>
    <s v="C008"/>
    <s v="P202"/>
    <x v="265"/>
    <s v="28/01/2025"/>
    <s v="Kavya Nair"/>
    <s v="Female"/>
    <s v="20/04/1976"/>
    <s v="Kolkata"/>
    <x v="3"/>
    <x v="0"/>
    <s v="Iron"/>
    <n v="11"/>
    <n v="2200"/>
    <n v="0.15"/>
    <n v="20570"/>
    <n v="1"/>
    <s v="NetBanking"/>
    <s v="Neha"/>
    <s v="kavya.nair@company.com"/>
    <n v="9809823278"/>
    <s v="Cancelled"/>
    <m/>
    <m/>
    <m/>
    <m/>
    <m/>
    <m/>
    <m/>
    <m/>
    <m/>
    <m/>
    <m/>
    <m/>
    <m/>
    <m/>
    <m/>
    <m/>
    <m/>
    <m/>
    <m/>
    <m/>
    <x v="263"/>
  </r>
  <r>
    <s v="ORD10390"/>
    <s v="C002"/>
    <s v="P302"/>
    <x v="172"/>
    <s v="02/03/2025"/>
    <s v="Priya Patel"/>
    <s v="Female"/>
    <s v="11/02/1986"/>
    <s v="Pune"/>
    <x v="2"/>
    <x v="2"/>
    <s v="Pen"/>
    <n v="19"/>
    <n v="20"/>
    <n v="0.05"/>
    <n v="361"/>
    <n v="4"/>
    <s v="UPI"/>
    <s v="Ritika"/>
    <s v="priya.patel@company.com"/>
    <n v="9177767854"/>
    <s v="Pending"/>
    <m/>
    <m/>
    <m/>
    <m/>
    <m/>
    <m/>
    <m/>
    <m/>
    <m/>
    <m/>
    <m/>
    <m/>
    <m/>
    <m/>
    <m/>
    <m/>
    <m/>
    <m/>
    <m/>
    <m/>
    <x v="6"/>
  </r>
  <r>
    <s v="ORD10391"/>
    <s v="C002"/>
    <s v="P103"/>
    <x v="266"/>
    <s v="21/06/2025"/>
    <s v="Priya Patel"/>
    <s v="Female"/>
    <s v="21/03/1978"/>
    <s v="Pune"/>
    <x v="2"/>
    <x v="1"/>
    <s v="Keyboard"/>
    <n v="20"/>
    <n v="1200"/>
    <n v="0.15"/>
    <n v="20400"/>
    <n v="4"/>
    <s v="Card"/>
    <s v="Ritika"/>
    <s v="priya.patel@company.com"/>
    <n v="9643440006"/>
    <s v="Pending"/>
    <m/>
    <m/>
    <m/>
    <m/>
    <m/>
    <m/>
    <m/>
    <m/>
    <m/>
    <m/>
    <m/>
    <m/>
    <m/>
    <m/>
    <m/>
    <m/>
    <m/>
    <m/>
    <m/>
    <m/>
    <x v="264"/>
  </r>
  <r>
    <s v="ORD10392"/>
    <s v="C010"/>
    <s v="P302"/>
    <x v="267"/>
    <s v="06/06/2025"/>
    <s v="Pooja Shah"/>
    <s v="Female"/>
    <s v="12/07/1996"/>
    <s v="Hyderabad"/>
    <x v="0"/>
    <x v="2"/>
    <s v="Pen"/>
    <n v="13"/>
    <n v="20"/>
    <n v="0.15"/>
    <n v="221"/>
    <n v="4"/>
    <s v="Cash"/>
    <s v="Ritika"/>
    <s v="pooja.shah@company.com"/>
    <n v="9673698825"/>
    <s v="Pending"/>
    <m/>
    <m/>
    <m/>
    <m/>
    <m/>
    <m/>
    <m/>
    <m/>
    <m/>
    <m/>
    <m/>
    <m/>
    <m/>
    <m/>
    <m/>
    <m/>
    <m/>
    <m/>
    <m/>
    <m/>
    <x v="265"/>
  </r>
  <r>
    <s v="ORD10393"/>
    <s v="C006"/>
    <s v="P103"/>
    <x v="21"/>
    <s v="08/01/2025"/>
    <s v="Sneha Joshi"/>
    <s v="Female"/>
    <s v="02/12/1992"/>
    <s v="Delhi"/>
    <x v="1"/>
    <x v="1"/>
    <s v="Keyboard"/>
    <n v="12"/>
    <n v="1200"/>
    <n v="0.1"/>
    <n v="12960"/>
    <n v="3"/>
    <s v="NetBanking"/>
    <s v="Ritika"/>
    <s v="sneha.joshi@company.com"/>
    <n v="9706238784"/>
    <s v="Pending"/>
    <m/>
    <m/>
    <m/>
    <m/>
    <m/>
    <m/>
    <m/>
    <m/>
    <m/>
    <m/>
    <m/>
    <m/>
    <m/>
    <m/>
    <m/>
    <m/>
    <m/>
    <m/>
    <m/>
    <m/>
    <x v="21"/>
  </r>
  <r>
    <s v="ORD10394"/>
    <s v="C002"/>
    <s v="P203"/>
    <x v="268"/>
    <s v="29/01/2025"/>
    <s v="Priya Patel"/>
    <s v="Female"/>
    <s v="23/03/1996"/>
    <s v="Kolkata"/>
    <x v="3"/>
    <x v="0"/>
    <s v="Microwave"/>
    <n v="6"/>
    <n v="8500"/>
    <n v="0.05"/>
    <n v="48450"/>
    <n v="5"/>
    <s v="Cash"/>
    <s v="Neha"/>
    <s v="priya.patel@company.com"/>
    <n v="9132959877"/>
    <s v="Cancelled"/>
    <m/>
    <m/>
    <m/>
    <m/>
    <m/>
    <m/>
    <m/>
    <m/>
    <m/>
    <m/>
    <m/>
    <m/>
    <m/>
    <m/>
    <m/>
    <m/>
    <m/>
    <m/>
    <m/>
    <m/>
    <x v="266"/>
  </r>
  <r>
    <s v="ORD10395"/>
    <s v="C008"/>
    <s v="P203"/>
    <x v="208"/>
    <s v="26/02/2026"/>
    <s v="Kavya Nair"/>
    <s v="Female"/>
    <s v="23/06/1994"/>
    <s v="Ahmedabad"/>
    <x v="2"/>
    <x v="0"/>
    <s v="Microwave"/>
    <n v="15"/>
    <n v="8500"/>
    <n v="0.1"/>
    <n v="114750"/>
    <n v="1"/>
    <s v="Cash"/>
    <s v="Neha"/>
    <s v="kavya.nair@company.com"/>
    <n v="9295011645"/>
    <s v="Completed"/>
    <m/>
    <m/>
    <m/>
    <m/>
    <m/>
    <m/>
    <m/>
    <m/>
    <m/>
    <m/>
    <m/>
    <m/>
    <m/>
    <m/>
    <m/>
    <m/>
    <m/>
    <m/>
    <m/>
    <m/>
    <x v="207"/>
  </r>
  <r>
    <s v="ORD10396"/>
    <s v="C003"/>
    <s v="P104"/>
    <x v="269"/>
    <s v="15/08/2025"/>
    <s v="Rohit Singh"/>
    <s v="Male"/>
    <s v="02/02/1980"/>
    <s v="Hyderabad"/>
    <x v="0"/>
    <x v="1"/>
    <s v="Monitor"/>
    <n v="19"/>
    <n v="12000"/>
    <n v="0.2"/>
    <n v="182400"/>
    <n v="5"/>
    <s v="Cash"/>
    <s v="Neha"/>
    <s v="rohit.singh@company.com"/>
    <n v="9677606427"/>
    <s v="Completed"/>
    <m/>
    <m/>
    <m/>
    <m/>
    <m/>
    <m/>
    <m/>
    <m/>
    <m/>
    <m/>
    <m/>
    <m/>
    <m/>
    <m/>
    <m/>
    <m/>
    <m/>
    <m/>
    <m/>
    <m/>
    <x v="267"/>
  </r>
  <r>
    <s v="ORD10397"/>
    <s v="C007"/>
    <s v="P102"/>
    <x v="270"/>
    <s v="18/01/2025"/>
    <s v="Arjun Rao"/>
    <s v="Male"/>
    <s v="24/08/1990"/>
    <s v="Delhi"/>
    <x v="1"/>
    <x v="1"/>
    <s v="Mouse"/>
    <n v="5"/>
    <n v="700"/>
    <n v="0"/>
    <n v="3500"/>
    <n v="2"/>
    <s v="Card"/>
    <s v="Aisha"/>
    <s v="arjun.rao@company.com"/>
    <n v="9161631566"/>
    <s v="Cancelled"/>
    <m/>
    <m/>
    <m/>
    <m/>
    <m/>
    <m/>
    <m/>
    <m/>
    <m/>
    <m/>
    <m/>
    <m/>
    <m/>
    <m/>
    <m/>
    <m/>
    <m/>
    <m/>
    <m/>
    <m/>
    <x v="268"/>
  </r>
  <r>
    <s v="ORD10398"/>
    <s v="C007"/>
    <s v="P104"/>
    <x v="271"/>
    <s v="04/02/2025"/>
    <s v="Arjun Rao"/>
    <s v="Male"/>
    <s v="10/12/1978"/>
    <s v="Kolkata"/>
    <x v="3"/>
    <x v="1"/>
    <s v="Monitor"/>
    <n v="19"/>
    <n v="12000"/>
    <n v="0"/>
    <n v="228000"/>
    <n v="4"/>
    <s v="UPI"/>
    <s v="Aisha"/>
    <s v="arjun.rao@company.com"/>
    <n v="9136906750"/>
    <s v="Pending"/>
    <m/>
    <m/>
    <m/>
    <m/>
    <m/>
    <m/>
    <m/>
    <m/>
    <m/>
    <m/>
    <m/>
    <m/>
    <m/>
    <m/>
    <m/>
    <m/>
    <m/>
    <m/>
    <m/>
    <m/>
    <x v="269"/>
  </r>
  <r>
    <s v="ORD10399"/>
    <s v="C001"/>
    <s v="P102"/>
    <x v="252"/>
    <s v="03/11/2025"/>
    <s v="Amit Sharma"/>
    <s v="Male"/>
    <s v="01/09/1979"/>
    <s v="Bengaluru"/>
    <x v="0"/>
    <x v="1"/>
    <s v="Mouse"/>
    <n v="12"/>
    <n v="700"/>
    <n v="0.15"/>
    <n v="7140"/>
    <n v="3"/>
    <s v="Card"/>
    <s v="Ritika"/>
    <s v="amit.sharma@company.com"/>
    <n v="9485286324"/>
    <s v="Completed"/>
    <m/>
    <m/>
    <m/>
    <m/>
    <m/>
    <m/>
    <m/>
    <m/>
    <m/>
    <m/>
    <m/>
    <m/>
    <m/>
    <m/>
    <m/>
    <m/>
    <m/>
    <m/>
    <m/>
    <m/>
    <x v="76"/>
  </r>
  <r>
    <s v="ORD10400"/>
    <s v="C008"/>
    <s v="P103"/>
    <x v="272"/>
    <s v="21/05/2025"/>
    <s v="Kavya Nair"/>
    <s v="Female"/>
    <s v="08/04/2001"/>
    <s v="Delhi"/>
    <x v="1"/>
    <x v="1"/>
    <s v="Keyboard"/>
    <n v="16"/>
    <n v="1200"/>
    <n v="0.2"/>
    <n v="15360"/>
    <n v="1"/>
    <s v="Cash"/>
    <s v="Rahul"/>
    <s v="kavya.nair@company.com"/>
    <n v="9414633966"/>
    <s v="Pending"/>
    <m/>
    <m/>
    <m/>
    <m/>
    <m/>
    <m/>
    <m/>
    <m/>
    <m/>
    <m/>
    <m/>
    <m/>
    <m/>
    <m/>
    <m/>
    <m/>
    <m/>
    <m/>
    <m/>
    <m/>
    <x v="270"/>
  </r>
  <r>
    <s v="ORD10401"/>
    <s v="C009"/>
    <s v="P203"/>
    <x v="273"/>
    <s v="04/01/2026"/>
    <s v="Mohit Verma"/>
    <s v="Male"/>
    <s v="01/01/1983"/>
    <s v="Hyderabad"/>
    <x v="0"/>
    <x v="0"/>
    <s v="Microwave"/>
    <n v="10"/>
    <n v="8500"/>
    <n v="0.05"/>
    <n v="80750"/>
    <n v="5"/>
    <s v="NetBanking"/>
    <s v="Ritika"/>
    <s v="mohit.verma@company.com"/>
    <n v="9833735234"/>
    <s v="Completed"/>
    <m/>
    <m/>
    <m/>
    <m/>
    <m/>
    <m/>
    <m/>
    <m/>
    <m/>
    <m/>
    <m/>
    <m/>
    <m/>
    <m/>
    <m/>
    <m/>
    <m/>
    <m/>
    <m/>
    <m/>
    <x v="271"/>
  </r>
  <r>
    <s v="ORD10402"/>
    <s v="C008"/>
    <s v="P302"/>
    <x v="220"/>
    <s v="21/02/2025"/>
    <s v="Kavya Nair"/>
    <s v="Female"/>
    <s v="09/08/1989"/>
    <s v="Ahmedabad"/>
    <x v="2"/>
    <x v="2"/>
    <s v="Pen"/>
    <n v="18"/>
    <n v="20"/>
    <n v="0.2"/>
    <n v="288"/>
    <n v="1"/>
    <s v="UPI"/>
    <s v="Ritika"/>
    <s v="kavya.nair@company.com"/>
    <n v="9523689108"/>
    <s v="Pending"/>
    <m/>
    <m/>
    <m/>
    <m/>
    <m/>
    <m/>
    <m/>
    <m/>
    <m/>
    <m/>
    <m/>
    <m/>
    <m/>
    <m/>
    <m/>
    <m/>
    <m/>
    <m/>
    <m/>
    <m/>
    <x v="219"/>
  </r>
  <r>
    <s v="ORD10403"/>
    <s v="C009"/>
    <s v="P203"/>
    <x v="27"/>
    <s v="19/03/2026"/>
    <s v="Mohit Verma"/>
    <s v="Male"/>
    <s v="22/10/1993"/>
    <s v="Mumbai"/>
    <x v="2"/>
    <x v="0"/>
    <s v="Microwave"/>
    <n v="9"/>
    <n v="8500"/>
    <n v="0"/>
    <n v="76500"/>
    <n v="2"/>
    <s v="Card"/>
    <s v="Ritika"/>
    <s v="mohit.verma@company.com"/>
    <n v="9812909831"/>
    <s v="Pending"/>
    <m/>
    <m/>
    <m/>
    <m/>
    <m/>
    <m/>
    <m/>
    <m/>
    <m/>
    <m/>
    <m/>
    <m/>
    <m/>
    <m/>
    <m/>
    <m/>
    <m/>
    <m/>
    <m/>
    <m/>
    <x v="27"/>
  </r>
  <r>
    <s v="ORD10404"/>
    <s v="C008"/>
    <s v="P203"/>
    <x v="261"/>
    <s v="12/10/2025"/>
    <s v="Kavya Nair"/>
    <s v="Female"/>
    <s v="05/05/2000"/>
    <s v="Mumbai"/>
    <x v="2"/>
    <x v="0"/>
    <s v="Microwave"/>
    <n v="8"/>
    <n v="8500"/>
    <n v="0.1"/>
    <n v="61200"/>
    <n v="4"/>
    <s v="Cash"/>
    <s v="Neha"/>
    <s v="kavya.nair@company.com"/>
    <n v="9106290987"/>
    <s v="Cancelled"/>
    <m/>
    <m/>
    <m/>
    <m/>
    <m/>
    <m/>
    <m/>
    <m/>
    <m/>
    <m/>
    <m/>
    <m/>
    <m/>
    <m/>
    <m/>
    <m/>
    <m/>
    <m/>
    <m/>
    <m/>
    <x v="259"/>
  </r>
  <r>
    <s v="ORD10405"/>
    <s v="C010"/>
    <s v="P302"/>
    <x v="70"/>
    <s v="01/02/2026"/>
    <s v="Pooja Shah"/>
    <s v="Female"/>
    <s v="18/02/1984"/>
    <s v="Pune"/>
    <x v="2"/>
    <x v="2"/>
    <s v="Pen"/>
    <n v="3"/>
    <n v="20"/>
    <n v="0.1"/>
    <n v="54"/>
    <n v="3"/>
    <s v="Card"/>
    <s v="Karan"/>
    <s v="pooja.shah@company.com"/>
    <n v="9767727724"/>
    <s v="Pending"/>
    <m/>
    <m/>
    <m/>
    <m/>
    <m/>
    <m/>
    <m/>
    <m/>
    <m/>
    <m/>
    <m/>
    <m/>
    <m/>
    <m/>
    <m/>
    <m/>
    <m/>
    <m/>
    <m/>
    <m/>
    <x v="70"/>
  </r>
  <r>
    <s v="ORD10406"/>
    <s v="C004"/>
    <s v="P203"/>
    <x v="274"/>
    <s v="12/07/2025"/>
    <s v="Anita Gupta"/>
    <s v="Female"/>
    <s v="13/06/1991"/>
    <s v="Kolkata"/>
    <x v="3"/>
    <x v="0"/>
    <s v="Microwave"/>
    <n v="18"/>
    <n v="8500"/>
    <n v="0.1"/>
    <n v="137700"/>
    <n v="4"/>
    <s v="Cash"/>
    <s v="Rahul"/>
    <s v="anita.gupta@company.com"/>
    <n v="9865401727"/>
    <s v="Cancelled"/>
    <m/>
    <m/>
    <m/>
    <m/>
    <m/>
    <m/>
    <m/>
    <m/>
    <m/>
    <m/>
    <m/>
    <m/>
    <m/>
    <m/>
    <m/>
    <m/>
    <m/>
    <m/>
    <m/>
    <m/>
    <x v="272"/>
  </r>
  <r>
    <s v="ORD10407"/>
    <s v="C010"/>
    <s v="P303"/>
    <x v="38"/>
    <s v="09/10/2025"/>
    <s v="Pooja Shah"/>
    <s v="Female"/>
    <s v="19/05/1996"/>
    <s v="Pune"/>
    <x v="2"/>
    <x v="2"/>
    <s v="Marker"/>
    <n v="5"/>
    <n v="45"/>
    <n v="0.1"/>
    <n v="202.5"/>
    <n v="3"/>
    <s v="Cash"/>
    <s v="Neha"/>
    <s v="pooja.shah@company.com"/>
    <n v="9603848571"/>
    <s v="Pending"/>
    <m/>
    <m/>
    <m/>
    <m/>
    <m/>
    <m/>
    <m/>
    <m/>
    <m/>
    <m/>
    <m/>
    <m/>
    <m/>
    <m/>
    <m/>
    <m/>
    <m/>
    <m/>
    <m/>
    <m/>
    <x v="38"/>
  </r>
  <r>
    <s v="ORD10408"/>
    <s v="C009"/>
    <s v="P303"/>
    <x v="109"/>
    <s v="02/06/2025"/>
    <s v="Mohit Verma"/>
    <s v="Male"/>
    <s v="23/05/1992"/>
    <s v="Mumbai"/>
    <x v="2"/>
    <x v="2"/>
    <s v="Marker"/>
    <n v="2"/>
    <n v="45"/>
    <n v="0.2"/>
    <n v="72"/>
    <n v="5"/>
    <s v="UPI"/>
    <s v="Aisha"/>
    <s v="mohit.verma@company.com"/>
    <n v="9101231789"/>
    <s v="Cancelled"/>
    <m/>
    <m/>
    <m/>
    <m/>
    <m/>
    <m/>
    <m/>
    <m/>
    <m/>
    <m/>
    <m/>
    <m/>
    <m/>
    <m/>
    <m/>
    <m/>
    <m/>
    <m/>
    <m/>
    <m/>
    <x v="109"/>
  </r>
  <r>
    <s v="ORD10409"/>
    <s v="C002"/>
    <s v="P303"/>
    <x v="275"/>
    <s v="06/02/2025"/>
    <s v="Priya Patel"/>
    <s v="Female"/>
    <s v="15/06/1988"/>
    <s v="Hyderabad"/>
    <x v="0"/>
    <x v="2"/>
    <s v="Marker"/>
    <n v="18"/>
    <n v="45"/>
    <n v="0.1"/>
    <n v="729"/>
    <n v="2"/>
    <s v="NetBanking"/>
    <s v="Neha"/>
    <s v="priya.patel@company.com"/>
    <n v="9485017802"/>
    <s v="Pending"/>
    <m/>
    <m/>
    <m/>
    <m/>
    <m/>
    <m/>
    <m/>
    <m/>
    <m/>
    <m/>
    <m/>
    <m/>
    <m/>
    <m/>
    <m/>
    <m/>
    <m/>
    <m/>
    <m/>
    <m/>
    <x v="273"/>
  </r>
  <r>
    <s v="ORD10410"/>
    <s v="C003"/>
    <s v="P103"/>
    <x v="66"/>
    <s v="01/01/2026"/>
    <s v="Rohit Singh"/>
    <s v="Male"/>
    <s v="22/07/1993"/>
    <s v="Kolkata"/>
    <x v="3"/>
    <x v="1"/>
    <s v="Keyboard"/>
    <n v="13"/>
    <n v="1200"/>
    <n v="0.05"/>
    <n v="14820"/>
    <n v="4"/>
    <s v="Card"/>
    <s v="Neha"/>
    <s v="rohit.singh@company.com"/>
    <n v="9815464650"/>
    <s v="Completed"/>
    <m/>
    <m/>
    <m/>
    <m/>
    <m/>
    <m/>
    <m/>
    <m/>
    <m/>
    <m/>
    <m/>
    <m/>
    <m/>
    <m/>
    <m/>
    <m/>
    <m/>
    <m/>
    <m/>
    <m/>
    <x v="66"/>
  </r>
  <r>
    <s v="ORD10411"/>
    <s v="C008"/>
    <s v="P302"/>
    <x v="276"/>
    <s v="17/05/2026"/>
    <s v="Kavya Nair"/>
    <s v="Female"/>
    <s v="03/02/2004"/>
    <s v="Hyderabad"/>
    <x v="0"/>
    <x v="2"/>
    <s v="Pen"/>
    <n v="14"/>
    <n v="20"/>
    <n v="0.2"/>
    <n v="224"/>
    <n v="5"/>
    <s v="UPI"/>
    <s v="Rahul"/>
    <s v="kavya.nair@company.com"/>
    <n v="9860715839"/>
    <s v="Pending"/>
    <m/>
    <m/>
    <m/>
    <m/>
    <m/>
    <m/>
    <m/>
    <m/>
    <m/>
    <m/>
    <m/>
    <m/>
    <m/>
    <m/>
    <m/>
    <m/>
    <m/>
    <m/>
    <m/>
    <m/>
    <x v="274"/>
  </r>
  <r>
    <s v="ORD10412"/>
    <s v="C002"/>
    <s v="P201"/>
    <x v="277"/>
    <s v="23/02/2026"/>
    <s v="Priya Patel"/>
    <s v="Female"/>
    <s v="23/12/1978"/>
    <s v="Hyderabad"/>
    <x v="0"/>
    <x v="0"/>
    <s v="Mixer"/>
    <n v="16"/>
    <n v="3500"/>
    <n v="0.15"/>
    <n v="47600"/>
    <n v="3"/>
    <s v="UPI"/>
    <s v="Aisha"/>
    <s v="priya.patel@company.com"/>
    <n v="9207561051"/>
    <s v="Cancelled"/>
    <m/>
    <m/>
    <m/>
    <m/>
    <m/>
    <m/>
    <m/>
    <m/>
    <m/>
    <m/>
    <m/>
    <m/>
    <m/>
    <m/>
    <m/>
    <m/>
    <m/>
    <m/>
    <m/>
    <m/>
    <x v="275"/>
  </r>
  <r>
    <s v="ORD10413"/>
    <s v="C006"/>
    <s v="P302"/>
    <x v="158"/>
    <s v="24/02/2025"/>
    <s v="Sneha Joshi"/>
    <s v="Female"/>
    <s v="15/10/1993"/>
    <s v="Bengaluru"/>
    <x v="0"/>
    <x v="2"/>
    <s v="Pen"/>
    <n v="20"/>
    <n v="20"/>
    <n v="0.15"/>
    <n v="340"/>
    <n v="1"/>
    <s v="NetBanking"/>
    <s v="Aisha"/>
    <s v="sneha.joshi@company.com"/>
    <n v="9159894508"/>
    <s v="Cancelled"/>
    <m/>
    <m/>
    <m/>
    <m/>
    <m/>
    <m/>
    <m/>
    <m/>
    <m/>
    <m/>
    <m/>
    <m/>
    <m/>
    <m/>
    <m/>
    <m/>
    <m/>
    <m/>
    <m/>
    <m/>
    <x v="158"/>
  </r>
  <r>
    <s v="ORD10414"/>
    <s v="C004"/>
    <s v="P101"/>
    <x v="103"/>
    <s v="14/04/2025"/>
    <s v="Anita Gupta"/>
    <s v="Female"/>
    <s v="12/12/1979"/>
    <s v="Ahmedabad"/>
    <x v="2"/>
    <x v="1"/>
    <s v="Laptop"/>
    <n v="1"/>
    <n v="55000"/>
    <n v="0.15"/>
    <n v="46750"/>
    <n v="2"/>
    <s v="UPI"/>
    <s v="Neha"/>
    <s v="anita.gupta@company.com"/>
    <n v="9531465024"/>
    <s v="Cancelled"/>
    <m/>
    <m/>
    <m/>
    <m/>
    <m/>
    <m/>
    <m/>
    <m/>
    <m/>
    <m/>
    <m/>
    <m/>
    <m/>
    <m/>
    <m/>
    <m/>
    <m/>
    <m/>
    <m/>
    <m/>
    <x v="103"/>
  </r>
  <r>
    <s v="ORD10415"/>
    <s v="C002"/>
    <s v="P301"/>
    <x v="270"/>
    <s v="20/01/2025"/>
    <s v="Priya Patel"/>
    <s v="Female"/>
    <s v="24/05/2002"/>
    <s v="Ahmedabad"/>
    <x v="2"/>
    <x v="2"/>
    <s v="Notebook"/>
    <n v="15"/>
    <n v="60"/>
    <n v="0.05"/>
    <n v="855"/>
    <n v="4"/>
    <s v="NetBanking"/>
    <s v="Aisha"/>
    <s v="priya.patel@company.com"/>
    <n v="9158813608"/>
    <s v="Completed"/>
    <m/>
    <m/>
    <m/>
    <m/>
    <m/>
    <m/>
    <m/>
    <m/>
    <m/>
    <m/>
    <m/>
    <m/>
    <m/>
    <m/>
    <m/>
    <m/>
    <m/>
    <m/>
    <m/>
    <m/>
    <x v="268"/>
  </r>
  <r>
    <s v="ORD10416"/>
    <s v="C007"/>
    <s v="P102"/>
    <x v="278"/>
    <s v="02/04/2026"/>
    <s v="Arjun Rao"/>
    <s v="Male"/>
    <s v="09/03/1976"/>
    <s v="Mumbai"/>
    <x v="2"/>
    <x v="1"/>
    <s v="Mouse"/>
    <n v="15"/>
    <n v="700"/>
    <n v="0"/>
    <n v="10500"/>
    <n v="5"/>
    <s v="NetBanking"/>
    <s v="Neha"/>
    <s v="arjun.rao@company.com"/>
    <n v="9308461700"/>
    <s v="Completed"/>
    <m/>
    <m/>
    <m/>
    <m/>
    <m/>
    <m/>
    <m/>
    <m/>
    <m/>
    <m/>
    <m/>
    <m/>
    <m/>
    <m/>
    <m/>
    <m/>
    <m/>
    <m/>
    <m/>
    <m/>
    <x v="276"/>
  </r>
  <r>
    <s v="ORD10417"/>
    <s v="C005"/>
    <s v="P104"/>
    <x v="243"/>
    <s v="09/01/2026"/>
    <s v="Vikas Mehta"/>
    <s v="Male"/>
    <s v="20/09/1980"/>
    <s v="Kolkata"/>
    <x v="3"/>
    <x v="1"/>
    <s v="Monitor"/>
    <n v="13"/>
    <n v="12000"/>
    <n v="0.1"/>
    <n v="140400"/>
    <n v="1"/>
    <s v="Cash"/>
    <s v="Karan"/>
    <s v="vikas.mehta@company.com"/>
    <n v="9882279049"/>
    <s v="Cancelled"/>
    <m/>
    <m/>
    <m/>
    <m/>
    <m/>
    <m/>
    <m/>
    <m/>
    <m/>
    <m/>
    <m/>
    <m/>
    <m/>
    <m/>
    <m/>
    <m/>
    <m/>
    <m/>
    <m/>
    <m/>
    <x v="242"/>
  </r>
  <r>
    <s v="ORD10418"/>
    <s v="C007"/>
    <s v="P104"/>
    <x v="279"/>
    <s v="29/04/2026"/>
    <s v="Arjun Rao"/>
    <s v="Male"/>
    <s v="24/06/1988"/>
    <s v="Hyderabad"/>
    <x v="0"/>
    <x v="1"/>
    <s v="Monitor"/>
    <n v="12"/>
    <n v="12000"/>
    <n v="0.2"/>
    <n v="115200"/>
    <n v="2"/>
    <s v="Cash"/>
    <s v="Ritika"/>
    <s v="arjun.rao@company.com"/>
    <n v="9961801338"/>
    <s v="Completed"/>
    <m/>
    <m/>
    <m/>
    <m/>
    <m/>
    <m/>
    <m/>
    <m/>
    <m/>
    <m/>
    <m/>
    <m/>
    <m/>
    <m/>
    <m/>
    <m/>
    <m/>
    <m/>
    <m/>
    <m/>
    <x v="277"/>
  </r>
  <r>
    <s v="ORD10419"/>
    <s v="C007"/>
    <s v="P303"/>
    <x v="9"/>
    <s v="29/03/2025"/>
    <s v="Arjun Rao"/>
    <s v="Male"/>
    <s v="11/06/2003"/>
    <s v="Mumbai"/>
    <x v="2"/>
    <x v="2"/>
    <s v="Marker"/>
    <n v="10"/>
    <n v="45"/>
    <n v="0"/>
    <n v="450"/>
    <n v="5"/>
    <s v="Card"/>
    <s v="Neha"/>
    <s v="arjun.rao@company.com"/>
    <n v="9853525026"/>
    <s v="Cancelled"/>
    <m/>
    <m/>
    <m/>
    <m/>
    <m/>
    <m/>
    <m/>
    <m/>
    <m/>
    <m/>
    <m/>
    <m/>
    <m/>
    <m/>
    <m/>
    <m/>
    <m/>
    <m/>
    <m/>
    <m/>
    <x v="9"/>
  </r>
  <r>
    <s v="ORD10420"/>
    <s v="C003"/>
    <s v="P103"/>
    <x v="1"/>
    <s v="09/05/2025"/>
    <s v="Rohit Singh"/>
    <s v="Male"/>
    <s v="10/12/1981"/>
    <s v="Mumbai"/>
    <x v="2"/>
    <x v="1"/>
    <s v="Keyboard"/>
    <n v="20"/>
    <n v="1200"/>
    <n v="0.2"/>
    <n v="19200"/>
    <n v="5"/>
    <s v="NetBanking"/>
    <s v="Aisha"/>
    <s v="rohit.singh@company.com"/>
    <n v="9209649485"/>
    <s v="Cancelled"/>
    <m/>
    <m/>
    <m/>
    <m/>
    <m/>
    <m/>
    <m/>
    <m/>
    <m/>
    <m/>
    <m/>
    <m/>
    <m/>
    <m/>
    <m/>
    <m/>
    <m/>
    <m/>
    <m/>
    <m/>
    <x v="1"/>
  </r>
  <r>
    <s v="ORD10421"/>
    <s v="C009"/>
    <s v="P103"/>
    <x v="10"/>
    <s v="26/09/2025"/>
    <s v="Mohit Verma"/>
    <s v="Male"/>
    <s v="24/02/1975"/>
    <s v="Pune"/>
    <x v="2"/>
    <x v="1"/>
    <s v="Keyboard"/>
    <n v="8"/>
    <n v="1200"/>
    <n v="0.1"/>
    <n v="8640"/>
    <n v="4"/>
    <s v="NetBanking"/>
    <s v="Aisha"/>
    <s v="mohit.verma@company.com"/>
    <n v="9712905525"/>
    <s v="Completed"/>
    <m/>
    <m/>
    <m/>
    <m/>
    <m/>
    <m/>
    <m/>
    <m/>
    <m/>
    <m/>
    <m/>
    <m/>
    <m/>
    <m/>
    <m/>
    <m/>
    <m/>
    <m/>
    <m/>
    <m/>
    <x v="10"/>
  </r>
  <r>
    <s v="ORD10422"/>
    <s v="C003"/>
    <s v="P103"/>
    <x v="175"/>
    <s v="20/05/2025"/>
    <s v="Rohit Singh"/>
    <s v="Male"/>
    <s v="27/09/1977"/>
    <s v="Jaipur"/>
    <x v="1"/>
    <x v="1"/>
    <s v="Keyboard"/>
    <n v="8"/>
    <n v="1200"/>
    <n v="0.1"/>
    <n v="8640"/>
    <n v="5"/>
    <s v="Card"/>
    <s v="Rahul"/>
    <s v="rohit.singh@company.com"/>
    <n v="9812472447"/>
    <s v="Cancelled"/>
    <m/>
    <m/>
    <m/>
    <m/>
    <m/>
    <m/>
    <m/>
    <m/>
    <m/>
    <m/>
    <m/>
    <m/>
    <m/>
    <m/>
    <m/>
    <m/>
    <m/>
    <m/>
    <m/>
    <m/>
    <x v="174"/>
  </r>
  <r>
    <s v="ORD10423"/>
    <s v="C001"/>
    <s v="P202"/>
    <x v="280"/>
    <s v="30/12/2025"/>
    <s v="Amit Sharma"/>
    <s v="Male"/>
    <s v="25/12/1987"/>
    <s v="Jaipur"/>
    <x v="1"/>
    <x v="0"/>
    <s v="Iron"/>
    <n v="9"/>
    <n v="2200"/>
    <n v="0.2"/>
    <n v="15840"/>
    <n v="1"/>
    <s v="NetBanking"/>
    <s v="Neha"/>
    <s v="amit.sharma@company.com"/>
    <n v="9281127052"/>
    <s v="Completed"/>
    <m/>
    <m/>
    <m/>
    <m/>
    <m/>
    <m/>
    <m/>
    <m/>
    <m/>
    <m/>
    <m/>
    <m/>
    <m/>
    <m/>
    <m/>
    <m/>
    <m/>
    <m/>
    <m/>
    <m/>
    <x v="278"/>
  </r>
  <r>
    <s v="ORD10424"/>
    <s v="C003"/>
    <s v="P302"/>
    <x v="281"/>
    <s v="16/01/2025"/>
    <s v="Rohit Singh"/>
    <s v="Male"/>
    <s v="23/03/2001"/>
    <s v="Kolkata"/>
    <x v="3"/>
    <x v="2"/>
    <s v="Pen"/>
    <n v="8"/>
    <n v="20"/>
    <n v="0.2"/>
    <n v="128"/>
    <n v="4"/>
    <s v="Cash"/>
    <s v="Ritika"/>
    <s v="rohit.singh@company.com"/>
    <n v="9346312555"/>
    <s v="Cancelled"/>
    <m/>
    <m/>
    <m/>
    <m/>
    <m/>
    <m/>
    <m/>
    <m/>
    <m/>
    <m/>
    <m/>
    <m/>
    <m/>
    <m/>
    <m/>
    <m/>
    <m/>
    <m/>
    <m/>
    <m/>
    <x v="279"/>
  </r>
  <r>
    <s v="ORD10425"/>
    <s v="C005"/>
    <s v="P101"/>
    <x v="282"/>
    <s v="22/01/2026"/>
    <s v="Vikas Mehta"/>
    <s v="Male"/>
    <s v="22/09/1982"/>
    <s v="Pune"/>
    <x v="2"/>
    <x v="1"/>
    <s v="Laptop"/>
    <n v="5"/>
    <n v="55000"/>
    <n v="0"/>
    <n v="275000"/>
    <n v="1"/>
    <s v="Card"/>
    <s v="Neha"/>
    <s v="vikas.mehta@company.com"/>
    <n v="9443786067"/>
    <s v="Completed"/>
    <m/>
    <m/>
    <m/>
    <m/>
    <m/>
    <m/>
    <m/>
    <m/>
    <m/>
    <m/>
    <m/>
    <m/>
    <m/>
    <m/>
    <m/>
    <m/>
    <m/>
    <m/>
    <m/>
    <m/>
    <x v="280"/>
  </r>
  <r>
    <s v="ORD10426"/>
    <s v="C002"/>
    <s v="P103"/>
    <x v="283"/>
    <s v="18/03/2026"/>
    <s v="Priya Patel"/>
    <s v="Female"/>
    <s v="15/09/1986"/>
    <s v="Mumbai"/>
    <x v="2"/>
    <x v="1"/>
    <s v="Keyboard"/>
    <n v="13"/>
    <n v="1200"/>
    <n v="0.05"/>
    <n v="14820"/>
    <n v="2"/>
    <s v="Card"/>
    <s v="Ritika"/>
    <s v="priya.patel@company.com"/>
    <n v="9452540528"/>
    <s v="Cancelled"/>
    <m/>
    <m/>
    <m/>
    <m/>
    <m/>
    <m/>
    <m/>
    <m/>
    <m/>
    <m/>
    <m/>
    <m/>
    <m/>
    <m/>
    <m/>
    <m/>
    <m/>
    <m/>
    <m/>
    <m/>
    <x v="281"/>
  </r>
  <r>
    <s v="ORD10427"/>
    <s v="C007"/>
    <s v="P203"/>
    <x v="237"/>
    <s v="30/11/2025"/>
    <s v="Arjun Rao"/>
    <s v="Male"/>
    <s v="12/12/2002"/>
    <s v="Jaipur"/>
    <x v="1"/>
    <x v="0"/>
    <s v="Microwave"/>
    <n v="13"/>
    <n v="8500"/>
    <n v="0.2"/>
    <n v="88400"/>
    <n v="5"/>
    <s v="Cash"/>
    <s v="Rahul"/>
    <s v="arjun.rao@company.com"/>
    <n v="9750918728"/>
    <s v="Pending"/>
    <m/>
    <m/>
    <m/>
    <m/>
    <m/>
    <m/>
    <m/>
    <m/>
    <m/>
    <m/>
    <m/>
    <m/>
    <m/>
    <m/>
    <m/>
    <m/>
    <m/>
    <m/>
    <m/>
    <m/>
    <x v="236"/>
  </r>
  <r>
    <s v="ORD10428"/>
    <s v="C009"/>
    <s v="P301"/>
    <x v="122"/>
    <s v="15/02/2025"/>
    <s v="Mohit Verma"/>
    <s v="Male"/>
    <s v="15/09/1998"/>
    <s v="Pune"/>
    <x v="2"/>
    <x v="2"/>
    <s v="Notebook"/>
    <n v="14"/>
    <n v="60"/>
    <n v="0.1"/>
    <n v="756"/>
    <n v="1"/>
    <s v="Cash"/>
    <s v="Aisha"/>
    <s v="mohit.verma@company.com"/>
    <n v="9375975834"/>
    <s v="Cancelled"/>
    <m/>
    <m/>
    <m/>
    <m/>
    <m/>
    <m/>
    <m/>
    <m/>
    <m/>
    <m/>
    <m/>
    <m/>
    <m/>
    <m/>
    <m/>
    <m/>
    <m/>
    <m/>
    <m/>
    <m/>
    <x v="122"/>
  </r>
  <r>
    <s v="ORD10429"/>
    <s v="C006"/>
    <s v="P202"/>
    <x v="159"/>
    <s v="29/04/2025"/>
    <s v="Sneha Joshi"/>
    <s v="Female"/>
    <s v="17/10/1985"/>
    <s v="Bengaluru"/>
    <x v="0"/>
    <x v="0"/>
    <s v="Iron"/>
    <n v="15"/>
    <n v="2200"/>
    <n v="0"/>
    <n v="33000"/>
    <n v="1"/>
    <s v="Cash"/>
    <s v="Aisha"/>
    <s v="sneha.joshi@company.com"/>
    <n v="9497321112"/>
    <s v="Completed"/>
    <m/>
    <m/>
    <m/>
    <m/>
    <m/>
    <m/>
    <m/>
    <m/>
    <m/>
    <m/>
    <m/>
    <m/>
    <m/>
    <m/>
    <m/>
    <m/>
    <m/>
    <m/>
    <m/>
    <m/>
    <x v="159"/>
  </r>
  <r>
    <s v="ORD10430"/>
    <s v="C007"/>
    <s v="P301"/>
    <x v="284"/>
    <s v="29/08/2025"/>
    <s v="Arjun Rao"/>
    <s v="Male"/>
    <s v="15/08/1995"/>
    <s v="Jaipur"/>
    <x v="1"/>
    <x v="2"/>
    <s v="Notebook"/>
    <n v="19"/>
    <n v="60"/>
    <n v="0.2"/>
    <n v="912"/>
    <n v="3"/>
    <s v="Cash"/>
    <s v="Karan"/>
    <s v="arjun.rao@company.com"/>
    <n v="9828749888"/>
    <s v="Pending"/>
    <m/>
    <m/>
    <m/>
    <m/>
    <m/>
    <m/>
    <m/>
    <m/>
    <m/>
    <m/>
    <m/>
    <m/>
    <m/>
    <m/>
    <m/>
    <m/>
    <m/>
    <m/>
    <m/>
    <m/>
    <x v="282"/>
  </r>
  <r>
    <s v="ORD10431"/>
    <s v="C010"/>
    <s v="P303"/>
    <x v="285"/>
    <s v="23/10/2025"/>
    <s v="Pooja Shah"/>
    <s v="Female"/>
    <s v="27/08/1985"/>
    <s v="Jaipur"/>
    <x v="1"/>
    <x v="2"/>
    <s v="Marker"/>
    <n v="13"/>
    <n v="45"/>
    <n v="0.15"/>
    <n v="497.25"/>
    <n v="2"/>
    <s v="Cash"/>
    <s v="Rahul"/>
    <s v="pooja.shah@company.com"/>
    <n v="9814267382"/>
    <s v="Completed"/>
    <m/>
    <m/>
    <m/>
    <m/>
    <m/>
    <m/>
    <m/>
    <m/>
    <m/>
    <m/>
    <m/>
    <m/>
    <m/>
    <m/>
    <m/>
    <m/>
    <m/>
    <m/>
    <m/>
    <m/>
    <x v="283"/>
  </r>
  <r>
    <s v="ORD10432"/>
    <s v="C006"/>
    <s v="P104"/>
    <x v="286"/>
    <s v="24/01/2026"/>
    <s v="Sneha Joshi"/>
    <s v="Female"/>
    <s v="05/06/1975"/>
    <s v="Mumbai"/>
    <x v="2"/>
    <x v="1"/>
    <s v="Monitor"/>
    <n v="7"/>
    <n v="12000"/>
    <n v="0.05"/>
    <n v="79800"/>
    <n v="4"/>
    <s v="Card"/>
    <s v="Karan"/>
    <s v="sneha.joshi@company.com"/>
    <n v="9937007439"/>
    <s v="Cancelled"/>
    <m/>
    <m/>
    <m/>
    <m/>
    <m/>
    <m/>
    <m/>
    <m/>
    <m/>
    <m/>
    <m/>
    <m/>
    <m/>
    <m/>
    <m/>
    <m/>
    <m/>
    <m/>
    <m/>
    <m/>
    <x v="284"/>
  </r>
  <r>
    <s v="ORD10433"/>
    <s v="C001"/>
    <s v="P302"/>
    <x v="254"/>
    <s v="Pending"/>
    <s v="Amit Sharma"/>
    <s v="Male"/>
    <s v="25/03/1997"/>
    <s v="Kolkata"/>
    <x v="3"/>
    <x v="2"/>
    <s v="Pen"/>
    <n v="8"/>
    <n v="20"/>
    <n v="0"/>
    <n v="160"/>
    <n v="4"/>
    <s v="Card"/>
    <s v="Aisha"/>
    <s v="amit.sharma@company.com"/>
    <n v="9657513435"/>
    <s v="Pending"/>
    <m/>
    <m/>
    <m/>
    <m/>
    <m/>
    <m/>
    <m/>
    <m/>
    <m/>
    <m/>
    <m/>
    <m/>
    <m/>
    <m/>
    <m/>
    <m/>
    <m/>
    <m/>
    <m/>
    <m/>
    <x v="252"/>
  </r>
  <r>
    <s v="ORD10434"/>
    <s v="C008"/>
    <s v="P201"/>
    <x v="287"/>
    <s v="06/02/2025"/>
    <s v="Kavya Nair"/>
    <s v="Female"/>
    <s v="18/04/1997"/>
    <s v="Kolkata"/>
    <x v="3"/>
    <x v="0"/>
    <s v="Mixer"/>
    <n v="16"/>
    <n v="3500"/>
    <n v="0.05"/>
    <n v="53200"/>
    <n v="1"/>
    <s v="Card"/>
    <s v="Aisha"/>
    <s v="kavya.nair@company.com"/>
    <n v="9999406260"/>
    <s v="Cancelled"/>
    <m/>
    <m/>
    <m/>
    <m/>
    <m/>
    <m/>
    <m/>
    <m/>
    <m/>
    <m/>
    <m/>
    <m/>
    <m/>
    <m/>
    <m/>
    <m/>
    <m/>
    <m/>
    <m/>
    <m/>
    <x v="285"/>
  </r>
  <r>
    <s v="ORD10435"/>
    <s v="C001"/>
    <s v="P203"/>
    <x v="288"/>
    <s v="04/03/2025"/>
    <s v="Amit Sharma"/>
    <s v="Male"/>
    <s v="28/05/1999"/>
    <s v="Mumbai"/>
    <x v="2"/>
    <x v="0"/>
    <s v="Microwave"/>
    <n v="12"/>
    <n v="8500"/>
    <n v="0.1"/>
    <n v="91800"/>
    <n v="3"/>
    <s v="Card"/>
    <s v="Ritika"/>
    <s v="amit.sharma@company.com"/>
    <n v="9233727886"/>
    <s v="Completed"/>
    <m/>
    <m/>
    <m/>
    <m/>
    <m/>
    <m/>
    <m/>
    <m/>
    <m/>
    <m/>
    <m/>
    <m/>
    <m/>
    <m/>
    <m/>
    <m/>
    <m/>
    <m/>
    <m/>
    <m/>
    <x v="286"/>
  </r>
  <r>
    <s v="ORD10436"/>
    <s v="C008"/>
    <s v="P301"/>
    <x v="289"/>
    <s v="20/04/2025"/>
    <s v="Kavya Nair"/>
    <s v="Female"/>
    <s v="25/06/1983"/>
    <s v="Ahmedabad"/>
    <x v="2"/>
    <x v="2"/>
    <s v="Notebook"/>
    <n v="1"/>
    <n v="60"/>
    <n v="0.2"/>
    <n v="48"/>
    <n v="2"/>
    <s v="Card"/>
    <s v="Karan"/>
    <s v="kavya.nair@company.com"/>
    <n v="9831688801"/>
    <s v="Completed"/>
    <m/>
    <m/>
    <m/>
    <m/>
    <m/>
    <m/>
    <m/>
    <m/>
    <m/>
    <m/>
    <m/>
    <m/>
    <m/>
    <m/>
    <m/>
    <m/>
    <m/>
    <m/>
    <m/>
    <m/>
    <x v="287"/>
  </r>
  <r>
    <s v="ORD10437"/>
    <s v="C003"/>
    <s v="P301"/>
    <x v="75"/>
    <s v="11/11/2025"/>
    <s v="Rohit Singh"/>
    <s v="Male"/>
    <s v="26/01/1993"/>
    <s v="Hyderabad"/>
    <x v="0"/>
    <x v="2"/>
    <s v="Notebook"/>
    <n v="3"/>
    <n v="60"/>
    <n v="0.15"/>
    <n v="153"/>
    <n v="4"/>
    <s v="Card"/>
    <s v="Ritika"/>
    <s v="rohit.singh@company.com"/>
    <n v="9982849508"/>
    <s v="Completed"/>
    <m/>
    <m/>
    <m/>
    <m/>
    <m/>
    <m/>
    <m/>
    <m/>
    <m/>
    <m/>
    <m/>
    <m/>
    <m/>
    <m/>
    <m/>
    <m/>
    <m/>
    <m/>
    <m/>
    <m/>
    <x v="75"/>
  </r>
  <r>
    <s v="ORD10438"/>
    <s v="C002"/>
    <s v="P102"/>
    <x v="290"/>
    <s v="25/03/2025"/>
    <s v="Priya Patel"/>
    <s v="Female"/>
    <s v="03/03/1979"/>
    <s v="Kolkata"/>
    <x v="3"/>
    <x v="1"/>
    <s v="Mouse"/>
    <n v="10"/>
    <n v="700"/>
    <n v="0.15"/>
    <n v="5950"/>
    <n v="3"/>
    <s v="NetBanking"/>
    <s v="Ritika"/>
    <s v="priya.patel@company.com"/>
    <n v="9288309246"/>
    <s v="Pending"/>
    <m/>
    <m/>
    <m/>
    <m/>
    <m/>
    <m/>
    <m/>
    <m/>
    <m/>
    <m/>
    <m/>
    <m/>
    <m/>
    <m/>
    <m/>
    <m/>
    <m/>
    <m/>
    <m/>
    <m/>
    <x v="288"/>
  </r>
  <r>
    <s v="ORD10439"/>
    <s v="C007"/>
    <s v="P302"/>
    <x v="291"/>
    <s v="25/10/2025"/>
    <s v="Arjun Rao"/>
    <s v="Male"/>
    <s v="13/09/1976"/>
    <s v="Ahmedabad"/>
    <x v="2"/>
    <x v="2"/>
    <s v="Pen"/>
    <n v="2"/>
    <n v="20"/>
    <n v="0.1"/>
    <n v="36"/>
    <n v="2"/>
    <s v="UPI"/>
    <s v="Aisha"/>
    <s v="arjun.rao@company.com"/>
    <n v="9808476235"/>
    <s v="Completed"/>
    <m/>
    <m/>
    <m/>
    <m/>
    <m/>
    <m/>
    <m/>
    <m/>
    <m/>
    <m/>
    <m/>
    <m/>
    <m/>
    <m/>
    <m/>
    <m/>
    <m/>
    <m/>
    <m/>
    <m/>
    <x v="289"/>
  </r>
  <r>
    <s v="ORD10440"/>
    <s v="C007"/>
    <s v="P302"/>
    <x v="292"/>
    <s v="05/01/2026"/>
    <s v="Arjun Rao"/>
    <s v="Male"/>
    <s v="27/07/1991"/>
    <s v="Delhi"/>
    <x v="1"/>
    <x v="2"/>
    <s v="Pen"/>
    <n v="14"/>
    <n v="20"/>
    <n v="0.2"/>
    <n v="224"/>
    <n v="5"/>
    <s v="Cash"/>
    <s v="Karan"/>
    <s v="arjun.rao@company.com"/>
    <n v="9869056117"/>
    <s v="Pending"/>
    <m/>
    <m/>
    <m/>
    <m/>
    <m/>
    <m/>
    <m/>
    <m/>
    <m/>
    <m/>
    <m/>
    <m/>
    <m/>
    <m/>
    <m/>
    <m/>
    <m/>
    <m/>
    <m/>
    <m/>
    <x v="290"/>
  </r>
  <r>
    <s v="ORD10441"/>
    <s v="C001"/>
    <s v="P201"/>
    <x v="293"/>
    <s v="25/06/2025"/>
    <s v="Amit Sharma"/>
    <s v="Male"/>
    <s v="25/10/1987"/>
    <s v="Ahmedabad"/>
    <x v="2"/>
    <x v="0"/>
    <s v="Mixer"/>
    <n v="4"/>
    <n v="3500"/>
    <n v="0"/>
    <n v="14000"/>
    <n v="2"/>
    <s v="UPI"/>
    <s v="Ritika"/>
    <s v="amit.sharma@company.com"/>
    <n v="9734229772"/>
    <s v="Cancelled"/>
    <m/>
    <m/>
    <m/>
    <m/>
    <m/>
    <m/>
    <m/>
    <m/>
    <m/>
    <m/>
    <m/>
    <m/>
    <m/>
    <m/>
    <m/>
    <m/>
    <m/>
    <m/>
    <m/>
    <m/>
    <x v="291"/>
  </r>
  <r>
    <s v="ORD10442"/>
    <s v="C007"/>
    <s v="P201"/>
    <x v="40"/>
    <s v="05/06/2025"/>
    <s v="Arjun Rao"/>
    <s v="Male"/>
    <s v="09/11/1983"/>
    <s v="Jaipur"/>
    <x v="1"/>
    <x v="0"/>
    <s v="Mixer"/>
    <n v="9"/>
    <n v="3500"/>
    <n v="0.05"/>
    <n v="29925"/>
    <n v="3"/>
    <s v="Card"/>
    <s v="Aisha"/>
    <s v="arjun.rao@company.com"/>
    <n v="9791617906"/>
    <s v="Completed"/>
    <m/>
    <m/>
    <m/>
    <m/>
    <m/>
    <m/>
    <m/>
    <m/>
    <m/>
    <m/>
    <m/>
    <m/>
    <m/>
    <m/>
    <m/>
    <m/>
    <m/>
    <m/>
    <m/>
    <m/>
    <x v="40"/>
  </r>
  <r>
    <s v="ORD10443"/>
    <s v="C003"/>
    <s v="P301"/>
    <x v="109"/>
    <s v="03/06/2025"/>
    <s v="Rohit Singh"/>
    <s v="Male"/>
    <s v="28/12/1983"/>
    <s v="Mumbai"/>
    <x v="2"/>
    <x v="2"/>
    <s v="Notebook"/>
    <n v="9"/>
    <n v="60"/>
    <n v="0"/>
    <n v="540"/>
    <n v="3"/>
    <s v="UPI"/>
    <s v="Ritika"/>
    <s v="rohit.singh@company.com"/>
    <n v="9286316823"/>
    <s v="Pending"/>
    <m/>
    <m/>
    <m/>
    <m/>
    <m/>
    <m/>
    <m/>
    <m/>
    <m/>
    <m/>
    <m/>
    <m/>
    <m/>
    <m/>
    <m/>
    <m/>
    <m/>
    <m/>
    <m/>
    <m/>
    <x v="109"/>
  </r>
  <r>
    <s v="ORD10444"/>
    <s v="C004"/>
    <s v="P103"/>
    <x v="294"/>
    <s v="03/05/2025"/>
    <s v="Anita Gupta"/>
    <s v="Female"/>
    <s v="15/09/1992"/>
    <s v="Ahmedabad"/>
    <x v="2"/>
    <x v="1"/>
    <s v="Keyboard"/>
    <n v="4"/>
    <n v="1200"/>
    <n v="0"/>
    <n v="4800"/>
    <n v="1"/>
    <s v="NetBanking"/>
    <s v="Aisha"/>
    <s v="anita.gupta@company.com"/>
    <n v="9810569252"/>
    <s v="Completed"/>
    <m/>
    <m/>
    <m/>
    <m/>
    <m/>
    <m/>
    <m/>
    <m/>
    <m/>
    <m/>
    <m/>
    <m/>
    <m/>
    <m/>
    <m/>
    <m/>
    <m/>
    <m/>
    <m/>
    <m/>
    <x v="292"/>
  </r>
  <r>
    <s v="ORD10445"/>
    <s v="C010"/>
    <s v="P101"/>
    <x v="257"/>
    <s v="13/02/2025"/>
    <s v="Pooja Shah"/>
    <s v="Female"/>
    <s v="09/08/1999"/>
    <s v="Hyderabad"/>
    <x v="0"/>
    <x v="1"/>
    <s v="Laptop"/>
    <n v="10"/>
    <n v="55000"/>
    <n v="0.05"/>
    <n v="522500"/>
    <n v="5"/>
    <s v="UPI"/>
    <s v="Neha"/>
    <s v="pooja.shah@company.com"/>
    <n v="9771745925"/>
    <s v="Completed"/>
    <m/>
    <m/>
    <m/>
    <m/>
    <m/>
    <m/>
    <m/>
    <m/>
    <m/>
    <m/>
    <m/>
    <m/>
    <m/>
    <m/>
    <m/>
    <m/>
    <m/>
    <m/>
    <m/>
    <m/>
    <x v="255"/>
  </r>
  <r>
    <s v="ORD10446"/>
    <s v="C005"/>
    <s v="P303"/>
    <x v="295"/>
    <s v="06/07/2025"/>
    <s v="Vikas Mehta"/>
    <s v="Male"/>
    <s v="27/02/1990"/>
    <s v="Hyderabad"/>
    <x v="0"/>
    <x v="2"/>
    <s v="Marker"/>
    <n v="20"/>
    <n v="45"/>
    <n v="0.15"/>
    <n v="765"/>
    <n v="2"/>
    <s v="Card"/>
    <s v="Ritika"/>
    <s v="vikas.mehta@company.com"/>
    <n v="9820683063"/>
    <s v="Cancelled"/>
    <m/>
    <m/>
    <m/>
    <m/>
    <m/>
    <m/>
    <m/>
    <m/>
    <m/>
    <m/>
    <m/>
    <m/>
    <m/>
    <m/>
    <m/>
    <m/>
    <m/>
    <m/>
    <m/>
    <m/>
    <x v="293"/>
  </r>
  <r>
    <s v="ORD10447"/>
    <s v="C008"/>
    <s v="P302"/>
    <x v="296"/>
    <s v="22/02/2026"/>
    <s v="Kavya Nair"/>
    <s v="Female"/>
    <s v="27/03/1994"/>
    <s v="Mumbai"/>
    <x v="2"/>
    <x v="2"/>
    <s v="Pen"/>
    <n v="9"/>
    <n v="20"/>
    <n v="0.2"/>
    <n v="144"/>
    <n v="3"/>
    <s v="Card"/>
    <s v="Aisha"/>
    <s v="kavya.nair@company.com"/>
    <n v="9292891941"/>
    <s v="Completed"/>
    <m/>
    <m/>
    <m/>
    <m/>
    <m/>
    <m/>
    <m/>
    <m/>
    <m/>
    <m/>
    <m/>
    <m/>
    <m/>
    <m/>
    <m/>
    <m/>
    <m/>
    <m/>
    <m/>
    <m/>
    <x v="294"/>
  </r>
  <r>
    <s v="ORD10448"/>
    <s v="C008"/>
    <s v="P101"/>
    <x v="297"/>
    <s v="14/03/2025"/>
    <s v="Kavya Nair"/>
    <s v="Female"/>
    <s v="11/06/1980"/>
    <s v="Pune"/>
    <x v="2"/>
    <x v="1"/>
    <s v="Laptop"/>
    <n v="8"/>
    <n v="55000"/>
    <n v="0"/>
    <n v="440000"/>
    <n v="4"/>
    <s v="Cash"/>
    <s v="Neha"/>
    <s v="kavya.nair@company.com"/>
    <n v="9413789556"/>
    <s v="Completed"/>
    <m/>
    <m/>
    <m/>
    <m/>
    <m/>
    <m/>
    <m/>
    <m/>
    <m/>
    <m/>
    <m/>
    <m/>
    <m/>
    <m/>
    <m/>
    <m/>
    <m/>
    <m/>
    <m/>
    <m/>
    <x v="295"/>
  </r>
  <r>
    <s v="ORD10449"/>
    <s v="C001"/>
    <s v="P103"/>
    <x v="298"/>
    <s v="28/04/2026"/>
    <s v="Amit Sharma"/>
    <s v="Male"/>
    <s v="10/06/2000"/>
    <s v="Ahmedabad"/>
    <x v="2"/>
    <x v="1"/>
    <s v="Keyboard"/>
    <n v="4"/>
    <n v="1200"/>
    <n v="0.1"/>
    <n v="4320"/>
    <n v="4"/>
    <s v="UPI"/>
    <s v="Ritika"/>
    <s v="amit.sharma@company.com"/>
    <n v="98765"/>
    <s v="Cancelled"/>
    <m/>
    <m/>
    <m/>
    <m/>
    <m/>
    <m/>
    <m/>
    <m/>
    <m/>
    <m/>
    <m/>
    <m/>
    <m/>
    <m/>
    <m/>
    <m/>
    <m/>
    <m/>
    <m/>
    <m/>
    <x v="296"/>
  </r>
  <r>
    <s v="ORD10450"/>
    <s v="C001"/>
    <s v="P203"/>
    <x v="131"/>
    <s v="13/05/2026"/>
    <s v="Amit Sharma"/>
    <s v="Male"/>
    <s v="21/04/1998"/>
    <s v="Kolkata"/>
    <x v="3"/>
    <x v="0"/>
    <s v="Microwave"/>
    <n v="14"/>
    <n v="8500"/>
    <n v="0.1"/>
    <n v="107100"/>
    <n v="4"/>
    <s v="Cash"/>
    <s v="Ritika"/>
    <s v="amit.sharma@company.com"/>
    <n v="9211936331"/>
    <s v="Completed"/>
    <m/>
    <m/>
    <m/>
    <m/>
    <m/>
    <m/>
    <m/>
    <m/>
    <m/>
    <m/>
    <m/>
    <m/>
    <m/>
    <m/>
    <m/>
    <m/>
    <m/>
    <m/>
    <m/>
    <m/>
    <x v="131"/>
  </r>
  <r>
    <s v="ORD10451"/>
    <s v="C009"/>
    <s v="P303"/>
    <x v="109"/>
    <s v="07/06/2025"/>
    <s v="Mohit Verma"/>
    <s v="Male"/>
    <s v="10/05/1984"/>
    <s v="Hyderabad"/>
    <x v="0"/>
    <x v="2"/>
    <s v="Marker"/>
    <n v="1"/>
    <n v="45"/>
    <n v="0"/>
    <n v="45"/>
    <n v="3"/>
    <s v="UPI"/>
    <s v="Karan"/>
    <s v="mohit.verma@company.com"/>
    <n v="9167291747"/>
    <s v="Cancelled"/>
    <m/>
    <m/>
    <m/>
    <m/>
    <m/>
    <m/>
    <m/>
    <m/>
    <m/>
    <m/>
    <m/>
    <m/>
    <m/>
    <m/>
    <m/>
    <m/>
    <m/>
    <m/>
    <m/>
    <m/>
    <x v="109"/>
  </r>
  <r>
    <s v="ORD10452"/>
    <s v="C009"/>
    <s v="P101"/>
    <x v="299"/>
    <s v="28/02/2025"/>
    <s v="Mohit Verma"/>
    <s v="Male"/>
    <s v="07/10/1986"/>
    <s v="Delhi"/>
    <x v="1"/>
    <x v="1"/>
    <s v="Laptop"/>
    <n v="16"/>
    <n v="55000"/>
    <n v="0.15"/>
    <n v="748000"/>
    <n v="1"/>
    <s v="Card"/>
    <s v="Karan"/>
    <s v="mohit.verma@company.com"/>
    <n v="9637283597"/>
    <s v="Cancelled"/>
    <m/>
    <m/>
    <m/>
    <m/>
    <m/>
    <m/>
    <m/>
    <m/>
    <m/>
    <m/>
    <m/>
    <m/>
    <m/>
    <m/>
    <m/>
    <m/>
    <m/>
    <m/>
    <m/>
    <m/>
    <x v="297"/>
  </r>
  <r>
    <s v="ORD10453"/>
    <s v="C010"/>
    <s v="P102"/>
    <x v="300"/>
    <s v="29/03/2026"/>
    <s v="Pooja Shah"/>
    <s v="Female"/>
    <s v="01/11/2003"/>
    <s v="Ahmedabad"/>
    <x v="2"/>
    <x v="1"/>
    <s v="Mouse"/>
    <n v="8"/>
    <n v="700"/>
    <n v="0"/>
    <n v="5600"/>
    <n v="3"/>
    <s v="Cash"/>
    <s v="Rahul"/>
    <s v="pooja.shah@company.com"/>
    <n v="9514269002"/>
    <s v="Completed"/>
    <m/>
    <m/>
    <m/>
    <m/>
    <m/>
    <m/>
    <m/>
    <m/>
    <m/>
    <m/>
    <m/>
    <m/>
    <m/>
    <m/>
    <m/>
    <m/>
    <m/>
    <m/>
    <m/>
    <m/>
    <x v="298"/>
  </r>
  <r>
    <s v="ORD10454"/>
    <s v="C006"/>
    <s v="P103"/>
    <x v="301"/>
    <s v="13/04/2026"/>
    <s v="Sneha Joshi"/>
    <s v="Female"/>
    <s v="10/06/2003"/>
    <s v="Ahmedabad"/>
    <x v="2"/>
    <x v="1"/>
    <s v="Keyboard"/>
    <n v="3"/>
    <n v="1200"/>
    <n v="0"/>
    <n v="3600"/>
    <n v="1"/>
    <s v="Card"/>
    <s v="Rahul"/>
    <s v="sneha.joshi@company.com"/>
    <n v="9778908233"/>
    <s v="Cancelled"/>
    <m/>
    <m/>
    <m/>
    <m/>
    <m/>
    <m/>
    <m/>
    <m/>
    <m/>
    <m/>
    <m/>
    <m/>
    <m/>
    <m/>
    <m/>
    <m/>
    <m/>
    <m/>
    <m/>
    <m/>
    <x v="299"/>
  </r>
  <r>
    <s v="ORD10455"/>
    <s v="C009"/>
    <s v="P201"/>
    <x v="302"/>
    <s v="26/02/2025"/>
    <s v="Mohit Verma"/>
    <s v="Male"/>
    <s v="27/03/1990"/>
    <s v="Kolkata"/>
    <x v="3"/>
    <x v="0"/>
    <s v="Mixer"/>
    <n v="7"/>
    <n v="3500"/>
    <n v="0.15"/>
    <n v="20825"/>
    <n v="4"/>
    <s v="Card"/>
    <s v="Aisha"/>
    <s v="mohit.verma@company.com"/>
    <n v="9981118755"/>
    <s v="Pending"/>
    <m/>
    <m/>
    <m/>
    <m/>
    <m/>
    <m/>
    <m/>
    <m/>
    <m/>
    <m/>
    <m/>
    <m/>
    <m/>
    <m/>
    <m/>
    <m/>
    <m/>
    <m/>
    <m/>
    <m/>
    <x v="300"/>
  </r>
  <r>
    <s v="ORD10456"/>
    <s v="C010"/>
    <s v="P101"/>
    <x v="303"/>
    <s v="04/04/2026"/>
    <s v="Pooja Shah"/>
    <s v="Female"/>
    <s v="28/05/2003"/>
    <s v="Pune"/>
    <x v="2"/>
    <x v="1"/>
    <s v="Laptop"/>
    <n v="9"/>
    <n v="55000"/>
    <n v="0.15"/>
    <n v="420750"/>
    <n v="3"/>
    <s v="UPI"/>
    <s v="Ritika"/>
    <s v="pooja.shah@company.com"/>
    <n v="9887896743"/>
    <s v="Cancelled"/>
    <m/>
    <m/>
    <m/>
    <m/>
    <m/>
    <m/>
    <m/>
    <m/>
    <m/>
    <m/>
    <m/>
    <m/>
    <m/>
    <m/>
    <m/>
    <m/>
    <m/>
    <m/>
    <m/>
    <m/>
    <x v="301"/>
  </r>
  <r>
    <s v="ORD10457"/>
    <s v="C001"/>
    <s v="P104"/>
    <x v="18"/>
    <s v="02/12/2025"/>
    <s v="Amit Sharma"/>
    <s v="Male"/>
    <s v="06/02/1993"/>
    <s v="Bengaluru"/>
    <x v="0"/>
    <x v="1"/>
    <s v="Monitor"/>
    <n v="12"/>
    <n v="12000"/>
    <n v="0"/>
    <n v="144000"/>
    <n v="3"/>
    <s v="Card"/>
    <s v="Karan"/>
    <s v="amit.sharma@company.com"/>
    <n v="9585330043"/>
    <s v="Cancelled"/>
    <m/>
    <m/>
    <m/>
    <m/>
    <m/>
    <m/>
    <m/>
    <m/>
    <m/>
    <m/>
    <m/>
    <m/>
    <m/>
    <m/>
    <m/>
    <m/>
    <m/>
    <m/>
    <m/>
    <m/>
    <x v="18"/>
  </r>
  <r>
    <s v="ORD10458"/>
    <s v="C002"/>
    <s v="P301"/>
    <x v="304"/>
    <s v="11/05/2025"/>
    <s v="Priya Patel"/>
    <s v="Female"/>
    <s v="02/09/1975"/>
    <s v="Ahmedabad"/>
    <x v="2"/>
    <x v="2"/>
    <s v="Notebook"/>
    <n v="7"/>
    <n v="60"/>
    <n v="0.1"/>
    <n v="378"/>
    <n v="4"/>
    <s v="Cash"/>
    <s v="Rahul"/>
    <s v="priya.patel@company.com"/>
    <n v="9423719975"/>
    <s v="Cancelled"/>
    <m/>
    <m/>
    <m/>
    <m/>
    <m/>
    <m/>
    <m/>
    <m/>
    <m/>
    <m/>
    <m/>
    <m/>
    <m/>
    <m/>
    <m/>
    <m/>
    <m/>
    <m/>
    <m/>
    <m/>
    <x v="302"/>
  </r>
  <r>
    <s v="ORD10459"/>
    <s v="C005"/>
    <s v="P202"/>
    <x v="305"/>
    <s v="31/08/2025"/>
    <s v="Vikas Mehta"/>
    <s v="Male"/>
    <s v="09/09/1994"/>
    <s v="Mumbai"/>
    <x v="2"/>
    <x v="0"/>
    <s v="Iron"/>
    <n v="17"/>
    <n v="2200"/>
    <n v="0.15"/>
    <n v="31790"/>
    <n v="3"/>
    <s v="UPI"/>
    <s v="Karan"/>
    <s v="vikas.mehta@company.com"/>
    <n v="9270746961"/>
    <s v="Pending"/>
    <m/>
    <m/>
    <m/>
    <m/>
    <m/>
    <m/>
    <m/>
    <m/>
    <m/>
    <m/>
    <m/>
    <m/>
    <m/>
    <m/>
    <m/>
    <m/>
    <m/>
    <m/>
    <m/>
    <m/>
    <x v="303"/>
  </r>
  <r>
    <s v="ORD10460"/>
    <s v="C001"/>
    <s v="P102"/>
    <x v="46"/>
    <s v="06/12/2025"/>
    <s v="Amit Sharma"/>
    <s v="Male"/>
    <s v="07/10/1992"/>
    <s v="Bengaluru"/>
    <x v="0"/>
    <x v="1"/>
    <s v="Mouse"/>
    <n v="17"/>
    <n v="700"/>
    <n v="0.1"/>
    <n v="10710"/>
    <n v="2"/>
    <s v="Cash"/>
    <s v="Aisha"/>
    <s v="amit.sharma@company.com"/>
    <n v="9333162025"/>
    <s v="Pending"/>
    <m/>
    <m/>
    <m/>
    <m/>
    <m/>
    <m/>
    <m/>
    <m/>
    <m/>
    <m/>
    <m/>
    <m/>
    <m/>
    <m/>
    <m/>
    <m/>
    <m/>
    <m/>
    <m/>
    <m/>
    <x v="46"/>
  </r>
  <r>
    <s v="ORD10461"/>
    <s v="C001"/>
    <s v="P101"/>
    <x v="306"/>
    <s v="01/06/2025"/>
    <s v="Amit Sharma"/>
    <s v="Male"/>
    <s v="17/07/2002"/>
    <s v="Delhi"/>
    <x v="1"/>
    <x v="1"/>
    <s v="Laptop"/>
    <n v="19"/>
    <n v="55000"/>
    <n v="0.2"/>
    <n v="836000"/>
    <n v="5"/>
    <s v="NetBanking"/>
    <s v="Aisha"/>
    <s v="amit.sharma@company.com"/>
    <n v="9247023285"/>
    <s v="Completed"/>
    <m/>
    <m/>
    <m/>
    <m/>
    <m/>
    <m/>
    <m/>
    <m/>
    <m/>
    <m/>
    <m/>
    <m/>
    <m/>
    <m/>
    <m/>
    <m/>
    <m/>
    <m/>
    <m/>
    <m/>
    <x v="304"/>
  </r>
  <r>
    <s v="ORD10462"/>
    <s v="C003"/>
    <s v="P301"/>
    <x v="307"/>
    <s v="19/09/2025"/>
    <s v="Rohit Singh"/>
    <s v="Male"/>
    <s v="03/02/2001"/>
    <s v="Delhi"/>
    <x v="1"/>
    <x v="2"/>
    <s v="Notebook"/>
    <n v="1"/>
    <n v="60"/>
    <n v="0.1"/>
    <n v="54"/>
    <n v="4"/>
    <s v="NetBanking"/>
    <s v="Not Assigned"/>
    <s v="rohit.singh@company.com"/>
    <n v="9448658297"/>
    <s v="Cancelled"/>
    <m/>
    <m/>
    <m/>
    <m/>
    <m/>
    <m/>
    <m/>
    <m/>
    <m/>
    <m/>
    <m/>
    <m/>
    <m/>
    <m/>
    <m/>
    <m/>
    <m/>
    <m/>
    <m/>
    <m/>
    <x v="305"/>
  </r>
  <r>
    <s v="ORD10463"/>
    <s v="C009"/>
    <s v="P201"/>
    <x v="308"/>
    <s v="11/03/2026"/>
    <s v="Mohit Verma"/>
    <s v="Male"/>
    <s v="23/06/1990"/>
    <s v="Hyderabad"/>
    <x v="0"/>
    <x v="0"/>
    <s v="Mixer"/>
    <n v="16"/>
    <n v="3500"/>
    <n v="0"/>
    <n v="56000"/>
    <n v="4"/>
    <s v="NetBanking"/>
    <s v="Ritika"/>
    <s v="mohit.verma@company.com"/>
    <n v="9906748486"/>
    <s v="Pending"/>
    <m/>
    <m/>
    <m/>
    <m/>
    <m/>
    <m/>
    <m/>
    <m/>
    <m/>
    <m/>
    <m/>
    <m/>
    <m/>
    <m/>
    <m/>
    <m/>
    <m/>
    <m/>
    <m/>
    <m/>
    <x v="306"/>
  </r>
  <r>
    <s v="ORD10464"/>
    <s v="C003"/>
    <s v="P302"/>
    <x v="260"/>
    <s v="05/02/2025"/>
    <s v="Rohit Singh"/>
    <s v="Male"/>
    <s v="13/05/1978"/>
    <s v="Pune"/>
    <x v="2"/>
    <x v="2"/>
    <s v="Pen"/>
    <n v="14"/>
    <n v="20"/>
    <n v="0.1"/>
    <n v="252"/>
    <n v="1"/>
    <s v="NetBanking"/>
    <s v="Aisha"/>
    <s v="rohit.singh@company.com"/>
    <n v="9365182725"/>
    <s v="Pending"/>
    <m/>
    <m/>
    <m/>
    <m/>
    <m/>
    <m/>
    <m/>
    <m/>
    <m/>
    <m/>
    <m/>
    <m/>
    <m/>
    <m/>
    <m/>
    <m/>
    <m/>
    <m/>
    <m/>
    <m/>
    <x v="258"/>
  </r>
  <r>
    <s v="ORD10465"/>
    <s v="C009"/>
    <s v="P202"/>
    <x v="68"/>
    <s v="14/12/2025"/>
    <s v="Mohit Verma"/>
    <s v="Male"/>
    <s v="22/07/2000"/>
    <s v="Bengaluru"/>
    <x v="0"/>
    <x v="0"/>
    <s v="Iron"/>
    <n v="11"/>
    <n v="2200"/>
    <n v="0.15"/>
    <n v="20570"/>
    <n v="4"/>
    <s v="NetBanking"/>
    <s v="Rahul"/>
    <s v="mohit.verma@company.com"/>
    <n v="9937119494"/>
    <s v="Cancelled"/>
    <m/>
    <m/>
    <m/>
    <m/>
    <m/>
    <m/>
    <m/>
    <m/>
    <m/>
    <m/>
    <m/>
    <m/>
    <m/>
    <m/>
    <m/>
    <m/>
    <m/>
    <m/>
    <m/>
    <m/>
    <x v="68"/>
  </r>
  <r>
    <s v="ORD10466"/>
    <s v="C007"/>
    <s v="P101"/>
    <x v="309"/>
    <s v="09/08/2025"/>
    <s v="Arjun Rao"/>
    <s v="Male"/>
    <s v="20/03/1985"/>
    <s v="Jaipur"/>
    <x v="1"/>
    <x v="1"/>
    <s v="Laptop"/>
    <n v="2"/>
    <n v="55000"/>
    <n v="0"/>
    <n v="110000"/>
    <n v="4"/>
    <s v="NetBanking"/>
    <s v="Rahul"/>
    <s v="arjun.rao@company.com"/>
    <n v="9828015293"/>
    <s v="Cancelled"/>
    <m/>
    <m/>
    <m/>
    <m/>
    <m/>
    <m/>
    <m/>
    <m/>
    <m/>
    <m/>
    <m/>
    <m/>
    <m/>
    <m/>
    <m/>
    <m/>
    <m/>
    <m/>
    <m/>
    <m/>
    <x v="307"/>
  </r>
  <r>
    <s v="ORD10467"/>
    <s v="C010"/>
    <s v="P202"/>
    <x v="76"/>
    <s v="07/01/2025"/>
    <s v="Pooja Shah"/>
    <s v="Female"/>
    <s v="08/02/1988"/>
    <s v="Pune"/>
    <x v="2"/>
    <x v="0"/>
    <s v="Iron"/>
    <n v="7"/>
    <n v="2200"/>
    <n v="0.05"/>
    <n v="14630"/>
    <n v="4"/>
    <s v="Card"/>
    <s v="Neha"/>
    <s v="pooja.shah@company.com"/>
    <n v="9864206250"/>
    <s v="Cancelled"/>
    <m/>
    <m/>
    <m/>
    <m/>
    <m/>
    <m/>
    <m/>
    <m/>
    <m/>
    <m/>
    <m/>
    <m/>
    <m/>
    <m/>
    <m/>
    <m/>
    <m/>
    <m/>
    <m/>
    <m/>
    <x v="76"/>
  </r>
  <r>
    <s v="ORD10468"/>
    <s v="C008"/>
    <s v="P303"/>
    <x v="310"/>
    <s v="12/04/2025"/>
    <s v="Kavya Nair"/>
    <s v="Female"/>
    <s v="26/04/1997"/>
    <s v="Ahmedabad"/>
    <x v="2"/>
    <x v="2"/>
    <s v="Marker"/>
    <n v="11"/>
    <n v="45"/>
    <n v="0.15"/>
    <n v="420.75"/>
    <n v="4"/>
    <s v="Card"/>
    <s v="Aisha"/>
    <s v="kavya.nair@company.com"/>
    <n v="9519293104"/>
    <s v="Pending"/>
    <m/>
    <m/>
    <m/>
    <m/>
    <m/>
    <m/>
    <m/>
    <m/>
    <m/>
    <m/>
    <m/>
    <m/>
    <m/>
    <m/>
    <m/>
    <m/>
    <m/>
    <m/>
    <m/>
    <m/>
    <x v="308"/>
  </r>
  <r>
    <s v="ORD10469"/>
    <s v="C002"/>
    <s v="P301"/>
    <x v="181"/>
    <s v="30/04/2025"/>
    <s v="Priya Patel"/>
    <s v="Female"/>
    <s v="22/05/2001"/>
    <s v="Mumbai"/>
    <x v="2"/>
    <x v="2"/>
    <s v="Notebook"/>
    <n v="16"/>
    <n v="60"/>
    <n v="0.05"/>
    <n v="912"/>
    <n v="2"/>
    <s v="Cash"/>
    <s v="Neha"/>
    <s v="priya.patel@company.com"/>
    <n v="9296075245"/>
    <s v="Cancelled"/>
    <m/>
    <m/>
    <m/>
    <m/>
    <m/>
    <m/>
    <m/>
    <m/>
    <m/>
    <m/>
    <m/>
    <m/>
    <m/>
    <m/>
    <m/>
    <m/>
    <m/>
    <m/>
    <m/>
    <m/>
    <x v="180"/>
  </r>
  <r>
    <s v="ORD10470"/>
    <s v="C001"/>
    <s v="P101"/>
    <x v="311"/>
    <s v="04/11/2025"/>
    <s v="Amit Sharma"/>
    <s v="Male"/>
    <s v="19/06/1982"/>
    <s v="Pune"/>
    <x v="2"/>
    <x v="1"/>
    <s v="Laptop"/>
    <n v="18"/>
    <n v="55000"/>
    <n v="0"/>
    <n v="990000"/>
    <n v="5"/>
    <s v="NetBanking"/>
    <s v="Rahul"/>
    <s v="amit.sharma@company.com"/>
    <n v="9316770206"/>
    <s v="Pending"/>
    <m/>
    <m/>
    <m/>
    <m/>
    <m/>
    <m/>
    <m/>
    <m/>
    <m/>
    <m/>
    <m/>
    <m/>
    <m/>
    <m/>
    <m/>
    <m/>
    <m/>
    <m/>
    <m/>
    <m/>
    <x v="309"/>
  </r>
  <r>
    <s v="ORD10471"/>
    <s v="C008"/>
    <s v="P103"/>
    <x v="312"/>
    <s v="22/10/2025"/>
    <s v="Kavya Nair"/>
    <s v="Female"/>
    <s v="23/06/1999"/>
    <s v="Bengaluru"/>
    <x v="0"/>
    <x v="1"/>
    <s v="Keyboard"/>
    <n v="17"/>
    <n v="1200"/>
    <n v="0.05"/>
    <n v="19380"/>
    <n v="1"/>
    <s v="NetBanking"/>
    <s v="Ritika"/>
    <s v="kavya.nair@company.com"/>
    <n v="9706553861"/>
    <s v="Pending"/>
    <m/>
    <m/>
    <m/>
    <m/>
    <m/>
    <m/>
    <m/>
    <m/>
    <m/>
    <m/>
    <m/>
    <m/>
    <m/>
    <m/>
    <m/>
    <m/>
    <m/>
    <m/>
    <m/>
    <m/>
    <x v="310"/>
  </r>
  <r>
    <s v="ORD10472"/>
    <s v="C010"/>
    <s v="P101"/>
    <x v="1"/>
    <s v="05/05/2025"/>
    <s v="Pooja Shah"/>
    <s v="Female"/>
    <s v="02/02/2001"/>
    <s v="Pune"/>
    <x v="2"/>
    <x v="1"/>
    <s v="Laptop"/>
    <n v="11"/>
    <n v="55000"/>
    <n v="0"/>
    <n v="605000"/>
    <n v="2"/>
    <s v="Cash"/>
    <s v="Aisha"/>
    <s v="pooja.shah@company.com"/>
    <n v="9524904662"/>
    <s v="Pending"/>
    <m/>
    <m/>
    <m/>
    <m/>
    <m/>
    <m/>
    <m/>
    <m/>
    <m/>
    <m/>
    <m/>
    <m/>
    <m/>
    <m/>
    <m/>
    <m/>
    <m/>
    <m/>
    <m/>
    <m/>
    <x v="1"/>
  </r>
  <r>
    <s v="ORD10473"/>
    <s v="C006"/>
    <s v="P102"/>
    <x v="26"/>
    <s v="31/05/2025"/>
    <s v="Sneha Joshi"/>
    <s v="Female"/>
    <s v="09/02/1999"/>
    <s v="Delhi"/>
    <x v="1"/>
    <x v="1"/>
    <s v="Mouse"/>
    <n v="20"/>
    <n v="700"/>
    <n v="0.2"/>
    <n v="11200"/>
    <n v="5"/>
    <s v="NetBanking"/>
    <s v="Aisha"/>
    <s v="sneha.joshi@company.com"/>
    <n v="9577624596"/>
    <s v="Completed"/>
    <m/>
    <m/>
    <m/>
    <m/>
    <m/>
    <m/>
    <m/>
    <m/>
    <m/>
    <m/>
    <m/>
    <m/>
    <m/>
    <m/>
    <m/>
    <m/>
    <m/>
    <m/>
    <m/>
    <m/>
    <x v="26"/>
  </r>
  <r>
    <s v="ORD10474"/>
    <s v="C009"/>
    <s v="P302"/>
    <x v="313"/>
    <s v="08/02/2026"/>
    <s v="Mohit Verma"/>
    <s v="Male"/>
    <s v="06/05/1988"/>
    <s v="Delhi"/>
    <x v="1"/>
    <x v="2"/>
    <s v="Pen"/>
    <n v="5"/>
    <n v="20"/>
    <n v="0.05"/>
    <n v="95"/>
    <n v="4"/>
    <s v="Cash"/>
    <s v="Rahul"/>
    <s v="mohit.verma@company.com"/>
    <n v="9898452436"/>
    <s v="Cancelled"/>
    <m/>
    <m/>
    <m/>
    <m/>
    <m/>
    <m/>
    <m/>
    <m/>
    <m/>
    <m/>
    <m/>
    <m/>
    <m/>
    <m/>
    <m/>
    <m/>
    <m/>
    <m/>
    <m/>
    <m/>
    <x v="311"/>
  </r>
  <r>
    <s v="ORD10475"/>
    <s v="C001"/>
    <s v="P101"/>
    <x v="122"/>
    <s v="11/02/2025"/>
    <s v="Amit Sharma"/>
    <s v="Male"/>
    <s v="12/02/1975"/>
    <s v="Mumbai"/>
    <x v="2"/>
    <x v="1"/>
    <s v="Laptop"/>
    <n v="13"/>
    <n v="55000"/>
    <n v="0.05"/>
    <n v="679250"/>
    <n v="1"/>
    <s v="NetBanking"/>
    <s v="Rahul"/>
    <s v="amit.sharma@company.com"/>
    <n v="9960757012"/>
    <s v="Pending"/>
    <m/>
    <m/>
    <m/>
    <m/>
    <m/>
    <m/>
    <m/>
    <m/>
    <m/>
    <m/>
    <m/>
    <m/>
    <m/>
    <m/>
    <m/>
    <m/>
    <m/>
    <m/>
    <m/>
    <m/>
    <x v="122"/>
  </r>
  <r>
    <s v="ORD10476"/>
    <s v="C003"/>
    <s v="P101"/>
    <x v="22"/>
    <s v="20/04/2025"/>
    <s v="Rohit Singh"/>
    <s v="Male"/>
    <s v="01/01/2004"/>
    <s v="Kolkata"/>
    <x v="3"/>
    <x v="1"/>
    <s v="Laptop"/>
    <n v="12"/>
    <n v="55000"/>
    <n v="0.05"/>
    <n v="627000"/>
    <n v="1"/>
    <s v="NetBanking"/>
    <s v="Neha"/>
    <s v="rohit.singh@company.com"/>
    <n v="9331268182"/>
    <s v="Cancelled"/>
    <m/>
    <m/>
    <m/>
    <m/>
    <m/>
    <m/>
    <m/>
    <m/>
    <m/>
    <m/>
    <m/>
    <m/>
    <m/>
    <m/>
    <m/>
    <m/>
    <m/>
    <m/>
    <m/>
    <m/>
    <x v="22"/>
  </r>
  <r>
    <s v="ORD10477"/>
    <s v="C010"/>
    <s v="P303"/>
    <x v="314"/>
    <s v="28/01/2025"/>
    <s v="Pooja Shah"/>
    <s v="Female"/>
    <s v="23/08/2001"/>
    <s v="Mumbai"/>
    <x v="2"/>
    <x v="2"/>
    <s v="Marker"/>
    <n v="16"/>
    <n v="45"/>
    <n v="0.2"/>
    <n v="576"/>
    <n v="2"/>
    <s v="Cash"/>
    <s v="Rahul"/>
    <s v="pooja.shah@company.com"/>
    <n v="9135996862"/>
    <s v="Pending"/>
    <m/>
    <m/>
    <m/>
    <m/>
    <m/>
    <m/>
    <m/>
    <m/>
    <m/>
    <m/>
    <m/>
    <m/>
    <m/>
    <m/>
    <m/>
    <m/>
    <m/>
    <m/>
    <m/>
    <m/>
    <x v="312"/>
  </r>
  <r>
    <s v="ORD10478"/>
    <s v="C008"/>
    <s v="P103"/>
    <x v="0"/>
    <s v="27/09/2025"/>
    <s v="Kavya Nair"/>
    <s v="Female"/>
    <s v="23/01/1998"/>
    <s v="Bengaluru"/>
    <x v="0"/>
    <x v="1"/>
    <s v="Keyboard"/>
    <n v="5"/>
    <n v="1200"/>
    <n v="0.1"/>
    <n v="5400"/>
    <n v="1"/>
    <s v="Cash"/>
    <s v="Not Assigned"/>
    <s v="kavya.nair@company.com"/>
    <n v="9540813143"/>
    <s v="Completed"/>
    <m/>
    <m/>
    <m/>
    <m/>
    <m/>
    <m/>
    <m/>
    <m/>
    <m/>
    <m/>
    <m/>
    <m/>
    <m/>
    <m/>
    <m/>
    <m/>
    <m/>
    <m/>
    <m/>
    <m/>
    <x v="0"/>
  </r>
  <r>
    <s v="ORD10479"/>
    <s v="C004"/>
    <s v="P303"/>
    <x v="315"/>
    <s v="20/10/2025"/>
    <s v="Anita Gupta"/>
    <s v="Female"/>
    <s v="28/05/2004"/>
    <s v="Kolkata"/>
    <x v="3"/>
    <x v="2"/>
    <s v="Marker"/>
    <n v="2"/>
    <n v="45"/>
    <n v="0.1"/>
    <n v="81"/>
    <n v="4"/>
    <s v="UPI"/>
    <s v="Rahul"/>
    <s v="anita.gupta@company.com"/>
    <n v="9910913552"/>
    <s v="Pending"/>
    <m/>
    <m/>
    <m/>
    <m/>
    <m/>
    <m/>
    <m/>
    <m/>
    <m/>
    <m/>
    <m/>
    <m/>
    <m/>
    <m/>
    <m/>
    <m/>
    <m/>
    <m/>
    <m/>
    <m/>
    <x v="313"/>
  </r>
  <r>
    <s v="ORD10480"/>
    <s v="C003"/>
    <s v="P104"/>
    <x v="316"/>
    <s v="18/01/2026"/>
    <s v="Rohit Singh"/>
    <s v="Male"/>
    <s v="06/03/1985"/>
    <s v="Ahmedabad"/>
    <x v="2"/>
    <x v="1"/>
    <s v="Monitor"/>
    <n v="3"/>
    <n v="12000"/>
    <n v="0"/>
    <n v="36000"/>
    <n v="2"/>
    <s v="UPI"/>
    <s v="Karan"/>
    <s v="rohit.singh@company.com"/>
    <n v="9282751683"/>
    <s v="Pending"/>
    <m/>
    <m/>
    <m/>
    <m/>
    <m/>
    <m/>
    <m/>
    <m/>
    <m/>
    <m/>
    <m/>
    <m/>
    <m/>
    <m/>
    <m/>
    <m/>
    <m/>
    <m/>
    <m/>
    <m/>
    <x v="314"/>
  </r>
  <r>
    <s v="ORD10481"/>
    <s v="C008"/>
    <s v="P104"/>
    <x v="317"/>
    <s v="01/02/2025"/>
    <s v="Kavya Nair"/>
    <s v="Female"/>
    <s v="06/09/1986"/>
    <s v="Bengaluru"/>
    <x v="0"/>
    <x v="1"/>
    <s v="Monitor"/>
    <n v="3"/>
    <n v="12000"/>
    <n v="0.2"/>
    <n v="28800"/>
    <n v="3"/>
    <s v="UPI"/>
    <s v="Neha"/>
    <s v="kavya.nair@company.com"/>
    <n v="9939332058"/>
    <s v="Completed"/>
    <m/>
    <m/>
    <m/>
    <m/>
    <m/>
    <m/>
    <m/>
    <m/>
    <m/>
    <m/>
    <m/>
    <m/>
    <m/>
    <m/>
    <m/>
    <m/>
    <m/>
    <m/>
    <m/>
    <m/>
    <x v="315"/>
  </r>
  <r>
    <s v="ORD10482"/>
    <s v="C003"/>
    <s v="P203"/>
    <x v="318"/>
    <s v="08/04/2026"/>
    <s v="Rohit Singh"/>
    <s v="Male"/>
    <s v="21/08/1981"/>
    <s v="Kolkata"/>
    <x v="3"/>
    <x v="0"/>
    <s v="Microwave"/>
    <n v="9"/>
    <n v="8500"/>
    <n v="0.15"/>
    <n v="65025"/>
    <n v="5"/>
    <s v="Cash"/>
    <s v="Rahul"/>
    <s v="rohit.singh@company.com"/>
    <n v="9780626473"/>
    <s v="Pending"/>
    <m/>
    <m/>
    <m/>
    <m/>
    <m/>
    <m/>
    <m/>
    <m/>
    <m/>
    <m/>
    <m/>
    <m/>
    <m/>
    <m/>
    <m/>
    <m/>
    <m/>
    <m/>
    <m/>
    <m/>
    <x v="316"/>
  </r>
  <r>
    <s v="ORD10483"/>
    <s v="C009"/>
    <s v="P102"/>
    <x v="319"/>
    <s v="06/07/2025"/>
    <s v="Mohit Verma"/>
    <s v="Male"/>
    <s v="23/04/1992"/>
    <s v="Kolkata"/>
    <x v="3"/>
    <x v="1"/>
    <s v="Mouse"/>
    <n v="17"/>
    <n v="700"/>
    <n v="0"/>
    <n v="11900"/>
    <n v="2"/>
    <s v="Cash"/>
    <s v="Aisha"/>
    <s v="mohit.verma@company.com"/>
    <n v="9347298020"/>
    <s v="Cancelled"/>
    <m/>
    <m/>
    <m/>
    <m/>
    <m/>
    <m/>
    <m/>
    <m/>
    <m/>
    <m/>
    <m/>
    <m/>
    <m/>
    <m/>
    <m/>
    <m/>
    <m/>
    <m/>
    <m/>
    <m/>
    <x v="317"/>
  </r>
  <r>
    <s v="ORD10484"/>
    <s v="C008"/>
    <s v="P102"/>
    <x v="199"/>
    <s v="18/07/2025"/>
    <s v="Kavya Nair"/>
    <s v="Female"/>
    <s v="03/07/1991"/>
    <s v="Hyderabad"/>
    <x v="0"/>
    <x v="1"/>
    <s v="Mouse"/>
    <n v="20"/>
    <n v="700"/>
    <n v="0.05"/>
    <n v="13300"/>
    <n v="2"/>
    <s v="UPI"/>
    <s v="Ritika"/>
    <s v="kavya.nair@company.com"/>
    <n v="9345328522"/>
    <s v="Completed"/>
    <m/>
    <m/>
    <m/>
    <m/>
    <m/>
    <m/>
    <m/>
    <m/>
    <m/>
    <m/>
    <m/>
    <m/>
    <m/>
    <m/>
    <m/>
    <m/>
    <m/>
    <m/>
    <m/>
    <m/>
    <x v="198"/>
  </r>
  <r>
    <s v="ORD10485"/>
    <s v="C001"/>
    <s v="P103"/>
    <x v="84"/>
    <s v="21/03/2026"/>
    <s v="Amit Sharma"/>
    <s v="Male"/>
    <s v="05/02/1978"/>
    <s v="Ahmedabad"/>
    <x v="2"/>
    <x v="1"/>
    <s v="Keyboard"/>
    <n v="13"/>
    <n v="1200"/>
    <n v="0.2"/>
    <n v="12480"/>
    <n v="5"/>
    <s v="Card"/>
    <s v="Neha"/>
    <s v="amit.sharma@company.com"/>
    <n v="9160310438"/>
    <s v="Completed"/>
    <m/>
    <m/>
    <m/>
    <m/>
    <m/>
    <m/>
    <m/>
    <m/>
    <m/>
    <m/>
    <m/>
    <m/>
    <m/>
    <m/>
    <m/>
    <m/>
    <m/>
    <m/>
    <m/>
    <m/>
    <x v="84"/>
  </r>
  <r>
    <s v="ORD10486"/>
    <s v="C002"/>
    <s v="P101"/>
    <x v="320"/>
    <s v="29/03/2026"/>
    <s v="Priya Patel"/>
    <s v="Female"/>
    <s v="18/07/1999"/>
    <s v="Jaipur"/>
    <x v="1"/>
    <x v="1"/>
    <s v="Laptop"/>
    <n v="20"/>
    <n v="55000"/>
    <n v="0.1"/>
    <n v="990000"/>
    <n v="1"/>
    <s v="UPI"/>
    <s v="Ritika"/>
    <s v="priya.patel@company.com"/>
    <n v="9343776153"/>
    <s v="Pending"/>
    <m/>
    <m/>
    <m/>
    <m/>
    <m/>
    <m/>
    <m/>
    <m/>
    <m/>
    <m/>
    <m/>
    <m/>
    <m/>
    <m/>
    <m/>
    <m/>
    <m/>
    <m/>
    <m/>
    <m/>
    <x v="318"/>
  </r>
  <r>
    <s v="ORD10487"/>
    <s v="C006"/>
    <s v="P103"/>
    <x v="80"/>
    <s v="05/11/2025"/>
    <s v="Sneha Joshi"/>
    <s v="Female"/>
    <s v="03/04/1988"/>
    <s v="Kolkata"/>
    <x v="3"/>
    <x v="1"/>
    <s v="Keyboard"/>
    <n v="8"/>
    <n v="1200"/>
    <n v="0"/>
    <n v="9600"/>
    <n v="2"/>
    <s v="NetBanking"/>
    <s v="Karan"/>
    <s v="sneha.joshi@company.com"/>
    <n v="9458599727"/>
    <s v="Completed"/>
    <m/>
    <m/>
    <m/>
    <m/>
    <m/>
    <m/>
    <m/>
    <m/>
    <m/>
    <m/>
    <m/>
    <m/>
    <m/>
    <m/>
    <m/>
    <m/>
    <m/>
    <m/>
    <m/>
    <m/>
    <x v="80"/>
  </r>
  <r>
    <s v="ORD10488"/>
    <s v="C010"/>
    <s v="P302"/>
    <x v="321"/>
    <s v="09/05/2026"/>
    <s v="Pooja Shah"/>
    <s v="Female"/>
    <s v="11/11/1978"/>
    <s v="Kolkata"/>
    <x v="3"/>
    <x v="2"/>
    <s v="Pen"/>
    <n v="18"/>
    <n v="20"/>
    <n v="0.1"/>
    <n v="324"/>
    <n v="5"/>
    <s v="Card"/>
    <s v="Not Assigned"/>
    <s v="pooja.shah@company.com"/>
    <n v="9218660140"/>
    <s v="Pending"/>
    <m/>
    <m/>
    <m/>
    <m/>
    <m/>
    <m/>
    <m/>
    <m/>
    <m/>
    <m/>
    <m/>
    <m/>
    <m/>
    <m/>
    <m/>
    <m/>
    <m/>
    <m/>
    <m/>
    <m/>
    <x v="319"/>
  </r>
  <r>
    <s v="ORD10489"/>
    <s v="C004"/>
    <s v="P104"/>
    <x v="322"/>
    <s v="07/03/2025"/>
    <s v="Anita Gupta"/>
    <s v="Female"/>
    <s v="02/04/1994"/>
    <s v="Pune"/>
    <x v="2"/>
    <x v="1"/>
    <s v="Monitor"/>
    <n v="11"/>
    <n v="12000"/>
    <n v="0.1"/>
    <n v="118800"/>
    <n v="1"/>
    <s v="Card"/>
    <s v="Rahul"/>
    <s v="anita.gupta@company.com"/>
    <n v="9341979199"/>
    <s v="Cancelled"/>
    <m/>
    <m/>
    <m/>
    <m/>
    <m/>
    <m/>
    <m/>
    <m/>
    <m/>
    <m/>
    <m/>
    <m/>
    <m/>
    <m/>
    <m/>
    <m/>
    <m/>
    <m/>
    <m/>
    <m/>
    <x v="320"/>
  </r>
  <r>
    <s v="ORD10490"/>
    <s v="C001"/>
    <s v="P203"/>
    <x v="270"/>
    <s v="17/01/2025"/>
    <s v="Amit Sharma"/>
    <s v="Male"/>
    <s v="09/05/1993"/>
    <s v="Hyderabad"/>
    <x v="0"/>
    <x v="0"/>
    <s v="Microwave"/>
    <n v="2"/>
    <n v="8500"/>
    <n v="0.05"/>
    <n v="16150"/>
    <n v="1"/>
    <s v="Card"/>
    <s v="Aisha"/>
    <s v="amit.sharma@company.com"/>
    <n v="9823080381"/>
    <s v="Completed"/>
    <m/>
    <m/>
    <m/>
    <m/>
    <m/>
    <m/>
    <m/>
    <m/>
    <m/>
    <m/>
    <m/>
    <m/>
    <m/>
    <m/>
    <m/>
    <m/>
    <m/>
    <m/>
    <m/>
    <m/>
    <x v="268"/>
  </r>
  <r>
    <s v="ORD10491"/>
    <s v="C002"/>
    <s v="P202"/>
    <x v="42"/>
    <s v="08/04/2025"/>
    <s v="Priya Patel"/>
    <s v="Female"/>
    <s v="11/07/1994"/>
    <s v="Pune"/>
    <x v="2"/>
    <x v="0"/>
    <s v="Iron"/>
    <n v="7"/>
    <n v="2200"/>
    <n v="0"/>
    <n v="15400"/>
    <n v="5"/>
    <s v="NetBanking"/>
    <s v="Ritika"/>
    <s v="priya.patel@company.com"/>
    <n v="9981183477"/>
    <s v="Pending"/>
    <m/>
    <m/>
    <m/>
    <m/>
    <m/>
    <m/>
    <m/>
    <m/>
    <m/>
    <m/>
    <m/>
    <m/>
    <m/>
    <m/>
    <m/>
    <m/>
    <m/>
    <m/>
    <m/>
    <m/>
    <x v="42"/>
  </r>
  <r>
    <s v="ORD10492"/>
    <s v="C007"/>
    <s v="P203"/>
    <x v="298"/>
    <s v="02/05/2026"/>
    <s v="Arjun Rao"/>
    <s v="Male"/>
    <s v="19/12/1982"/>
    <s v="Delhi"/>
    <x v="1"/>
    <x v="0"/>
    <s v="Microwave"/>
    <n v="20"/>
    <n v="8500"/>
    <n v="0"/>
    <n v="170000"/>
    <n v="3"/>
    <s v="NetBanking"/>
    <s v="Rahul"/>
    <s v="arjun.rao@company.com"/>
    <n v="9281596011"/>
    <s v="Completed"/>
    <m/>
    <m/>
    <m/>
    <m/>
    <m/>
    <m/>
    <m/>
    <m/>
    <m/>
    <m/>
    <m/>
    <m/>
    <m/>
    <m/>
    <m/>
    <m/>
    <m/>
    <m/>
    <m/>
    <m/>
    <x v="296"/>
  </r>
  <r>
    <s v="ORD10493"/>
    <s v="C003"/>
    <s v="P103"/>
    <x v="179"/>
    <s v="29/07/2025"/>
    <s v="Rohit Singh"/>
    <s v="Male"/>
    <s v="02/11/2001"/>
    <s v="Hyderabad"/>
    <x v="0"/>
    <x v="1"/>
    <s v="Keyboard"/>
    <n v="11"/>
    <n v="1200"/>
    <n v="0.05"/>
    <n v="12540"/>
    <n v="2"/>
    <s v="Cash"/>
    <s v="Ritika"/>
    <s v="rohit.singh@company.com"/>
    <n v="9211734022"/>
    <s v="Pending"/>
    <m/>
    <m/>
    <m/>
    <m/>
    <m/>
    <m/>
    <m/>
    <m/>
    <m/>
    <m/>
    <m/>
    <m/>
    <m/>
    <m/>
    <m/>
    <m/>
    <m/>
    <m/>
    <m/>
    <m/>
    <x v="178"/>
  </r>
  <r>
    <s v="ORD10494"/>
    <s v="C007"/>
    <s v="P102"/>
    <x v="323"/>
    <s v="01/08/2025"/>
    <s v="Arjun Rao"/>
    <s v="Male"/>
    <s v="18/10/2001"/>
    <s v="Ahmedabad"/>
    <x v="2"/>
    <x v="1"/>
    <s v="Mouse"/>
    <n v="14"/>
    <n v="700"/>
    <n v="0"/>
    <n v="9800"/>
    <n v="2"/>
    <s v="Card"/>
    <s v="Karan"/>
    <s v="arjun.rao@company.com"/>
    <n v="9447151666"/>
    <s v="Cancelled"/>
    <m/>
    <m/>
    <m/>
    <m/>
    <m/>
    <m/>
    <m/>
    <m/>
    <m/>
    <m/>
    <m/>
    <m/>
    <m/>
    <m/>
    <m/>
    <m/>
    <m/>
    <m/>
    <m/>
    <m/>
    <x v="321"/>
  </r>
  <r>
    <s v="ORD10495"/>
    <s v="C009"/>
    <s v="P103"/>
    <x v="324"/>
    <s v="01/11/2025"/>
    <s v="Mohit Verma"/>
    <s v="Male"/>
    <s v="21/12/2000"/>
    <s v="Pune"/>
    <x v="2"/>
    <x v="1"/>
    <s v="Keyboard"/>
    <n v="16"/>
    <n v="1200"/>
    <n v="0.15"/>
    <n v="16320"/>
    <n v="4"/>
    <s v="Cash"/>
    <s v="Karan"/>
    <s v="mohit.verma@company.com"/>
    <n v="9345342793"/>
    <s v="Pending"/>
    <m/>
    <m/>
    <m/>
    <m/>
    <m/>
    <m/>
    <m/>
    <m/>
    <m/>
    <m/>
    <m/>
    <m/>
    <m/>
    <m/>
    <m/>
    <m/>
    <m/>
    <m/>
    <m/>
    <m/>
    <x v="322"/>
  </r>
  <r>
    <s v="ORD10496"/>
    <s v="C004"/>
    <s v="P202"/>
    <x v="72"/>
    <s v="29/03/2026"/>
    <s v="Anita Gupta"/>
    <s v="Female"/>
    <s v="20/02/1983"/>
    <s v="Jaipur"/>
    <x v="1"/>
    <x v="0"/>
    <s v="Iron"/>
    <n v="20"/>
    <n v="2200"/>
    <n v="0"/>
    <n v="44000"/>
    <n v="5"/>
    <s v="Cash"/>
    <s v="Ritika"/>
    <s v="anita.gupta@company.com"/>
    <n v="9329668173"/>
    <s v="Cancelled"/>
    <m/>
    <m/>
    <m/>
    <m/>
    <m/>
    <m/>
    <m/>
    <m/>
    <m/>
    <m/>
    <m/>
    <m/>
    <m/>
    <m/>
    <m/>
    <m/>
    <m/>
    <m/>
    <m/>
    <m/>
    <x v="72"/>
  </r>
  <r>
    <s v="ORD10497"/>
    <s v="C007"/>
    <s v="P104"/>
    <x v="322"/>
    <s v="07/03/2025"/>
    <s v="Arjun Rao"/>
    <s v="Male"/>
    <s v="13/06/1988"/>
    <s v="Jaipur"/>
    <x v="1"/>
    <x v="1"/>
    <s v="Monitor"/>
    <n v="12"/>
    <n v="12000"/>
    <n v="0.15"/>
    <n v="122400"/>
    <n v="5"/>
    <s v="Cash"/>
    <s v="Karan"/>
    <s v="arjun.rao@company.com"/>
    <n v="9294740227"/>
    <s v="Completed"/>
    <m/>
    <m/>
    <m/>
    <m/>
    <m/>
    <m/>
    <m/>
    <m/>
    <m/>
    <m/>
    <m/>
    <m/>
    <m/>
    <m/>
    <m/>
    <m/>
    <m/>
    <m/>
    <m/>
    <m/>
    <x v="320"/>
  </r>
  <r>
    <s v="ORD10498"/>
    <s v="C005"/>
    <s v="P103"/>
    <x v="96"/>
    <s v="20/12/2025"/>
    <s v="Vikas Mehta"/>
    <s v="Male"/>
    <s v="22/07/1992"/>
    <s v="Delhi"/>
    <x v="1"/>
    <x v="1"/>
    <s v="Keyboard"/>
    <n v="3"/>
    <n v="1200"/>
    <n v="0.2"/>
    <n v="2880"/>
    <n v="2"/>
    <s v="NetBanking"/>
    <s v="Neha"/>
    <s v="vikas.mehtacompany.com"/>
    <n v="9549426303"/>
    <s v="Pending"/>
    <m/>
    <m/>
    <m/>
    <m/>
    <m/>
    <m/>
    <m/>
    <m/>
    <m/>
    <m/>
    <m/>
    <m/>
    <m/>
    <m/>
    <m/>
    <m/>
    <m/>
    <m/>
    <m/>
    <m/>
    <x v="96"/>
  </r>
  <r>
    <s v="ORD10499"/>
    <s v="C002"/>
    <s v="P101"/>
    <x v="125"/>
    <s v="05/07/2025"/>
    <s v="Priya Patel"/>
    <s v="Female"/>
    <s v="12/08/1979"/>
    <s v="Mumbai"/>
    <x v="2"/>
    <x v="1"/>
    <s v="Laptop,Mouse"/>
    <n v="6"/>
    <n v="55000"/>
    <n v="0.2"/>
    <n v="264000"/>
    <n v="3"/>
    <s v="Cash"/>
    <s v="Karan"/>
    <s v="priya.patel@company.com"/>
    <n v="9374249303"/>
    <s v="Completed"/>
    <m/>
    <m/>
    <m/>
    <m/>
    <m/>
    <m/>
    <m/>
    <m/>
    <m/>
    <m/>
    <m/>
    <m/>
    <m/>
    <m/>
    <m/>
    <m/>
    <m/>
    <m/>
    <m/>
    <m/>
    <x v="125"/>
  </r>
  <r>
    <s v="ORD10500"/>
    <s v="C002"/>
    <s v="P201"/>
    <x v="325"/>
    <s v="23/09/2025"/>
    <s v="Priya Patel"/>
    <s v="Female"/>
    <s v="24/11/1976"/>
    <s v="Bengaluru"/>
    <x v="0"/>
    <x v="0"/>
    <s v="Mixer"/>
    <n v="20"/>
    <n v="3500"/>
    <n v="0"/>
    <n v="70000"/>
    <n v="1"/>
    <s v="NetBanking"/>
    <s v="Karan"/>
    <s v="priya.patel@company.com"/>
    <n v="9810334941"/>
    <s v="Pending"/>
    <m/>
    <m/>
    <m/>
    <m/>
    <m/>
    <m/>
    <m/>
    <m/>
    <m/>
    <m/>
    <m/>
    <m/>
    <m/>
    <m/>
    <m/>
    <m/>
    <m/>
    <m/>
    <m/>
    <m/>
    <x v="3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ADF306-2DD1-498C-8837-3D6186B14DAB}"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F9:G13" firstHeaderRow="1" firstDataRow="1" firstDataCol="1"/>
  <pivotFields count="45">
    <pivotField showAll="0"/>
    <pivotField showAll="0"/>
    <pivotField showAll="0"/>
    <pivotField showAll="0"/>
    <pivotField showAll="0"/>
    <pivotField showAll="0"/>
    <pivotField showAll="0"/>
    <pivotField showAll="0"/>
    <pivotField showAll="0"/>
    <pivotField showAll="0">
      <items count="5">
        <item x="3"/>
        <item x="1"/>
        <item x="0"/>
        <item x="2"/>
        <item t="default"/>
      </items>
    </pivotField>
    <pivotField axis="axisRow" showAll="0">
      <items count="4">
        <item x="1"/>
        <item x="0"/>
        <item x="2"/>
        <item t="default"/>
      </items>
    </pivotField>
    <pivotField showAll="0"/>
    <pivotField showAll="0"/>
    <pivotField showAll="0"/>
    <pivotField numFmtId="9"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items count="325">
        <item x="76"/>
        <item x="285"/>
        <item x="59"/>
        <item x="221"/>
        <item x="31"/>
        <item x="307"/>
        <item x="62"/>
        <item x="259"/>
        <item x="257"/>
        <item x="18"/>
        <item x="97"/>
        <item x="268"/>
        <item x="121"/>
        <item x="220"/>
        <item x="312"/>
        <item x="123"/>
        <item x="258"/>
        <item x="263"/>
        <item x="315"/>
        <item x="273"/>
        <item x="266"/>
        <item x="269"/>
        <item x="226"/>
        <item x="292"/>
        <item x="169"/>
        <item x="272"/>
        <item x="309"/>
        <item x="146"/>
        <item x="37"/>
        <item x="158"/>
        <item x="297"/>
        <item x="300"/>
        <item x="179"/>
        <item x="161"/>
        <item x="52"/>
        <item x="286"/>
        <item x="320"/>
        <item x="99"/>
        <item x="100"/>
        <item x="233"/>
        <item x="6"/>
        <item x="21"/>
        <item x="255"/>
        <item x="295"/>
        <item x="106"/>
        <item x="200"/>
        <item x="234"/>
        <item x="267"/>
        <item x="2"/>
        <item x="196"/>
        <item x="134"/>
        <item x="145"/>
        <item x="87"/>
        <item x="98"/>
        <item x="78"/>
        <item x="288"/>
        <item x="194"/>
        <item x="9"/>
        <item x="140"/>
        <item x="216"/>
        <item x="48"/>
        <item x="206"/>
        <item x="42"/>
        <item x="122"/>
        <item x="302"/>
        <item x="40"/>
        <item x="125"/>
        <item x="115"/>
        <item x="88"/>
        <item x="151"/>
        <item x="138"/>
        <item x="241"/>
        <item x="7"/>
        <item x="202"/>
        <item x="287"/>
        <item x="22"/>
        <item x="180"/>
        <item x="95"/>
        <item x="154"/>
        <item x="212"/>
        <item x="43"/>
        <item x="20"/>
        <item x="1"/>
        <item x="159"/>
        <item x="254"/>
        <item x="56"/>
        <item x="240"/>
        <item x="181"/>
        <item x="246"/>
        <item x="38"/>
        <item x="35"/>
        <item x="248"/>
        <item x="270"/>
        <item x="261"/>
        <item x="152"/>
        <item x="223"/>
        <item x="174"/>
        <item x="205"/>
        <item x="182"/>
        <item x="26"/>
        <item x="162"/>
        <item x="192"/>
        <item x="150"/>
        <item x="265"/>
        <item x="304"/>
        <item x="109"/>
        <item x="108"/>
        <item x="144"/>
        <item x="164"/>
        <item x="141"/>
        <item x="211"/>
        <item x="228"/>
        <item x="75"/>
        <item x="245"/>
        <item x="153"/>
        <item x="55"/>
        <item x="30"/>
        <item x="139"/>
        <item x="264"/>
        <item x="291"/>
        <item x="204"/>
        <item x="25"/>
        <item x="19"/>
        <item x="317"/>
        <item x="71"/>
        <item x="293"/>
        <item x="149"/>
        <item x="32"/>
        <item x="65"/>
        <item x="130"/>
        <item x="133"/>
        <item x="250"/>
        <item x="137"/>
        <item x="178"/>
        <item x="136"/>
        <item x="135"/>
        <item x="224"/>
        <item x="120"/>
        <item x="14"/>
        <item x="51"/>
        <item x="243"/>
        <item x="321"/>
        <item x="249"/>
        <item x="188"/>
        <item x="11"/>
        <item x="308"/>
        <item x="230"/>
        <item x="119"/>
        <item x="198"/>
        <item x="28"/>
        <item x="86"/>
        <item x="57"/>
        <item x="50"/>
        <item x="85"/>
        <item x="303"/>
        <item x="107"/>
        <item x="49"/>
        <item x="239"/>
        <item x="282"/>
        <item x="227"/>
        <item x="67"/>
        <item x="201"/>
        <item x="60"/>
        <item x="13"/>
        <item x="103"/>
        <item x="93"/>
        <item x="73"/>
        <item x="187"/>
        <item x="203"/>
        <item x="33"/>
        <item x="148"/>
        <item x="83"/>
        <item x="323"/>
        <item x="209"/>
        <item x="0"/>
        <item x="10"/>
        <item x="167"/>
        <item x="214"/>
        <item x="4"/>
        <item x="260"/>
        <item x="12"/>
        <item x="81"/>
        <item x="101"/>
        <item x="53"/>
        <item x="127"/>
        <item x="235"/>
        <item x="44"/>
        <item x="244"/>
        <item x="310"/>
        <item x="313"/>
        <item x="111"/>
        <item x="322"/>
        <item x="289"/>
        <item x="105"/>
        <item x="143"/>
        <item x="237"/>
        <item x="79"/>
        <item x="80"/>
        <item x="219"/>
        <item x="124"/>
        <item x="112"/>
        <item x="184"/>
        <item x="45"/>
        <item x="96"/>
        <item x="74"/>
        <item x="157"/>
        <item x="102"/>
        <item x="34"/>
        <item x="236"/>
        <item x="46"/>
        <item x="132"/>
        <item x="279"/>
        <item x="217"/>
        <item x="89"/>
        <item x="210"/>
        <item x="256"/>
        <item x="305"/>
        <item x="283"/>
        <item x="199"/>
        <item x="68"/>
        <item x="64"/>
        <item x="195"/>
        <item x="155"/>
        <item x="126"/>
        <item x="168"/>
        <item x="23"/>
        <item x="129"/>
        <item x="66"/>
        <item x="231"/>
        <item x="271"/>
        <item x="193"/>
        <item x="278"/>
        <item x="290"/>
        <item x="142"/>
        <item x="280"/>
        <item x="284"/>
        <item x="185"/>
        <item x="166"/>
        <item x="91"/>
        <item x="176"/>
        <item x="208"/>
        <item x="253"/>
        <item x="183"/>
        <item x="70"/>
        <item x="189"/>
        <item x="311"/>
        <item x="172"/>
        <item x="8"/>
        <item x="113"/>
        <item x="299"/>
        <item x="177"/>
        <item x="218"/>
        <item x="147"/>
        <item x="117"/>
        <item x="207"/>
        <item x="262"/>
        <item x="186"/>
        <item x="213"/>
        <item x="16"/>
        <item x="232"/>
        <item x="222"/>
        <item x="17"/>
        <item x="110"/>
        <item x="104"/>
        <item x="131"/>
        <item x="27"/>
        <item x="92"/>
        <item x="281"/>
        <item x="82"/>
        <item x="72"/>
        <item x="3"/>
        <item x="298"/>
        <item x="318"/>
        <item x="54"/>
        <item x="175"/>
        <item x="276"/>
        <item x="301"/>
        <item x="5"/>
        <item x="69"/>
        <item x="306"/>
        <item x="118"/>
        <item x="90"/>
        <item x="160"/>
        <item x="247"/>
        <item x="277"/>
        <item x="47"/>
        <item x="114"/>
        <item x="170"/>
        <item x="225"/>
        <item x="296"/>
        <item x="77"/>
        <item x="229"/>
        <item x="116"/>
        <item x="173"/>
        <item x="242"/>
        <item x="238"/>
        <item x="319"/>
        <item x="58"/>
        <item x="191"/>
        <item x="163"/>
        <item x="171"/>
        <item x="165"/>
        <item x="128"/>
        <item x="316"/>
        <item x="94"/>
        <item x="190"/>
        <item x="41"/>
        <item x="36"/>
        <item x="15"/>
        <item x="215"/>
        <item x="61"/>
        <item x="63"/>
        <item x="24"/>
        <item x="197"/>
        <item x="39"/>
        <item x="252"/>
        <item x="29"/>
        <item x="275"/>
        <item x="84"/>
        <item x="251"/>
        <item x="274"/>
        <item x="314"/>
        <item x="294"/>
        <item x="156"/>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0"/>
  </rowFields>
  <rowItems count="4">
    <i>
      <x/>
    </i>
    <i>
      <x v="1"/>
    </i>
    <i>
      <x v="2"/>
    </i>
    <i t="grand">
      <x/>
    </i>
  </rowItems>
  <colItems count="1">
    <i/>
  </colItems>
  <dataFields count="1">
    <dataField name="Sum of Sales" fld="15" baseField="9" baseItem="0" numFmtId="166"/>
  </dataFields>
  <formats count="17">
    <format dxfId="45">
      <pivotArea type="all" dataOnly="0" outline="0" fieldPosition="0"/>
    </format>
    <format dxfId="44">
      <pivotArea outline="0" collapsedLevelsAreSubtotals="1" fieldPosition="0"/>
    </format>
    <format dxfId="43">
      <pivotArea field="9" type="button" dataOnly="0" labelOnly="1" outline="0"/>
    </format>
    <format dxfId="42">
      <pivotArea dataOnly="0" labelOnly="1" grandRow="1" outline="0"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field="10" type="button" dataOnly="0" labelOnly="1" outline="0" axis="axisRow" fieldPosition="0"/>
    </format>
    <format dxfId="37">
      <pivotArea dataOnly="0" labelOnly="1" fieldPosition="0">
        <references count="1">
          <reference field="10" count="0"/>
        </references>
      </pivotArea>
    </format>
    <format dxfId="36">
      <pivotArea dataOnly="0" labelOnly="1" grandRow="1" outline="0"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field="10" type="button" dataOnly="0" labelOnly="1" outline="0" axis="axisRow" fieldPosition="0"/>
    </format>
    <format dxfId="31">
      <pivotArea dataOnly="0" labelOnly="1" fieldPosition="0">
        <references count="1">
          <reference field="10" count="0"/>
        </references>
      </pivotArea>
    </format>
    <format dxfId="30">
      <pivotArea dataOnly="0" labelOnly="1" grandRow="1" outline="0" fieldPosition="0"/>
    </format>
    <format dxfId="29">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0" count="1" selected="0">
            <x v="0"/>
          </reference>
        </references>
      </pivotArea>
    </chartFormat>
    <chartFormat chart="6" format="8">
      <pivotArea type="data" outline="0" fieldPosition="0">
        <references count="2">
          <reference field="4294967294" count="1" selected="0">
            <x v="0"/>
          </reference>
          <reference field="10" count="1" selected="0">
            <x v="1"/>
          </reference>
        </references>
      </pivotArea>
    </chartFormat>
    <chartFormat chart="6" format="9">
      <pivotArea type="data" outline="0" fieldPosition="0">
        <references count="2">
          <reference field="4294967294" count="1" selected="0">
            <x v="0"/>
          </reference>
          <reference field="10" count="1" selected="0">
            <x v="2"/>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A6B584-8E2C-42C3-AF0B-2E0E44AB0E9B}"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C9:D14" firstHeaderRow="1" firstDataRow="1" firstDataCol="1"/>
  <pivotFields count="45">
    <pivotField showAll="0"/>
    <pivotField showAll="0"/>
    <pivotField showAll="0"/>
    <pivotField showAll="0"/>
    <pivotField showAll="0"/>
    <pivotField showAll="0"/>
    <pivotField showAll="0"/>
    <pivotField showAll="0"/>
    <pivotField showAll="0"/>
    <pivotField axis="axisRow" showAll="0">
      <items count="5">
        <item x="3"/>
        <item x="1"/>
        <item x="0"/>
        <item x="2"/>
        <item t="default"/>
      </items>
    </pivotField>
    <pivotField showAll="0">
      <items count="4">
        <item x="1"/>
        <item x="0"/>
        <item x="2"/>
        <item t="default"/>
      </items>
    </pivotField>
    <pivotField showAll="0"/>
    <pivotField showAll="0"/>
    <pivotField showAll="0"/>
    <pivotField numFmtId="9"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items count="325">
        <item x="76"/>
        <item x="285"/>
        <item x="59"/>
        <item x="221"/>
        <item x="31"/>
        <item x="307"/>
        <item x="62"/>
        <item x="259"/>
        <item x="257"/>
        <item x="18"/>
        <item x="97"/>
        <item x="268"/>
        <item x="121"/>
        <item x="220"/>
        <item x="312"/>
        <item x="123"/>
        <item x="258"/>
        <item x="263"/>
        <item x="315"/>
        <item x="273"/>
        <item x="266"/>
        <item x="269"/>
        <item x="226"/>
        <item x="292"/>
        <item x="169"/>
        <item x="272"/>
        <item x="309"/>
        <item x="146"/>
        <item x="37"/>
        <item x="158"/>
        <item x="297"/>
        <item x="300"/>
        <item x="179"/>
        <item x="161"/>
        <item x="52"/>
        <item x="286"/>
        <item x="320"/>
        <item x="99"/>
        <item x="100"/>
        <item x="233"/>
        <item x="6"/>
        <item x="21"/>
        <item x="255"/>
        <item x="295"/>
        <item x="106"/>
        <item x="200"/>
        <item x="234"/>
        <item x="267"/>
        <item x="2"/>
        <item x="196"/>
        <item x="134"/>
        <item x="145"/>
        <item x="87"/>
        <item x="98"/>
        <item x="78"/>
        <item x="288"/>
        <item x="194"/>
        <item x="9"/>
        <item x="140"/>
        <item x="216"/>
        <item x="48"/>
        <item x="206"/>
        <item x="42"/>
        <item x="122"/>
        <item x="302"/>
        <item x="40"/>
        <item x="125"/>
        <item x="115"/>
        <item x="88"/>
        <item x="151"/>
        <item x="138"/>
        <item x="241"/>
        <item x="7"/>
        <item x="202"/>
        <item x="287"/>
        <item x="22"/>
        <item x="180"/>
        <item x="95"/>
        <item x="154"/>
        <item x="212"/>
        <item x="43"/>
        <item x="20"/>
        <item x="1"/>
        <item x="159"/>
        <item x="254"/>
        <item x="56"/>
        <item x="240"/>
        <item x="181"/>
        <item x="246"/>
        <item x="38"/>
        <item x="35"/>
        <item x="248"/>
        <item x="270"/>
        <item x="261"/>
        <item x="152"/>
        <item x="223"/>
        <item x="174"/>
        <item x="205"/>
        <item x="182"/>
        <item x="26"/>
        <item x="162"/>
        <item x="192"/>
        <item x="150"/>
        <item x="265"/>
        <item x="304"/>
        <item x="109"/>
        <item x="108"/>
        <item x="144"/>
        <item x="164"/>
        <item x="141"/>
        <item x="211"/>
        <item x="228"/>
        <item x="75"/>
        <item x="245"/>
        <item x="153"/>
        <item x="55"/>
        <item x="30"/>
        <item x="139"/>
        <item x="264"/>
        <item x="291"/>
        <item x="204"/>
        <item x="25"/>
        <item x="19"/>
        <item x="317"/>
        <item x="71"/>
        <item x="293"/>
        <item x="149"/>
        <item x="32"/>
        <item x="65"/>
        <item x="130"/>
        <item x="133"/>
        <item x="250"/>
        <item x="137"/>
        <item x="178"/>
        <item x="136"/>
        <item x="135"/>
        <item x="224"/>
        <item x="120"/>
        <item x="14"/>
        <item x="51"/>
        <item x="243"/>
        <item x="321"/>
        <item x="249"/>
        <item x="188"/>
        <item x="11"/>
        <item x="308"/>
        <item x="230"/>
        <item x="119"/>
        <item x="198"/>
        <item x="28"/>
        <item x="86"/>
        <item x="57"/>
        <item x="50"/>
        <item x="85"/>
        <item x="303"/>
        <item x="107"/>
        <item x="49"/>
        <item x="239"/>
        <item x="282"/>
        <item x="227"/>
        <item x="67"/>
        <item x="201"/>
        <item x="60"/>
        <item x="13"/>
        <item x="103"/>
        <item x="93"/>
        <item x="73"/>
        <item x="187"/>
        <item x="203"/>
        <item x="33"/>
        <item x="148"/>
        <item x="83"/>
        <item x="323"/>
        <item x="209"/>
        <item x="0"/>
        <item x="10"/>
        <item x="167"/>
        <item x="214"/>
        <item x="4"/>
        <item x="260"/>
        <item x="12"/>
        <item x="81"/>
        <item x="101"/>
        <item x="53"/>
        <item x="127"/>
        <item x="235"/>
        <item x="44"/>
        <item x="244"/>
        <item x="310"/>
        <item x="313"/>
        <item x="111"/>
        <item x="322"/>
        <item x="289"/>
        <item x="105"/>
        <item x="143"/>
        <item x="237"/>
        <item x="79"/>
        <item x="80"/>
        <item x="219"/>
        <item x="124"/>
        <item x="112"/>
        <item x="184"/>
        <item x="45"/>
        <item x="96"/>
        <item x="74"/>
        <item x="157"/>
        <item x="102"/>
        <item x="34"/>
        <item x="236"/>
        <item x="46"/>
        <item x="132"/>
        <item x="279"/>
        <item x="217"/>
        <item x="89"/>
        <item x="210"/>
        <item x="256"/>
        <item x="305"/>
        <item x="283"/>
        <item x="199"/>
        <item x="68"/>
        <item x="64"/>
        <item x="195"/>
        <item x="155"/>
        <item x="126"/>
        <item x="168"/>
        <item x="23"/>
        <item x="129"/>
        <item x="66"/>
        <item x="231"/>
        <item x="271"/>
        <item x="193"/>
        <item x="278"/>
        <item x="290"/>
        <item x="142"/>
        <item x="280"/>
        <item x="284"/>
        <item x="185"/>
        <item x="166"/>
        <item x="91"/>
        <item x="176"/>
        <item x="208"/>
        <item x="253"/>
        <item x="183"/>
        <item x="70"/>
        <item x="189"/>
        <item x="311"/>
        <item x="172"/>
        <item x="8"/>
        <item x="113"/>
        <item x="299"/>
        <item x="177"/>
        <item x="218"/>
        <item x="147"/>
        <item x="117"/>
        <item x="207"/>
        <item x="262"/>
        <item x="186"/>
        <item x="213"/>
        <item x="16"/>
        <item x="232"/>
        <item x="222"/>
        <item x="17"/>
        <item x="110"/>
        <item x="104"/>
        <item x="131"/>
        <item x="27"/>
        <item x="92"/>
        <item x="281"/>
        <item x="82"/>
        <item x="72"/>
        <item x="3"/>
        <item x="298"/>
        <item x="318"/>
        <item x="54"/>
        <item x="175"/>
        <item x="276"/>
        <item x="301"/>
        <item x="5"/>
        <item x="69"/>
        <item x="306"/>
        <item x="118"/>
        <item x="90"/>
        <item x="160"/>
        <item x="247"/>
        <item x="277"/>
        <item x="47"/>
        <item x="114"/>
        <item x="170"/>
        <item x="225"/>
        <item x="296"/>
        <item x="77"/>
        <item x="229"/>
        <item x="116"/>
        <item x="173"/>
        <item x="242"/>
        <item x="238"/>
        <item x="319"/>
        <item x="58"/>
        <item x="191"/>
        <item x="163"/>
        <item x="171"/>
        <item x="165"/>
        <item x="128"/>
        <item x="316"/>
        <item x="94"/>
        <item x="190"/>
        <item x="41"/>
        <item x="36"/>
        <item x="15"/>
        <item x="215"/>
        <item x="61"/>
        <item x="63"/>
        <item x="24"/>
        <item x="197"/>
        <item x="39"/>
        <item x="252"/>
        <item x="29"/>
        <item x="275"/>
        <item x="84"/>
        <item x="251"/>
        <item x="274"/>
        <item x="314"/>
        <item x="294"/>
        <item x="156"/>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9"/>
  </rowFields>
  <rowItems count="5">
    <i>
      <x/>
    </i>
    <i>
      <x v="1"/>
    </i>
    <i>
      <x v="2"/>
    </i>
    <i>
      <x v="3"/>
    </i>
    <i t="grand">
      <x/>
    </i>
  </rowItems>
  <colItems count="1">
    <i/>
  </colItems>
  <dataFields count="1">
    <dataField name="Sum of Sales" fld="15" baseField="9" baseItem="0" numFmtId="166"/>
  </dataFields>
  <formats count="18">
    <format dxfId="63">
      <pivotArea type="all" dataOnly="0" outline="0" fieldPosition="0"/>
    </format>
    <format dxfId="62">
      <pivotArea outline="0" collapsedLevelsAreSubtotals="1" fieldPosition="0"/>
    </format>
    <format dxfId="61">
      <pivotArea field="9" type="button" dataOnly="0" labelOnly="1" outline="0" axis="axisRow" fieldPosition="0"/>
    </format>
    <format dxfId="60">
      <pivotArea dataOnly="0" labelOnly="1" fieldPosition="0">
        <references count="1">
          <reference field="9" count="0"/>
        </references>
      </pivotArea>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9" type="button" dataOnly="0" labelOnly="1" outline="0" axis="axisRow" fieldPosition="0"/>
    </format>
    <format dxfId="54">
      <pivotArea dataOnly="0" labelOnly="1" fieldPosition="0">
        <references count="1">
          <reference field="9" count="0"/>
        </references>
      </pivotArea>
    </format>
    <format dxfId="53">
      <pivotArea dataOnly="0" labelOnly="1" grandRow="1" outline="0"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field="9" type="button" dataOnly="0" labelOnly="1" outline="0" axis="axisRow" fieldPosition="0"/>
    </format>
    <format dxfId="48">
      <pivotArea dataOnly="0" labelOnly="1" fieldPosition="0">
        <references count="1">
          <reference field="9" count="0"/>
        </references>
      </pivotArea>
    </format>
    <format dxfId="47">
      <pivotArea dataOnly="0" labelOnly="1" grandRow="1" outline="0" fieldPosition="0"/>
    </format>
    <format dxfId="4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66F244-29D5-4B1C-8744-7B77C0B0C09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E4" firstHeaderRow="0" firstDataRow="1" firstDataCol="0"/>
  <pivotFields count="45">
    <pivotField dataField="1" showAll="0"/>
    <pivotField showAll="0"/>
    <pivotField showAll="0"/>
    <pivotField showAll="0"/>
    <pivotField showAll="0"/>
    <pivotField showAll="0"/>
    <pivotField showAll="0"/>
    <pivotField showAll="0"/>
    <pivotField showAll="0"/>
    <pivotField showAll="0">
      <items count="5">
        <item x="3"/>
        <item x="1"/>
        <item x="0"/>
        <item x="2"/>
        <item t="default"/>
      </items>
    </pivotField>
    <pivotField showAll="0">
      <items count="4">
        <item x="1"/>
        <item x="0"/>
        <item x="2"/>
        <item t="default"/>
      </items>
    </pivotField>
    <pivotField showAll="0"/>
    <pivotField showAll="0"/>
    <pivotField showAll="0"/>
    <pivotField numFmtId="9"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items count="325">
        <item x="76"/>
        <item x="285"/>
        <item x="59"/>
        <item x="221"/>
        <item x="31"/>
        <item x="307"/>
        <item x="62"/>
        <item x="259"/>
        <item x="257"/>
        <item x="18"/>
        <item x="97"/>
        <item x="268"/>
        <item x="121"/>
        <item x="220"/>
        <item x="312"/>
        <item x="123"/>
        <item x="258"/>
        <item x="263"/>
        <item x="315"/>
        <item x="273"/>
        <item x="266"/>
        <item x="269"/>
        <item x="226"/>
        <item x="292"/>
        <item x="169"/>
        <item x="272"/>
        <item x="309"/>
        <item x="146"/>
        <item x="37"/>
        <item x="158"/>
        <item x="297"/>
        <item x="300"/>
        <item x="179"/>
        <item x="161"/>
        <item x="52"/>
        <item x="286"/>
        <item x="320"/>
        <item x="99"/>
        <item x="100"/>
        <item x="233"/>
        <item x="6"/>
        <item x="21"/>
        <item x="255"/>
        <item x="295"/>
        <item x="106"/>
        <item x="200"/>
        <item x="234"/>
        <item x="267"/>
        <item x="2"/>
        <item x="196"/>
        <item x="134"/>
        <item x="145"/>
        <item x="87"/>
        <item x="98"/>
        <item x="78"/>
        <item x="288"/>
        <item x="194"/>
        <item x="9"/>
        <item x="140"/>
        <item x="216"/>
        <item x="48"/>
        <item x="206"/>
        <item x="42"/>
        <item x="122"/>
        <item x="302"/>
        <item x="40"/>
        <item x="125"/>
        <item x="115"/>
        <item x="88"/>
        <item x="151"/>
        <item x="138"/>
        <item x="241"/>
        <item x="7"/>
        <item x="202"/>
        <item x="287"/>
        <item x="22"/>
        <item x="180"/>
        <item x="95"/>
        <item x="154"/>
        <item x="212"/>
        <item x="43"/>
        <item x="20"/>
        <item x="1"/>
        <item x="159"/>
        <item x="254"/>
        <item x="56"/>
        <item x="240"/>
        <item x="181"/>
        <item x="246"/>
        <item x="38"/>
        <item x="35"/>
        <item x="248"/>
        <item x="270"/>
        <item x="261"/>
        <item x="152"/>
        <item x="223"/>
        <item x="174"/>
        <item x="205"/>
        <item x="182"/>
        <item x="26"/>
        <item x="162"/>
        <item x="192"/>
        <item x="150"/>
        <item x="265"/>
        <item x="304"/>
        <item x="109"/>
        <item x="108"/>
        <item x="144"/>
        <item x="164"/>
        <item x="141"/>
        <item x="211"/>
        <item x="228"/>
        <item x="75"/>
        <item x="245"/>
        <item x="153"/>
        <item x="55"/>
        <item x="30"/>
        <item x="139"/>
        <item x="264"/>
        <item x="291"/>
        <item x="204"/>
        <item x="25"/>
        <item x="19"/>
        <item x="317"/>
        <item x="71"/>
        <item x="293"/>
        <item x="149"/>
        <item x="32"/>
        <item x="65"/>
        <item x="130"/>
        <item x="133"/>
        <item x="250"/>
        <item x="137"/>
        <item x="178"/>
        <item x="136"/>
        <item x="135"/>
        <item x="224"/>
        <item x="120"/>
        <item x="14"/>
        <item x="51"/>
        <item x="243"/>
        <item x="321"/>
        <item x="249"/>
        <item x="188"/>
        <item x="11"/>
        <item x="308"/>
        <item x="230"/>
        <item x="119"/>
        <item x="198"/>
        <item x="28"/>
        <item x="86"/>
        <item x="57"/>
        <item x="50"/>
        <item x="85"/>
        <item x="303"/>
        <item x="107"/>
        <item x="49"/>
        <item x="239"/>
        <item x="282"/>
        <item x="227"/>
        <item x="67"/>
        <item x="201"/>
        <item x="60"/>
        <item x="13"/>
        <item x="103"/>
        <item x="93"/>
        <item x="73"/>
        <item x="187"/>
        <item x="203"/>
        <item x="33"/>
        <item x="148"/>
        <item x="83"/>
        <item x="323"/>
        <item x="209"/>
        <item x="0"/>
        <item x="10"/>
        <item x="167"/>
        <item x="214"/>
        <item x="4"/>
        <item x="260"/>
        <item x="12"/>
        <item x="81"/>
        <item x="101"/>
        <item x="53"/>
        <item x="127"/>
        <item x="235"/>
        <item x="44"/>
        <item x="244"/>
        <item x="310"/>
        <item x="313"/>
        <item x="111"/>
        <item x="322"/>
        <item x="289"/>
        <item x="105"/>
        <item x="143"/>
        <item x="237"/>
        <item x="79"/>
        <item x="80"/>
        <item x="219"/>
        <item x="124"/>
        <item x="112"/>
        <item x="184"/>
        <item x="45"/>
        <item x="96"/>
        <item x="74"/>
        <item x="157"/>
        <item x="102"/>
        <item x="34"/>
        <item x="236"/>
        <item x="46"/>
        <item x="132"/>
        <item x="279"/>
        <item x="217"/>
        <item x="89"/>
        <item x="210"/>
        <item x="256"/>
        <item x="305"/>
        <item x="283"/>
        <item x="199"/>
        <item x="68"/>
        <item x="64"/>
        <item x="195"/>
        <item x="155"/>
        <item x="126"/>
        <item x="168"/>
        <item x="23"/>
        <item x="129"/>
        <item x="66"/>
        <item x="231"/>
        <item x="271"/>
        <item x="193"/>
        <item x="278"/>
        <item x="290"/>
        <item x="142"/>
        <item x="280"/>
        <item x="284"/>
        <item x="185"/>
        <item x="166"/>
        <item x="91"/>
        <item x="176"/>
        <item x="208"/>
        <item x="253"/>
        <item x="183"/>
        <item x="70"/>
        <item x="189"/>
        <item x="311"/>
        <item x="172"/>
        <item x="8"/>
        <item x="113"/>
        <item x="299"/>
        <item x="177"/>
        <item x="218"/>
        <item x="147"/>
        <item x="117"/>
        <item x="207"/>
        <item x="262"/>
        <item x="186"/>
        <item x="213"/>
        <item x="16"/>
        <item x="232"/>
        <item x="222"/>
        <item x="17"/>
        <item x="110"/>
        <item x="104"/>
        <item x="131"/>
        <item x="27"/>
        <item x="92"/>
        <item x="281"/>
        <item x="82"/>
        <item x="72"/>
        <item x="3"/>
        <item x="298"/>
        <item x="318"/>
        <item x="54"/>
        <item x="175"/>
        <item x="276"/>
        <item x="301"/>
        <item x="5"/>
        <item x="69"/>
        <item x="306"/>
        <item x="118"/>
        <item x="90"/>
        <item x="160"/>
        <item x="247"/>
        <item x="277"/>
        <item x="47"/>
        <item x="114"/>
        <item x="170"/>
        <item x="225"/>
        <item x="296"/>
        <item x="77"/>
        <item x="229"/>
        <item x="116"/>
        <item x="173"/>
        <item x="242"/>
        <item x="238"/>
        <item x="319"/>
        <item x="58"/>
        <item x="191"/>
        <item x="163"/>
        <item x="171"/>
        <item x="165"/>
        <item x="128"/>
        <item x="316"/>
        <item x="94"/>
        <item x="190"/>
        <item x="41"/>
        <item x="36"/>
        <item x="15"/>
        <item x="215"/>
        <item x="61"/>
        <item x="63"/>
        <item x="24"/>
        <item x="197"/>
        <item x="39"/>
        <item x="252"/>
        <item x="29"/>
        <item x="275"/>
        <item x="84"/>
        <item x="251"/>
        <item x="274"/>
        <item x="314"/>
        <item x="294"/>
        <item x="156"/>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Fields count="1">
    <field x="-2"/>
  </colFields>
  <colItems count="3">
    <i>
      <x/>
    </i>
    <i i="1">
      <x v="1"/>
    </i>
    <i i="2">
      <x v="2"/>
    </i>
  </colItems>
  <dataFields count="3">
    <dataField name="Sum of Sales" fld="15" baseField="0" baseItem="1"/>
    <dataField name="Average of Sales" fld="15" subtotal="average" baseField="0" baseItem="1"/>
    <dataField name="Count of Order_ID" fld="0" subtotal="count" baseField="0" baseItem="0" numFmtId="1"/>
  </dataFields>
  <formats count="10">
    <format dxfId="73">
      <pivotArea type="all" dataOnly="0" outline="0" fieldPosition="0"/>
    </format>
    <format dxfId="72">
      <pivotArea outline="0" collapsedLevelsAreSubtotals="1" fieldPosition="0"/>
    </format>
    <format dxfId="71">
      <pivotArea dataOnly="0" labelOnly="1" outline="0" fieldPosition="0">
        <references count="1">
          <reference field="4294967294" count="3">
            <x v="0"/>
            <x v="1"/>
            <x v="2"/>
          </reference>
        </references>
      </pivotArea>
    </format>
    <format dxfId="70">
      <pivotArea type="all" dataOnly="0" outline="0" fieldPosition="0"/>
    </format>
    <format dxfId="69">
      <pivotArea outline="0" collapsedLevelsAreSubtotals="1" fieldPosition="0"/>
    </format>
    <format dxfId="68">
      <pivotArea dataOnly="0" labelOnly="1" outline="0" fieldPosition="0">
        <references count="1">
          <reference field="4294967294" count="3">
            <x v="0"/>
            <x v="1"/>
            <x v="2"/>
          </reference>
        </references>
      </pivotArea>
    </format>
    <format dxfId="67">
      <pivotArea type="all" dataOnly="0" outline="0" fieldPosition="0"/>
    </format>
    <format dxfId="66">
      <pivotArea outline="0" collapsedLevelsAreSubtotals="1" fieldPosition="0"/>
    </format>
    <format dxfId="65">
      <pivotArea dataOnly="0" labelOnly="1" outline="0" fieldPosition="0">
        <references count="1">
          <reference field="4294967294" count="3">
            <x v="0"/>
            <x v="1"/>
            <x v="2"/>
          </reference>
        </references>
      </pivotArea>
    </format>
    <format dxfId="64">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F77E6C-96DD-435D-85EA-C40AF280E6DA}"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J9:K36" firstHeaderRow="1" firstDataRow="1" firstDataCol="1"/>
  <pivotFields count="45">
    <pivotField showAll="0"/>
    <pivotField showAll="0"/>
    <pivotField showAll="0"/>
    <pivotField showAll="0">
      <items count="327">
        <item x="6"/>
        <item x="252"/>
        <item x="76"/>
        <item x="21"/>
        <item x="202"/>
        <item x="12"/>
        <item x="281"/>
        <item x="97"/>
        <item x="270"/>
        <item x="121"/>
        <item x="221"/>
        <item x="314"/>
        <item x="123"/>
        <item x="260"/>
        <item x="265"/>
        <item x="317"/>
        <item x="275"/>
        <item x="268"/>
        <item x="271"/>
        <item x="287"/>
        <item x="257"/>
        <item x="122"/>
        <item x="144"/>
        <item x="149"/>
        <item x="189"/>
        <item x="60"/>
        <item x="220"/>
        <item x="37"/>
        <item x="158"/>
        <item x="299"/>
        <item x="302"/>
        <item x="180"/>
        <item x="161"/>
        <item x="52"/>
        <item x="288"/>
        <item x="322"/>
        <item x="99"/>
        <item x="100"/>
        <item x="234"/>
        <item x="172"/>
        <item x="59"/>
        <item x="227"/>
        <item x="297"/>
        <item x="56"/>
        <item x="164"/>
        <item x="32"/>
        <item x="11"/>
        <item x="13"/>
        <item x="218"/>
        <item x="134"/>
        <item x="145"/>
        <item x="87"/>
        <item x="98"/>
        <item x="78"/>
        <item x="290"/>
        <item x="195"/>
        <item x="9"/>
        <item x="140"/>
        <item x="217"/>
        <item x="48"/>
        <item x="207"/>
        <item x="42"/>
        <item x="222"/>
        <item x="106"/>
        <item x="241"/>
        <item x="65"/>
        <item x="310"/>
        <item x="103"/>
        <item x="81"/>
        <item x="124"/>
        <item x="89"/>
        <item x="7"/>
        <item x="203"/>
        <item x="289"/>
        <item x="22"/>
        <item x="181"/>
        <item x="95"/>
        <item x="154"/>
        <item x="213"/>
        <item x="43"/>
        <item x="20"/>
        <item x="1"/>
        <item x="159"/>
        <item x="256"/>
        <item x="294"/>
        <item x="201"/>
        <item x="304"/>
        <item x="231"/>
        <item x="93"/>
        <item x="112"/>
        <item x="211"/>
        <item x="272"/>
        <item x="263"/>
        <item x="152"/>
        <item x="224"/>
        <item x="175"/>
        <item x="206"/>
        <item x="183"/>
        <item x="26"/>
        <item x="162"/>
        <item x="193"/>
        <item x="150"/>
        <item x="267"/>
        <item x="306"/>
        <item x="109"/>
        <item x="108"/>
        <item x="169"/>
        <item x="235"/>
        <item x="40"/>
        <item x="182"/>
        <item x="119"/>
        <item x="73"/>
        <item x="185"/>
        <item x="258"/>
        <item x="153"/>
        <item x="55"/>
        <item x="30"/>
        <item x="139"/>
        <item x="266"/>
        <item x="293"/>
        <item x="205"/>
        <item x="25"/>
        <item x="19"/>
        <item x="319"/>
        <item x="71"/>
        <item x="295"/>
        <item x="31"/>
        <item x="274"/>
        <item x="125"/>
        <item x="141"/>
        <item x="130"/>
        <item x="199"/>
        <item x="188"/>
        <item x="101"/>
        <item x="133"/>
        <item x="251"/>
        <item x="137"/>
        <item x="179"/>
        <item x="136"/>
        <item x="135"/>
        <item x="225"/>
        <item x="120"/>
        <item x="14"/>
        <item x="51"/>
        <item x="244"/>
        <item x="323"/>
        <item x="250"/>
        <item x="309"/>
        <item x="269"/>
        <item x="115"/>
        <item x="247"/>
        <item x="204"/>
        <item x="53"/>
        <item x="86"/>
        <item x="57"/>
        <item x="50"/>
        <item x="85"/>
        <item x="305"/>
        <item x="107"/>
        <item x="49"/>
        <item x="240"/>
        <item x="284"/>
        <item x="228"/>
        <item x="67"/>
        <item x="62"/>
        <item x="2"/>
        <item x="88"/>
        <item x="212"/>
        <item x="28"/>
        <item x="307"/>
        <item x="83"/>
        <item x="325"/>
        <item x="210"/>
        <item x="0"/>
        <item x="10"/>
        <item x="167"/>
        <item x="215"/>
        <item x="4"/>
        <item x="262"/>
        <item x="261"/>
        <item x="151"/>
        <item x="38"/>
        <item x="229"/>
        <item x="33"/>
        <item x="127"/>
        <item x="45"/>
        <item x="285"/>
        <item x="44"/>
        <item x="245"/>
        <item x="312"/>
        <item x="315"/>
        <item x="111"/>
        <item x="324"/>
        <item x="291"/>
        <item x="105"/>
        <item x="143"/>
        <item x="238"/>
        <item x="79"/>
        <item x="80"/>
        <item x="259"/>
        <item x="311"/>
        <item x="197"/>
        <item x="138"/>
        <item x="35"/>
        <item x="75"/>
        <item x="148"/>
        <item x="74"/>
        <item x="157"/>
        <item x="102"/>
        <item x="34"/>
        <item x="237"/>
        <item x="46"/>
        <item x="132"/>
        <item x="18"/>
        <item x="146"/>
        <item x="242"/>
        <item x="249"/>
        <item x="246"/>
        <item x="236"/>
        <item x="96"/>
        <item x="200"/>
        <item x="68"/>
        <item x="64"/>
        <item x="196"/>
        <item x="155"/>
        <item x="126"/>
        <item x="168"/>
        <item x="23"/>
        <item x="129"/>
        <item x="66"/>
        <item x="232"/>
        <item x="273"/>
        <item x="194"/>
        <item x="280"/>
        <item x="292"/>
        <item x="113"/>
        <item x="110"/>
        <item x="5"/>
        <item x="243"/>
        <item x="163"/>
        <item x="191"/>
        <item x="61"/>
        <item x="29"/>
        <item x="316"/>
        <item x="282"/>
        <item x="286"/>
        <item x="186"/>
        <item x="166"/>
        <item x="91"/>
        <item x="177"/>
        <item x="209"/>
        <item x="255"/>
        <item x="184"/>
        <item x="70"/>
        <item x="190"/>
        <item x="313"/>
        <item x="173"/>
        <item x="8"/>
        <item x="69"/>
        <item x="41"/>
        <item x="63"/>
        <item x="39"/>
        <item x="277"/>
        <item x="296"/>
        <item x="219"/>
        <item x="147"/>
        <item x="117"/>
        <item x="208"/>
        <item x="264"/>
        <item x="187"/>
        <item x="214"/>
        <item x="16"/>
        <item x="233"/>
        <item x="223"/>
        <item x="17"/>
        <item x="308"/>
        <item x="239"/>
        <item x="171"/>
        <item x="128"/>
        <item x="36"/>
        <item x="84"/>
        <item x="27"/>
        <item x="92"/>
        <item x="283"/>
        <item x="82"/>
        <item x="72"/>
        <item x="3"/>
        <item x="300"/>
        <item x="320"/>
        <item x="54"/>
        <item x="176"/>
        <item x="278"/>
        <item x="303"/>
        <item x="142"/>
        <item x="301"/>
        <item x="104"/>
        <item x="118"/>
        <item x="165"/>
        <item x="318"/>
        <item x="15"/>
        <item x="24"/>
        <item x="253"/>
        <item x="160"/>
        <item x="248"/>
        <item x="279"/>
        <item x="47"/>
        <item x="114"/>
        <item x="170"/>
        <item x="226"/>
        <item x="298"/>
        <item x="77"/>
        <item x="230"/>
        <item x="116"/>
        <item x="174"/>
        <item x="178"/>
        <item x="131"/>
        <item x="90"/>
        <item x="321"/>
        <item x="94"/>
        <item x="216"/>
        <item x="198"/>
        <item x="254"/>
        <item x="276"/>
        <item x="156"/>
        <item x="58"/>
        <item x="192"/>
        <item t="default"/>
      </items>
    </pivotField>
    <pivotField showAll="0"/>
    <pivotField showAll="0"/>
    <pivotField showAll="0"/>
    <pivotField showAll="0"/>
    <pivotField showAll="0"/>
    <pivotField showAll="0">
      <items count="5">
        <item x="3"/>
        <item x="1"/>
        <item x="0"/>
        <item x="2"/>
        <item t="default"/>
      </items>
    </pivotField>
    <pivotField showAll="0">
      <items count="4">
        <item x="1"/>
        <item x="0"/>
        <item x="2"/>
        <item t="default"/>
      </items>
    </pivotField>
    <pivotField showAll="0"/>
    <pivotField showAll="0"/>
    <pivotField showAll="0"/>
    <pivotField numFmtId="9"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items count="325">
        <item x="76"/>
        <item x="285"/>
        <item x="59"/>
        <item x="221"/>
        <item x="31"/>
        <item x="307"/>
        <item x="62"/>
        <item x="259"/>
        <item x="257"/>
        <item x="18"/>
        <item x="97"/>
        <item x="268"/>
        <item x="121"/>
        <item x="220"/>
        <item x="312"/>
        <item x="123"/>
        <item x="258"/>
        <item x="263"/>
        <item x="315"/>
        <item x="273"/>
        <item x="266"/>
        <item x="269"/>
        <item x="226"/>
        <item x="292"/>
        <item x="169"/>
        <item x="272"/>
        <item x="309"/>
        <item x="146"/>
        <item x="37"/>
        <item x="158"/>
        <item x="297"/>
        <item x="300"/>
        <item x="179"/>
        <item x="161"/>
        <item x="52"/>
        <item x="286"/>
        <item x="320"/>
        <item x="99"/>
        <item x="100"/>
        <item x="233"/>
        <item x="6"/>
        <item x="21"/>
        <item x="255"/>
        <item x="295"/>
        <item x="106"/>
        <item x="200"/>
        <item x="234"/>
        <item x="267"/>
        <item x="2"/>
        <item x="196"/>
        <item x="134"/>
        <item x="145"/>
        <item x="87"/>
        <item x="98"/>
        <item x="78"/>
        <item x="288"/>
        <item x="194"/>
        <item x="9"/>
        <item x="140"/>
        <item x="216"/>
        <item x="48"/>
        <item x="206"/>
        <item x="42"/>
        <item x="122"/>
        <item x="302"/>
        <item x="40"/>
        <item x="125"/>
        <item x="115"/>
        <item x="88"/>
        <item x="151"/>
        <item x="138"/>
        <item x="241"/>
        <item x="7"/>
        <item x="202"/>
        <item x="287"/>
        <item x="22"/>
        <item x="180"/>
        <item x="95"/>
        <item x="154"/>
        <item x="212"/>
        <item x="43"/>
        <item x="20"/>
        <item x="1"/>
        <item x="159"/>
        <item x="254"/>
        <item x="56"/>
        <item x="240"/>
        <item x="181"/>
        <item x="246"/>
        <item x="38"/>
        <item x="35"/>
        <item x="248"/>
        <item x="270"/>
        <item x="261"/>
        <item x="152"/>
        <item x="223"/>
        <item x="174"/>
        <item x="205"/>
        <item x="182"/>
        <item x="26"/>
        <item x="162"/>
        <item x="192"/>
        <item x="150"/>
        <item x="265"/>
        <item x="304"/>
        <item x="109"/>
        <item x="108"/>
        <item x="144"/>
        <item x="164"/>
        <item x="141"/>
        <item x="211"/>
        <item x="228"/>
        <item x="75"/>
        <item x="245"/>
        <item x="153"/>
        <item x="55"/>
        <item x="30"/>
        <item x="139"/>
        <item x="264"/>
        <item x="291"/>
        <item x="204"/>
        <item x="25"/>
        <item x="19"/>
        <item x="317"/>
        <item x="71"/>
        <item x="293"/>
        <item x="149"/>
        <item x="32"/>
        <item x="65"/>
        <item x="130"/>
        <item x="133"/>
        <item x="250"/>
        <item x="137"/>
        <item x="178"/>
        <item x="136"/>
        <item x="135"/>
        <item x="224"/>
        <item x="120"/>
        <item x="14"/>
        <item x="51"/>
        <item x="243"/>
        <item x="321"/>
        <item x="249"/>
        <item x="188"/>
        <item x="11"/>
        <item x="308"/>
        <item x="230"/>
        <item x="119"/>
        <item x="198"/>
        <item x="28"/>
        <item x="86"/>
        <item x="57"/>
        <item x="50"/>
        <item x="85"/>
        <item x="303"/>
        <item x="107"/>
        <item x="49"/>
        <item x="239"/>
        <item x="282"/>
        <item x="227"/>
        <item x="67"/>
        <item x="201"/>
        <item x="60"/>
        <item x="13"/>
        <item x="103"/>
        <item x="93"/>
        <item x="73"/>
        <item x="187"/>
        <item x="203"/>
        <item x="33"/>
        <item x="148"/>
        <item x="83"/>
        <item x="323"/>
        <item x="209"/>
        <item x="0"/>
        <item x="10"/>
        <item x="167"/>
        <item x="214"/>
        <item x="4"/>
        <item x="260"/>
        <item x="12"/>
        <item x="81"/>
        <item x="101"/>
        <item x="53"/>
        <item x="127"/>
        <item x="235"/>
        <item x="44"/>
        <item x="244"/>
        <item x="310"/>
        <item x="313"/>
        <item x="111"/>
        <item x="322"/>
        <item x="289"/>
        <item x="105"/>
        <item x="143"/>
        <item x="237"/>
        <item x="79"/>
        <item x="80"/>
        <item x="219"/>
        <item x="124"/>
        <item x="112"/>
        <item x="184"/>
        <item x="45"/>
        <item x="96"/>
        <item x="74"/>
        <item x="157"/>
        <item x="102"/>
        <item x="34"/>
        <item x="236"/>
        <item x="46"/>
        <item x="132"/>
        <item x="279"/>
        <item x="217"/>
        <item x="89"/>
        <item x="210"/>
        <item x="256"/>
        <item x="305"/>
        <item x="283"/>
        <item x="199"/>
        <item x="68"/>
        <item x="64"/>
        <item x="195"/>
        <item x="155"/>
        <item x="126"/>
        <item x="168"/>
        <item x="23"/>
        <item x="129"/>
        <item x="66"/>
        <item x="231"/>
        <item x="271"/>
        <item x="193"/>
        <item x="278"/>
        <item x="290"/>
        <item x="142"/>
        <item x="280"/>
        <item x="284"/>
        <item x="185"/>
        <item x="166"/>
        <item x="91"/>
        <item x="176"/>
        <item x="208"/>
        <item x="253"/>
        <item x="183"/>
        <item x="70"/>
        <item x="189"/>
        <item x="311"/>
        <item x="172"/>
        <item x="8"/>
        <item x="113"/>
        <item x="299"/>
        <item x="177"/>
        <item x="218"/>
        <item x="147"/>
        <item x="117"/>
        <item x="207"/>
        <item x="262"/>
        <item x="186"/>
        <item x="213"/>
        <item x="16"/>
        <item x="232"/>
        <item x="222"/>
        <item x="17"/>
        <item x="110"/>
        <item x="104"/>
        <item x="131"/>
        <item x="27"/>
        <item x="92"/>
        <item x="281"/>
        <item x="82"/>
        <item x="72"/>
        <item x="3"/>
        <item x="298"/>
        <item x="318"/>
        <item x="54"/>
        <item x="175"/>
        <item x="276"/>
        <item x="301"/>
        <item x="5"/>
        <item x="69"/>
        <item x="306"/>
        <item x="118"/>
        <item x="90"/>
        <item x="160"/>
        <item x="247"/>
        <item x="277"/>
        <item x="47"/>
        <item x="114"/>
        <item x="170"/>
        <item x="225"/>
        <item x="296"/>
        <item x="77"/>
        <item x="229"/>
        <item x="116"/>
        <item x="173"/>
        <item x="242"/>
        <item x="238"/>
        <item x="319"/>
        <item x="58"/>
        <item x="191"/>
        <item x="163"/>
        <item x="171"/>
        <item x="165"/>
        <item x="128"/>
        <item x="316"/>
        <item x="94"/>
        <item x="190"/>
        <item x="41"/>
        <item x="36"/>
        <item x="15"/>
        <item x="215"/>
        <item x="61"/>
        <item x="63"/>
        <item x="24"/>
        <item x="197"/>
        <item x="39"/>
        <item x="252"/>
        <item x="29"/>
        <item x="275"/>
        <item x="84"/>
        <item x="251"/>
        <item x="274"/>
        <item x="314"/>
        <item x="294"/>
        <item x="156"/>
        <item t="default"/>
      </items>
    </pivotField>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44"/>
    <field x="43"/>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Sales" fld="15" baseField="44" baseItem="1" numFmtId="166"/>
  </dataFields>
  <formats count="3">
    <format dxfId="76">
      <pivotArea dataOnly="0" labelOnly="1" grandRow="1" outline="0" fieldPosition="0"/>
    </format>
    <format dxfId="75">
      <pivotArea outline="0" collapsedLevelsAreSubtotals="1" fieldPosition="0"/>
    </format>
    <format dxfId="7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C2C787-EF28-4614-B28D-571D88DACD71}" sourceName="Region">
  <pivotTables>
    <pivotTable tabId="19" name="PivotTable1"/>
    <pivotTable tabId="19" name="PivotTable2"/>
    <pivotTable tabId="19" name="PivotTable3"/>
    <pivotTable tabId="19" name="PivotTable6"/>
  </pivotTables>
  <data>
    <tabular pivotCacheId="199899858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FDC562C1-9583-4595-BCE8-DEA721A7583F}" sourceName="Category">
  <pivotTables>
    <pivotTable tabId="19" name="PivotTable1"/>
    <pivotTable tabId="19" name="PivotTable2"/>
    <pivotTable tabId="19" name="PivotTable3"/>
    <pivotTable tabId="19" name="PivotTable6"/>
  </pivotTables>
  <data>
    <tabular pivotCacheId="199899858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FFFBCA1-2D62-48DA-B2AC-75A44937EFC4}" cache="Slicer_Region" caption="Region" rowHeight="262466"/>
  <slicer name="Category" xr10:uid="{01B8F6AC-8E7F-4FF8-AB16-7CE1B2CB2699}" cache="Slicer_Category1" caption="Category"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97F2E86-E511-473A-8ED4-16661B2CAFF6}" cache="Slicer_Region" caption="Region" startItem="1" style="SlicerStyleLight3" rowHeight="262466"/>
  <slicer name="Category 1" xr10:uid="{F4D34FB1-71CB-45E4-8EC6-1F7EA49A10E0}" cache="Slicer_Category1" caption="Category" style="SlicerStyleLight4" rowHeight="274320"/>
</slicers>
</file>

<file path=xl/theme/theme1.xml><?xml version="1.0" encoding="utf-8"?>
<a:theme xmlns:a="http://schemas.openxmlformats.org/drawingml/2006/main" name="Dividend">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shboard_Order_Date" xr10:uid="{73801E80-BB96-4D77-B0C4-DDC87B8CE391}" sourceName="Dashboard_Order_Date">
  <pivotTables>
    <pivotTable tabId="19" name="PivotTable1"/>
    <pivotTable tabId="19" name="PivotTable2"/>
    <pivotTable tabId="19" name="PivotTable3"/>
    <pivotTable tabId="19" name="PivotTable6"/>
  </pivotTables>
  <state minimalRefreshVersion="6" lastRefreshVersion="6" pivotCacheId="1998998582" filterType="unknown">
    <bounds startDate="2025-01-01T00:00:00" endDate="203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shboard_Order_Date" xr10:uid="{8832DE61-A4FF-44E6-9126-F21FFC080DF9}" cache="NativeTimeline_Dashboard_Order_Date" caption="Dashboard_Order_Date" level="0" selectionLevel="0"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shboard_Order_Date 1" xr10:uid="{627A039D-1123-4F5D-B580-A87D11150DB3}" cache="NativeTimeline_Dashboard_Order_Date" caption="Dashboard_Order_Date" level="0" selectionLevel="0" scrollPosition="2025-01-01T00:00:00" style="TimeSlicerStyleLight4"/>
</timelines>
</file>

<file path=xl/worksheets/_rels/sheet1.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5" Type="http://schemas.openxmlformats.org/officeDocument/2006/relationships/printerSettings" Target="../printerSettings/printerSettings1.bin"/><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1B4D9-4436-4701-A6C4-9800896B82A8}">
  <dimension ref="A1:V501"/>
  <sheetViews>
    <sheetView topLeftCell="E1" zoomScale="85" zoomScaleNormal="85" workbookViewId="0">
      <selection activeCell="P1" sqref="P1:Q1048576"/>
    </sheetView>
  </sheetViews>
  <sheetFormatPr defaultRowHeight="16.5" x14ac:dyDescent="0.5"/>
  <cols>
    <col min="1" max="1" width="10.1796875" customWidth="1"/>
    <col min="2" max="2" width="12" customWidth="1"/>
    <col min="3" max="3" width="10.1796875" customWidth="1"/>
    <col min="4" max="4" width="10.81640625" customWidth="1"/>
    <col min="5" max="5" width="12.6328125" customWidth="1"/>
    <col min="6" max="6" width="16.90625" customWidth="1"/>
    <col min="7" max="7" width="7.1796875" customWidth="1"/>
    <col min="8" max="8" width="10.81640625" customWidth="1"/>
    <col min="9" max="9" width="7.90625" customWidth="1"/>
    <col min="10" max="10" width="6.81640625" customWidth="1"/>
    <col min="11" max="11" width="15.36328125" customWidth="1"/>
    <col min="12" max="12" width="7.6328125" customWidth="1"/>
    <col min="13" max="13" width="8.08984375" customWidth="1"/>
    <col min="14" max="14" width="9.6328125" customWidth="1"/>
    <col min="15" max="15" width="12.1796875" style="60" customWidth="1"/>
    <col min="16" max="16" width="6.54296875" customWidth="1"/>
    <col min="17" max="17" width="6.26953125" customWidth="1"/>
    <col min="18" max="18" width="10.08984375" customWidth="1"/>
    <col min="19" max="19" width="11.453125" customWidth="1"/>
    <col min="20" max="20" width="20" customWidth="1"/>
    <col min="21" max="21" width="11.6328125" customWidth="1"/>
    <col min="22" max="22" width="12" customWidth="1"/>
  </cols>
  <sheetData>
    <row r="1" spans="1:22" ht="17" thickBot="1" x14ac:dyDescent="0.55000000000000004">
      <c r="A1" s="1" t="s">
        <v>0</v>
      </c>
      <c r="B1" s="2" t="s">
        <v>1</v>
      </c>
      <c r="C1" s="2" t="s">
        <v>2</v>
      </c>
      <c r="D1" s="2" t="s">
        <v>3</v>
      </c>
      <c r="E1" s="2" t="s">
        <v>4</v>
      </c>
      <c r="F1" s="2" t="s">
        <v>5</v>
      </c>
      <c r="G1" s="2" t="s">
        <v>6</v>
      </c>
      <c r="H1" s="2" t="s">
        <v>7</v>
      </c>
      <c r="I1" s="2" t="s">
        <v>8</v>
      </c>
      <c r="J1" s="2" t="s">
        <v>9</v>
      </c>
      <c r="K1" s="2" t="s">
        <v>10</v>
      </c>
      <c r="L1" s="2" t="s">
        <v>11</v>
      </c>
      <c r="M1" s="2" t="s">
        <v>12</v>
      </c>
      <c r="N1" s="2" t="s">
        <v>13</v>
      </c>
      <c r="O1" s="56" t="s">
        <v>14</v>
      </c>
      <c r="P1" s="2" t="s">
        <v>15</v>
      </c>
      <c r="Q1" s="2" t="s">
        <v>16</v>
      </c>
      <c r="R1" s="2" t="s">
        <v>17</v>
      </c>
      <c r="S1" s="2" t="s">
        <v>18</v>
      </c>
      <c r="T1" s="2" t="s">
        <v>19</v>
      </c>
      <c r="U1" s="2" t="s">
        <v>20</v>
      </c>
      <c r="V1" s="2" t="s">
        <v>21</v>
      </c>
    </row>
    <row r="2" spans="1:22" ht="17" thickTop="1" x14ac:dyDescent="0.5">
      <c r="A2" s="3" t="s">
        <v>22</v>
      </c>
      <c r="B2" s="4" t="s">
        <v>23</v>
      </c>
      <c r="C2" s="4" t="s">
        <v>24</v>
      </c>
      <c r="D2" s="4" t="s">
        <v>25</v>
      </c>
      <c r="E2" s="4" t="s">
        <v>26</v>
      </c>
      <c r="F2" s="4" t="s">
        <v>27</v>
      </c>
      <c r="G2" s="4" t="s">
        <v>28</v>
      </c>
      <c r="H2" s="4" t="s">
        <v>29</v>
      </c>
      <c r="I2" s="4" t="s">
        <v>30</v>
      </c>
      <c r="J2" s="4" t="s">
        <v>31</v>
      </c>
      <c r="K2" s="4" t="s">
        <v>32</v>
      </c>
      <c r="L2" s="4" t="s">
        <v>33</v>
      </c>
      <c r="M2" s="4">
        <v>4</v>
      </c>
      <c r="N2" s="4">
        <v>2200</v>
      </c>
      <c r="O2" s="57">
        <v>10</v>
      </c>
      <c r="P2" s="4">
        <v>7920</v>
      </c>
      <c r="Q2" s="4">
        <v>4</v>
      </c>
      <c r="R2" s="4" t="s">
        <v>34</v>
      </c>
      <c r="S2" s="4" t="s">
        <v>35</v>
      </c>
      <c r="T2" s="5" t="s">
        <v>36</v>
      </c>
      <c r="U2" s="6" t="s">
        <v>37</v>
      </c>
      <c r="V2" s="4" t="s">
        <v>38</v>
      </c>
    </row>
    <row r="3" spans="1:22" x14ac:dyDescent="0.5">
      <c r="A3" s="7" t="s">
        <v>39</v>
      </c>
      <c r="B3" s="8" t="s">
        <v>23</v>
      </c>
      <c r="C3" s="8" t="s">
        <v>40</v>
      </c>
      <c r="D3" s="8" t="s">
        <v>41</v>
      </c>
      <c r="E3" s="8" t="s">
        <v>42</v>
      </c>
      <c r="F3" s="8" t="s">
        <v>27</v>
      </c>
      <c r="G3" s="8" t="s">
        <v>28</v>
      </c>
      <c r="H3" s="8" t="s">
        <v>43</v>
      </c>
      <c r="I3" s="8" t="s">
        <v>44</v>
      </c>
      <c r="J3" s="8" t="s">
        <v>45</v>
      </c>
      <c r="K3" s="8" t="s">
        <v>46</v>
      </c>
      <c r="L3" s="8" t="s">
        <v>47</v>
      </c>
      <c r="M3" s="8">
        <v>17</v>
      </c>
      <c r="N3" s="8">
        <v>12000</v>
      </c>
      <c r="O3" s="58">
        <v>10</v>
      </c>
      <c r="P3" s="8">
        <v>183600</v>
      </c>
      <c r="Q3" s="8">
        <v>1</v>
      </c>
      <c r="R3" s="8" t="s">
        <v>48</v>
      </c>
      <c r="S3" s="8" t="s">
        <v>49</v>
      </c>
      <c r="T3" s="8" t="s">
        <v>50</v>
      </c>
      <c r="U3" s="9" t="s">
        <v>51</v>
      </c>
      <c r="V3" s="8" t="s">
        <v>38</v>
      </c>
    </row>
    <row r="4" spans="1:22" x14ac:dyDescent="0.5">
      <c r="A4" s="3" t="s">
        <v>52</v>
      </c>
      <c r="B4" s="4" t="s">
        <v>53</v>
      </c>
      <c r="C4" s="4" t="s">
        <v>54</v>
      </c>
      <c r="D4" s="4" t="s">
        <v>55</v>
      </c>
      <c r="E4" s="4" t="s">
        <v>56</v>
      </c>
      <c r="F4" s="4" t="s">
        <v>57</v>
      </c>
      <c r="G4" s="4" t="s">
        <v>28</v>
      </c>
      <c r="H4" s="4" t="s">
        <v>58</v>
      </c>
      <c r="I4" s="4" t="s">
        <v>59</v>
      </c>
      <c r="J4" s="4" t="s">
        <v>31</v>
      </c>
      <c r="K4" s="4" t="s">
        <v>46</v>
      </c>
      <c r="L4" s="4" t="s">
        <v>60</v>
      </c>
      <c r="M4" s="4">
        <v>5</v>
      </c>
      <c r="N4" s="4">
        <v>55000</v>
      </c>
      <c r="O4" s="57">
        <v>5</v>
      </c>
      <c r="P4" s="4">
        <v>261250</v>
      </c>
      <c r="Q4" s="4">
        <v>3</v>
      </c>
      <c r="R4" s="4" t="s">
        <v>48</v>
      </c>
      <c r="S4" s="4" t="s">
        <v>61</v>
      </c>
      <c r="T4" s="4" t="s">
        <v>62</v>
      </c>
      <c r="U4" s="6" t="s">
        <v>63</v>
      </c>
      <c r="V4" s="4" t="s">
        <v>64</v>
      </c>
    </row>
    <row r="5" spans="1:22" x14ac:dyDescent="0.5">
      <c r="A5" s="7" t="s">
        <v>39</v>
      </c>
      <c r="B5" s="8" t="s">
        <v>23</v>
      </c>
      <c r="C5" s="8" t="s">
        <v>24</v>
      </c>
      <c r="D5" s="8" t="s">
        <v>65</v>
      </c>
      <c r="E5" s="8" t="s">
        <v>66</v>
      </c>
      <c r="F5" s="8" t="s">
        <v>27</v>
      </c>
      <c r="G5" s="8" t="s">
        <v>28</v>
      </c>
      <c r="H5" s="8" t="s">
        <v>67</v>
      </c>
      <c r="I5" s="8" t="s">
        <v>59</v>
      </c>
      <c r="J5" s="8" t="s">
        <v>31</v>
      </c>
      <c r="K5" s="8" t="s">
        <v>32</v>
      </c>
      <c r="L5" s="8" t="s">
        <v>33</v>
      </c>
      <c r="M5" s="8">
        <v>5</v>
      </c>
      <c r="N5" s="8">
        <v>2200</v>
      </c>
      <c r="O5" s="58">
        <v>5</v>
      </c>
      <c r="P5" s="8">
        <v>10450</v>
      </c>
      <c r="Q5" s="8">
        <v>5</v>
      </c>
      <c r="R5" s="8" t="s">
        <v>48</v>
      </c>
      <c r="S5" s="8" t="s">
        <v>61</v>
      </c>
      <c r="T5" s="10" t="s">
        <v>50</v>
      </c>
      <c r="U5" s="9" t="s">
        <v>68</v>
      </c>
      <c r="V5" s="8" t="s">
        <v>69</v>
      </c>
    </row>
    <row r="6" spans="1:22" x14ac:dyDescent="0.5">
      <c r="A6" s="3" t="s">
        <v>70</v>
      </c>
      <c r="B6" s="4" t="s">
        <v>71</v>
      </c>
      <c r="C6" s="4" t="s">
        <v>72</v>
      </c>
      <c r="D6" s="4" t="s">
        <v>73</v>
      </c>
      <c r="E6" s="4" t="s">
        <v>74</v>
      </c>
      <c r="F6" s="4" t="s">
        <v>75</v>
      </c>
      <c r="G6" s="4" t="s">
        <v>76</v>
      </c>
      <c r="H6" s="4" t="s">
        <v>77</v>
      </c>
      <c r="I6" s="4" t="s">
        <v>44</v>
      </c>
      <c r="J6" s="4" t="s">
        <v>45</v>
      </c>
      <c r="K6" s="4" t="s">
        <v>46</v>
      </c>
      <c r="L6" s="4" t="s">
        <v>78</v>
      </c>
      <c r="M6" s="4">
        <v>8</v>
      </c>
      <c r="N6" s="4">
        <v>1200</v>
      </c>
      <c r="O6" s="57">
        <v>5</v>
      </c>
      <c r="P6" s="4">
        <v>9120</v>
      </c>
      <c r="Q6" s="4">
        <v>2</v>
      </c>
      <c r="R6" s="4" t="s">
        <v>79</v>
      </c>
      <c r="S6" s="4" t="s">
        <v>61</v>
      </c>
      <c r="T6" s="4" t="s">
        <v>80</v>
      </c>
      <c r="U6" s="6" t="s">
        <v>81</v>
      </c>
      <c r="V6" s="4" t="s">
        <v>64</v>
      </c>
    </row>
    <row r="7" spans="1:22" x14ac:dyDescent="0.5">
      <c r="A7" s="7" t="s">
        <v>82</v>
      </c>
      <c r="B7" s="8" t="s">
        <v>83</v>
      </c>
      <c r="C7" s="8" t="s">
        <v>24</v>
      </c>
      <c r="D7" s="8" t="s">
        <v>84</v>
      </c>
      <c r="E7" s="8" t="s">
        <v>85</v>
      </c>
      <c r="F7" s="8" t="s">
        <v>86</v>
      </c>
      <c r="G7" s="8" t="s">
        <v>76</v>
      </c>
      <c r="H7" s="8" t="s">
        <v>87</v>
      </c>
      <c r="I7" s="8" t="s">
        <v>30</v>
      </c>
      <c r="J7" s="8" t="s">
        <v>31</v>
      </c>
      <c r="K7" s="8" t="s">
        <v>32</v>
      </c>
      <c r="L7" s="8" t="s">
        <v>33</v>
      </c>
      <c r="M7" s="8">
        <v>4</v>
      </c>
      <c r="N7" s="8">
        <v>2200</v>
      </c>
      <c r="O7" s="58">
        <v>0</v>
      </c>
      <c r="P7" s="8">
        <v>8800</v>
      </c>
      <c r="Q7" s="8">
        <v>1</v>
      </c>
      <c r="R7" s="8" t="s">
        <v>88</v>
      </c>
      <c r="S7" s="8" t="s">
        <v>35</v>
      </c>
      <c r="T7" s="8" t="s">
        <v>89</v>
      </c>
      <c r="U7" s="9" t="s">
        <v>90</v>
      </c>
      <c r="V7" s="8" t="s">
        <v>38</v>
      </c>
    </row>
    <row r="8" spans="1:22" x14ac:dyDescent="0.5">
      <c r="A8" s="3" t="s">
        <v>91</v>
      </c>
      <c r="B8" s="4" t="s">
        <v>23</v>
      </c>
      <c r="C8" s="4" t="s">
        <v>92</v>
      </c>
      <c r="D8" s="4" t="s">
        <v>93</v>
      </c>
      <c r="E8" s="4" t="s">
        <v>94</v>
      </c>
      <c r="F8" s="4" t="s">
        <v>95</v>
      </c>
      <c r="G8" s="4" t="s">
        <v>28</v>
      </c>
      <c r="H8" s="4" t="s">
        <v>96</v>
      </c>
      <c r="I8" s="4" t="s">
        <v>30</v>
      </c>
      <c r="J8" s="4" t="s">
        <v>31</v>
      </c>
      <c r="K8" s="4" t="s">
        <v>32</v>
      </c>
      <c r="L8" s="4" t="s">
        <v>97</v>
      </c>
      <c r="M8" s="4">
        <v>2</v>
      </c>
      <c r="N8" s="4">
        <v>3500</v>
      </c>
      <c r="O8" s="57">
        <v>5</v>
      </c>
      <c r="P8" s="4">
        <v>6650</v>
      </c>
      <c r="Q8" s="4">
        <v>1</v>
      </c>
      <c r="R8" s="4" t="s">
        <v>88</v>
      </c>
      <c r="S8" s="4" t="s">
        <v>35</v>
      </c>
      <c r="T8" s="4" t="s">
        <v>50</v>
      </c>
      <c r="U8" s="6" t="s">
        <v>98</v>
      </c>
      <c r="V8" s="4" t="s">
        <v>38</v>
      </c>
    </row>
    <row r="9" spans="1:22" x14ac:dyDescent="0.5">
      <c r="A9" s="7" t="s">
        <v>99</v>
      </c>
      <c r="B9" s="8" t="s">
        <v>100</v>
      </c>
      <c r="C9" s="8" t="s">
        <v>40</v>
      </c>
      <c r="D9" s="8" t="s">
        <v>101</v>
      </c>
      <c r="E9" s="8" t="s">
        <v>102</v>
      </c>
      <c r="F9" s="8" t="s">
        <v>103</v>
      </c>
      <c r="G9" s="8" t="s">
        <v>28</v>
      </c>
      <c r="H9" s="8" t="s">
        <v>104</v>
      </c>
      <c r="I9" s="8" t="s">
        <v>105</v>
      </c>
      <c r="J9" s="8" t="s">
        <v>106</v>
      </c>
      <c r="K9" s="8" t="s">
        <v>46</v>
      </c>
      <c r="L9" s="8" t="s">
        <v>47</v>
      </c>
      <c r="M9" s="8">
        <v>14</v>
      </c>
      <c r="N9" s="8">
        <v>12000</v>
      </c>
      <c r="O9" s="58">
        <v>15</v>
      </c>
      <c r="P9" s="8">
        <v>142800</v>
      </c>
      <c r="Q9" s="8">
        <v>4</v>
      </c>
      <c r="R9" s="8" t="s">
        <v>48</v>
      </c>
      <c r="S9" s="8" t="s">
        <v>35</v>
      </c>
      <c r="T9" s="10" t="s">
        <v>107</v>
      </c>
      <c r="U9" s="9" t="s">
        <v>108</v>
      </c>
      <c r="V9" s="8" t="s">
        <v>38</v>
      </c>
    </row>
    <row r="10" spans="1:22" x14ac:dyDescent="0.5">
      <c r="A10" s="3" t="s">
        <v>109</v>
      </c>
      <c r="B10" s="4" t="s">
        <v>23</v>
      </c>
      <c r="C10" s="4" t="s">
        <v>40</v>
      </c>
      <c r="D10" s="4" t="s">
        <v>110</v>
      </c>
      <c r="E10" s="4" t="s">
        <v>111</v>
      </c>
      <c r="F10" s="4" t="s">
        <v>112</v>
      </c>
      <c r="G10" s="4" t="s">
        <v>28</v>
      </c>
      <c r="H10" s="4" t="s">
        <v>113</v>
      </c>
      <c r="I10" s="4" t="s">
        <v>114</v>
      </c>
      <c r="J10" s="4" t="s">
        <v>106</v>
      </c>
      <c r="K10" s="4" t="s">
        <v>46</v>
      </c>
      <c r="L10" s="4" t="s">
        <v>47</v>
      </c>
      <c r="M10" s="4">
        <v>4</v>
      </c>
      <c r="N10" s="4">
        <v>12000</v>
      </c>
      <c r="O10" s="57">
        <v>15</v>
      </c>
      <c r="P10" s="4">
        <v>40800</v>
      </c>
      <c r="Q10" s="4">
        <v>4</v>
      </c>
      <c r="R10" s="4" t="s">
        <v>88</v>
      </c>
      <c r="S10" s="4" t="s">
        <v>115</v>
      </c>
      <c r="T10" s="4" t="s">
        <v>50</v>
      </c>
      <c r="U10" s="6" t="s">
        <v>116</v>
      </c>
      <c r="V10" s="4" t="s">
        <v>38</v>
      </c>
    </row>
    <row r="11" spans="1:22" x14ac:dyDescent="0.5">
      <c r="A11" s="7" t="s">
        <v>117</v>
      </c>
      <c r="B11" s="8" t="s">
        <v>100</v>
      </c>
      <c r="C11" s="8" t="s">
        <v>118</v>
      </c>
      <c r="D11" s="8" t="s">
        <v>119</v>
      </c>
      <c r="E11" s="8" t="s">
        <v>120</v>
      </c>
      <c r="F11" s="8" t="s">
        <v>103</v>
      </c>
      <c r="G11" s="8" t="s">
        <v>28</v>
      </c>
      <c r="H11" s="8" t="s">
        <v>121</v>
      </c>
      <c r="I11" s="8" t="s">
        <v>105</v>
      </c>
      <c r="J11" s="8" t="s">
        <v>106</v>
      </c>
      <c r="K11" s="8" t="s">
        <v>122</v>
      </c>
      <c r="L11" s="8" t="s">
        <v>123</v>
      </c>
      <c r="M11" s="8">
        <v>6</v>
      </c>
      <c r="N11" s="8">
        <v>60</v>
      </c>
      <c r="O11" s="58">
        <v>0</v>
      </c>
      <c r="P11" s="8">
        <v>360</v>
      </c>
      <c r="Q11" s="8">
        <v>4</v>
      </c>
      <c r="R11" s="8" t="s">
        <v>79</v>
      </c>
      <c r="S11" s="8" t="s">
        <v>115</v>
      </c>
      <c r="T11" s="10" t="s">
        <v>124</v>
      </c>
      <c r="U11" s="9" t="s">
        <v>125</v>
      </c>
      <c r="V11" s="8" t="s">
        <v>38</v>
      </c>
    </row>
    <row r="12" spans="1:22" x14ac:dyDescent="0.5">
      <c r="A12" s="3" t="s">
        <v>126</v>
      </c>
      <c r="B12" s="4" t="s">
        <v>127</v>
      </c>
      <c r="C12" s="4" t="s">
        <v>24</v>
      </c>
      <c r="D12" s="4" t="s">
        <v>128</v>
      </c>
      <c r="E12" s="4" t="s">
        <v>129</v>
      </c>
      <c r="F12" s="4" t="s">
        <v>130</v>
      </c>
      <c r="G12" s="4" t="s">
        <v>76</v>
      </c>
      <c r="H12" s="4" t="s">
        <v>131</v>
      </c>
      <c r="I12" s="4" t="s">
        <v>44</v>
      </c>
      <c r="J12" s="4" t="s">
        <v>45</v>
      </c>
      <c r="K12" s="4" t="s">
        <v>32</v>
      </c>
      <c r="L12" s="4" t="s">
        <v>33</v>
      </c>
      <c r="M12" s="4">
        <v>-3</v>
      </c>
      <c r="N12" s="4">
        <v>2200</v>
      </c>
      <c r="O12" s="57">
        <v>0</v>
      </c>
      <c r="P12" s="4">
        <v>35200</v>
      </c>
      <c r="Q12" s="4">
        <v>2</v>
      </c>
      <c r="R12" s="4" t="s">
        <v>79</v>
      </c>
      <c r="S12" s="4" t="s">
        <v>49</v>
      </c>
      <c r="T12" s="4" t="s">
        <v>132</v>
      </c>
      <c r="U12" s="6" t="s">
        <v>133</v>
      </c>
      <c r="V12" s="4" t="s">
        <v>64</v>
      </c>
    </row>
    <row r="13" spans="1:22" x14ac:dyDescent="0.5">
      <c r="A13" s="7" t="s">
        <v>134</v>
      </c>
      <c r="B13" s="8" t="s">
        <v>23</v>
      </c>
      <c r="C13" s="8" t="s">
        <v>92</v>
      </c>
      <c r="D13" s="8" t="s">
        <v>135</v>
      </c>
      <c r="E13" s="8" t="s">
        <v>136</v>
      </c>
      <c r="F13" s="8" t="s">
        <v>27</v>
      </c>
      <c r="G13" s="8" t="s">
        <v>28</v>
      </c>
      <c r="H13" s="8" t="s">
        <v>137</v>
      </c>
      <c r="I13" s="8" t="s">
        <v>138</v>
      </c>
      <c r="J13" s="8" t="s">
        <v>106</v>
      </c>
      <c r="K13" s="8" t="s">
        <v>32</v>
      </c>
      <c r="L13" s="8" t="s">
        <v>97</v>
      </c>
      <c r="M13" s="8">
        <v>10</v>
      </c>
      <c r="N13" s="8">
        <v>3500</v>
      </c>
      <c r="O13" s="58">
        <v>5</v>
      </c>
      <c r="P13" s="8">
        <v>33250</v>
      </c>
      <c r="Q13" s="8">
        <v>5</v>
      </c>
      <c r="R13" s="8" t="s">
        <v>79</v>
      </c>
      <c r="S13" s="8" t="s">
        <v>61</v>
      </c>
      <c r="T13" s="8" t="s">
        <v>50</v>
      </c>
      <c r="U13" s="9" t="s">
        <v>139</v>
      </c>
      <c r="V13" s="8" t="s">
        <v>69</v>
      </c>
    </row>
    <row r="14" spans="1:22" x14ac:dyDescent="0.5">
      <c r="A14" s="3" t="s">
        <v>140</v>
      </c>
      <c r="B14" s="4" t="s">
        <v>100</v>
      </c>
      <c r="C14" s="4" t="s">
        <v>24</v>
      </c>
      <c r="D14" s="4" t="s">
        <v>141</v>
      </c>
      <c r="E14" s="4" t="s">
        <v>142</v>
      </c>
      <c r="F14" s="4" t="s">
        <v>103</v>
      </c>
      <c r="G14" s="4" t="s">
        <v>28</v>
      </c>
      <c r="H14" s="4" t="s">
        <v>143</v>
      </c>
      <c r="I14" s="4" t="s">
        <v>114</v>
      </c>
      <c r="J14" s="4" t="s">
        <v>106</v>
      </c>
      <c r="K14" s="4" t="s">
        <v>32</v>
      </c>
      <c r="L14" s="4" t="s">
        <v>33</v>
      </c>
      <c r="M14" s="4">
        <v>15</v>
      </c>
      <c r="N14" s="4">
        <v>2200</v>
      </c>
      <c r="O14" s="57">
        <v>10</v>
      </c>
      <c r="P14" s="4">
        <v>29700</v>
      </c>
      <c r="Q14" s="4">
        <v>1</v>
      </c>
      <c r="R14" s="4" t="s">
        <v>88</v>
      </c>
      <c r="S14" s="4" t="s">
        <v>115</v>
      </c>
      <c r="T14" s="4" t="s">
        <v>144</v>
      </c>
      <c r="U14" s="6" t="s">
        <v>145</v>
      </c>
      <c r="V14" s="4" t="s">
        <v>64</v>
      </c>
    </row>
    <row r="15" spans="1:22" x14ac:dyDescent="0.5">
      <c r="A15" s="7" t="s">
        <v>146</v>
      </c>
      <c r="B15" s="8" t="s">
        <v>127</v>
      </c>
      <c r="C15" s="8" t="s">
        <v>24</v>
      </c>
      <c r="D15" s="8" t="s">
        <v>147</v>
      </c>
      <c r="E15" s="8" t="s">
        <v>148</v>
      </c>
      <c r="F15" s="8" t="s">
        <v>149</v>
      </c>
      <c r="G15" s="8" t="s">
        <v>76</v>
      </c>
      <c r="H15" s="8" t="s">
        <v>150</v>
      </c>
      <c r="I15" s="8" t="s">
        <v>105</v>
      </c>
      <c r="J15" s="8" t="s">
        <v>106</v>
      </c>
      <c r="K15" s="8" t="s">
        <v>32</v>
      </c>
      <c r="L15" s="8" t="s">
        <v>33</v>
      </c>
      <c r="M15" s="8">
        <v>17</v>
      </c>
      <c r="N15" s="8">
        <v>2200</v>
      </c>
      <c r="O15" s="58">
        <v>5</v>
      </c>
      <c r="P15" s="8">
        <v>35530</v>
      </c>
      <c r="Q15" s="8">
        <v>1</v>
      </c>
      <c r="R15" s="8" t="s">
        <v>34</v>
      </c>
      <c r="S15" s="8" t="s">
        <v>151</v>
      </c>
      <c r="T15" s="10" t="s">
        <v>152</v>
      </c>
      <c r="U15" s="9" t="s">
        <v>153</v>
      </c>
      <c r="V15" s="8" t="s">
        <v>38</v>
      </c>
    </row>
    <row r="16" spans="1:22" x14ac:dyDescent="0.5">
      <c r="A16" s="3" t="s">
        <v>154</v>
      </c>
      <c r="B16" s="4" t="s">
        <v>23</v>
      </c>
      <c r="C16" s="4" t="s">
        <v>92</v>
      </c>
      <c r="D16" s="4" t="s">
        <v>155</v>
      </c>
      <c r="E16" s="4" t="s">
        <v>156</v>
      </c>
      <c r="F16" s="4" t="s">
        <v>157</v>
      </c>
      <c r="G16" s="4" t="s">
        <v>28</v>
      </c>
      <c r="H16" s="4" t="s">
        <v>158</v>
      </c>
      <c r="I16" s="4" t="s">
        <v>105</v>
      </c>
      <c r="J16" s="4" t="s">
        <v>106</v>
      </c>
      <c r="K16" s="4" t="s">
        <v>32</v>
      </c>
      <c r="L16" s="4" t="s">
        <v>97</v>
      </c>
      <c r="M16" s="4">
        <v>15</v>
      </c>
      <c r="N16" s="4">
        <v>3500</v>
      </c>
      <c r="O16" s="57">
        <v>15</v>
      </c>
      <c r="P16" s="4">
        <v>44625</v>
      </c>
      <c r="Q16" s="4">
        <v>2</v>
      </c>
      <c r="R16" s="4" t="s">
        <v>34</v>
      </c>
      <c r="S16" s="4" t="s">
        <v>115</v>
      </c>
      <c r="T16" s="5" t="s">
        <v>50</v>
      </c>
      <c r="U16" s="6" t="s">
        <v>159</v>
      </c>
      <c r="V16" s="4" t="s">
        <v>69</v>
      </c>
    </row>
    <row r="17" spans="1:22" x14ac:dyDescent="0.5">
      <c r="A17" s="7" t="s">
        <v>160</v>
      </c>
      <c r="B17" s="8" t="s">
        <v>53</v>
      </c>
      <c r="C17" s="8" t="s">
        <v>72</v>
      </c>
      <c r="D17" s="8" t="s">
        <v>161</v>
      </c>
      <c r="E17" s="8" t="s">
        <v>162</v>
      </c>
      <c r="F17" s="8" t="s">
        <v>163</v>
      </c>
      <c r="G17" s="8" t="s">
        <v>28</v>
      </c>
      <c r="H17" s="8" t="s">
        <v>164</v>
      </c>
      <c r="I17" s="8" t="s">
        <v>30</v>
      </c>
      <c r="J17" s="8" t="s">
        <v>31</v>
      </c>
      <c r="K17" s="8" t="s">
        <v>46</v>
      </c>
      <c r="L17" s="8" t="s">
        <v>78</v>
      </c>
      <c r="M17" s="8">
        <v>3</v>
      </c>
      <c r="N17" s="8">
        <v>1200</v>
      </c>
      <c r="O17" s="58">
        <v>5</v>
      </c>
      <c r="P17" s="8">
        <v>3420</v>
      </c>
      <c r="Q17" s="8">
        <v>5</v>
      </c>
      <c r="R17" s="8" t="s">
        <v>88</v>
      </c>
      <c r="S17" s="8" t="s">
        <v>35</v>
      </c>
      <c r="T17" s="8" t="s">
        <v>165</v>
      </c>
      <c r="U17" s="9" t="s">
        <v>166</v>
      </c>
      <c r="V17" s="8" t="s">
        <v>38</v>
      </c>
    </row>
    <row r="18" spans="1:22" x14ac:dyDescent="0.5">
      <c r="A18" s="3" t="s">
        <v>167</v>
      </c>
      <c r="B18" s="4" t="s">
        <v>168</v>
      </c>
      <c r="C18" s="4" t="s">
        <v>169</v>
      </c>
      <c r="D18" s="4" t="s">
        <v>170</v>
      </c>
      <c r="E18" s="4" t="s">
        <v>171</v>
      </c>
      <c r="F18" s="4" t="s">
        <v>172</v>
      </c>
      <c r="G18" s="4" t="s">
        <v>28</v>
      </c>
      <c r="H18" s="4" t="s">
        <v>173</v>
      </c>
      <c r="I18" s="4" t="s">
        <v>114</v>
      </c>
      <c r="J18" s="4" t="s">
        <v>106</v>
      </c>
      <c r="K18" s="4" t="s">
        <v>32</v>
      </c>
      <c r="L18" s="4" t="s">
        <v>174</v>
      </c>
      <c r="M18" s="4">
        <v>13</v>
      </c>
      <c r="N18" s="4">
        <v>8500</v>
      </c>
      <c r="O18" s="57">
        <v>20</v>
      </c>
      <c r="P18" s="4">
        <v>88400</v>
      </c>
      <c r="Q18" s="4">
        <v>4</v>
      </c>
      <c r="R18" s="4" t="s">
        <v>79</v>
      </c>
      <c r="S18" s="4" t="s">
        <v>49</v>
      </c>
      <c r="T18" s="4" t="s">
        <v>175</v>
      </c>
      <c r="U18" s="6" t="s">
        <v>176</v>
      </c>
      <c r="V18" s="4" t="s">
        <v>64</v>
      </c>
    </row>
    <row r="19" spans="1:22" x14ac:dyDescent="0.5">
      <c r="A19" s="7" t="s">
        <v>177</v>
      </c>
      <c r="B19" s="8" t="s">
        <v>83</v>
      </c>
      <c r="C19" s="8" t="s">
        <v>169</v>
      </c>
      <c r="D19" s="8" t="s">
        <v>178</v>
      </c>
      <c r="E19" s="8" t="s">
        <v>179</v>
      </c>
      <c r="F19" s="8" t="s">
        <v>180</v>
      </c>
      <c r="G19" s="8" t="s">
        <v>76</v>
      </c>
      <c r="H19" s="8" t="s">
        <v>181</v>
      </c>
      <c r="I19" s="8" t="s">
        <v>138</v>
      </c>
      <c r="J19" s="8" t="s">
        <v>106</v>
      </c>
      <c r="K19" s="8" t="s">
        <v>32</v>
      </c>
      <c r="L19" s="8" t="s">
        <v>174</v>
      </c>
      <c r="M19" s="8">
        <v>4</v>
      </c>
      <c r="N19" s="8">
        <v>8500</v>
      </c>
      <c r="O19" s="58">
        <v>20</v>
      </c>
      <c r="P19" s="8">
        <v>27200</v>
      </c>
      <c r="Q19" s="8">
        <v>5</v>
      </c>
      <c r="R19" s="8" t="s">
        <v>79</v>
      </c>
      <c r="S19" s="8" t="s">
        <v>61</v>
      </c>
      <c r="T19" s="8" t="s">
        <v>89</v>
      </c>
      <c r="U19" s="9" t="s">
        <v>182</v>
      </c>
      <c r="V19" s="8" t="s">
        <v>64</v>
      </c>
    </row>
    <row r="20" spans="1:22" x14ac:dyDescent="0.5">
      <c r="A20" s="3" t="s">
        <v>183</v>
      </c>
      <c r="B20" s="4" t="s">
        <v>83</v>
      </c>
      <c r="C20" s="4" t="s">
        <v>184</v>
      </c>
      <c r="D20" s="4" t="s">
        <v>185</v>
      </c>
      <c r="E20" s="4" t="s">
        <v>186</v>
      </c>
      <c r="F20" s="4" t="s">
        <v>187</v>
      </c>
      <c r="G20" s="4" t="s">
        <v>76</v>
      </c>
      <c r="H20" s="4" t="s">
        <v>188</v>
      </c>
      <c r="I20" s="4" t="s">
        <v>105</v>
      </c>
      <c r="J20" s="4" t="s">
        <v>106</v>
      </c>
      <c r="K20" s="4" t="s">
        <v>46</v>
      </c>
      <c r="L20" s="4" t="s">
        <v>189</v>
      </c>
      <c r="M20" s="4">
        <v>9</v>
      </c>
      <c r="N20" s="4">
        <v>700</v>
      </c>
      <c r="O20" s="57">
        <v>5</v>
      </c>
      <c r="P20" s="4">
        <v>5985</v>
      </c>
      <c r="Q20" s="4">
        <v>3</v>
      </c>
      <c r="R20" s="4" t="s">
        <v>88</v>
      </c>
      <c r="S20" s="4" t="s">
        <v>35</v>
      </c>
      <c r="T20" s="5" t="s">
        <v>190</v>
      </c>
      <c r="U20" s="6" t="s">
        <v>191</v>
      </c>
      <c r="V20" s="4" t="s">
        <v>64</v>
      </c>
    </row>
    <row r="21" spans="1:22" x14ac:dyDescent="0.5">
      <c r="A21" s="7" t="s">
        <v>192</v>
      </c>
      <c r="B21" s="8" t="s">
        <v>23</v>
      </c>
      <c r="C21" s="8" t="s">
        <v>54</v>
      </c>
      <c r="D21" s="8" t="s">
        <v>193</v>
      </c>
      <c r="E21" s="8" t="s">
        <v>194</v>
      </c>
      <c r="F21" s="8" t="s">
        <v>27</v>
      </c>
      <c r="G21" s="8" t="s">
        <v>28</v>
      </c>
      <c r="H21" s="8" t="s">
        <v>195</v>
      </c>
      <c r="I21" s="8" t="s">
        <v>138</v>
      </c>
      <c r="J21" s="8" t="s">
        <v>106</v>
      </c>
      <c r="K21" s="8" t="s">
        <v>46</v>
      </c>
      <c r="L21" s="8" t="s">
        <v>60</v>
      </c>
      <c r="M21" s="8">
        <v>8</v>
      </c>
      <c r="N21" s="8">
        <v>55000</v>
      </c>
      <c r="O21" s="58">
        <v>20</v>
      </c>
      <c r="P21" s="8">
        <v>352000</v>
      </c>
      <c r="Q21" s="8">
        <v>1</v>
      </c>
      <c r="R21" s="8" t="s">
        <v>34</v>
      </c>
      <c r="S21" s="8" t="s">
        <v>151</v>
      </c>
      <c r="T21" s="8" t="s">
        <v>50</v>
      </c>
      <c r="U21" s="9" t="s">
        <v>196</v>
      </c>
      <c r="V21" s="8" t="s">
        <v>38</v>
      </c>
    </row>
    <row r="22" spans="1:22" x14ac:dyDescent="0.5">
      <c r="A22" s="3" t="s">
        <v>197</v>
      </c>
      <c r="B22" s="4" t="s">
        <v>127</v>
      </c>
      <c r="C22" s="4" t="s">
        <v>184</v>
      </c>
      <c r="D22" s="4" t="s">
        <v>198</v>
      </c>
      <c r="E22" s="4" t="s">
        <v>199</v>
      </c>
      <c r="F22" s="4" t="s">
        <v>200</v>
      </c>
      <c r="G22" s="4" t="s">
        <v>76</v>
      </c>
      <c r="H22" s="4" t="s">
        <v>201</v>
      </c>
      <c r="I22" s="4" t="s">
        <v>44</v>
      </c>
      <c r="J22" s="4" t="s">
        <v>45</v>
      </c>
      <c r="K22" s="4" t="s">
        <v>202</v>
      </c>
      <c r="L22" s="4" t="s">
        <v>189</v>
      </c>
      <c r="M22" s="4">
        <v>10</v>
      </c>
      <c r="N22" s="4">
        <v>700</v>
      </c>
      <c r="O22" s="57">
        <v>20</v>
      </c>
      <c r="P22" s="4">
        <v>5600</v>
      </c>
      <c r="Q22" s="4">
        <v>4</v>
      </c>
      <c r="R22" s="4" t="s">
        <v>79</v>
      </c>
      <c r="S22" s="4" t="s">
        <v>61</v>
      </c>
      <c r="T22" s="4" t="s">
        <v>132</v>
      </c>
      <c r="U22" s="6" t="s">
        <v>203</v>
      </c>
      <c r="V22" s="4" t="s">
        <v>69</v>
      </c>
    </row>
    <row r="23" spans="1:22" x14ac:dyDescent="0.5">
      <c r="A23" s="7" t="s">
        <v>204</v>
      </c>
      <c r="B23" s="8" t="s">
        <v>23</v>
      </c>
      <c r="C23" s="8" t="s">
        <v>92</v>
      </c>
      <c r="D23" s="8" t="s">
        <v>205</v>
      </c>
      <c r="E23" s="8" t="s">
        <v>206</v>
      </c>
      <c r="F23" s="8" t="s">
        <v>112</v>
      </c>
      <c r="G23" s="8" t="s">
        <v>28</v>
      </c>
      <c r="H23" s="8" t="s">
        <v>207</v>
      </c>
      <c r="I23" s="8" t="s">
        <v>59</v>
      </c>
      <c r="J23" s="8" t="s">
        <v>31</v>
      </c>
      <c r="K23" s="8" t="s">
        <v>32</v>
      </c>
      <c r="L23" s="8" t="s">
        <v>97</v>
      </c>
      <c r="M23" s="8">
        <v>1</v>
      </c>
      <c r="N23" s="8">
        <v>3500</v>
      </c>
      <c r="O23" s="58">
        <v>5</v>
      </c>
      <c r="P23" s="8">
        <v>3325</v>
      </c>
      <c r="Q23" s="8">
        <v>3</v>
      </c>
      <c r="R23" s="8" t="s">
        <v>88</v>
      </c>
      <c r="S23" s="8" t="s">
        <v>115</v>
      </c>
      <c r="T23" s="8" t="s">
        <v>50</v>
      </c>
      <c r="U23" s="9" t="s">
        <v>208</v>
      </c>
      <c r="V23" s="8" t="s">
        <v>69</v>
      </c>
    </row>
    <row r="24" spans="1:22" x14ac:dyDescent="0.5">
      <c r="A24" s="3" t="s">
        <v>209</v>
      </c>
      <c r="B24" s="4" t="s">
        <v>100</v>
      </c>
      <c r="C24" s="4" t="s">
        <v>184</v>
      </c>
      <c r="D24" s="4" t="s">
        <v>102</v>
      </c>
      <c r="E24" s="4" t="s">
        <v>210</v>
      </c>
      <c r="F24" s="4" t="s">
        <v>103</v>
      </c>
      <c r="G24" s="4" t="s">
        <v>28</v>
      </c>
      <c r="H24" s="4" t="s">
        <v>211</v>
      </c>
      <c r="I24" s="4" t="s">
        <v>212</v>
      </c>
      <c r="J24" s="4" t="s">
        <v>45</v>
      </c>
      <c r="K24" s="4" t="s">
        <v>46</v>
      </c>
      <c r="L24" s="4" t="s">
        <v>189</v>
      </c>
      <c r="M24" s="4">
        <v>19</v>
      </c>
      <c r="N24" s="4">
        <v>700</v>
      </c>
      <c r="O24" s="57">
        <v>15</v>
      </c>
      <c r="P24" s="4">
        <v>11305</v>
      </c>
      <c r="Q24" s="4">
        <v>3</v>
      </c>
      <c r="R24" s="4" t="s">
        <v>48</v>
      </c>
      <c r="S24" s="4" t="s">
        <v>151</v>
      </c>
      <c r="T24" s="4" t="s">
        <v>144</v>
      </c>
      <c r="U24" s="6" t="s">
        <v>213</v>
      </c>
      <c r="V24" s="4" t="s">
        <v>64</v>
      </c>
    </row>
    <row r="25" spans="1:22" x14ac:dyDescent="0.5">
      <c r="A25" s="7" t="s">
        <v>214</v>
      </c>
      <c r="B25" s="8" t="s">
        <v>71</v>
      </c>
      <c r="C25" s="8" t="s">
        <v>54</v>
      </c>
      <c r="D25" s="8" t="s">
        <v>215</v>
      </c>
      <c r="E25" s="8" t="s">
        <v>216</v>
      </c>
      <c r="F25" s="8" t="s">
        <v>217</v>
      </c>
      <c r="G25" s="8" t="s">
        <v>76</v>
      </c>
      <c r="H25" s="8" t="s">
        <v>218</v>
      </c>
      <c r="I25" s="8" t="s">
        <v>59</v>
      </c>
      <c r="J25" s="8" t="s">
        <v>31</v>
      </c>
      <c r="K25" s="8" t="s">
        <v>46</v>
      </c>
      <c r="L25" s="8" t="s">
        <v>60</v>
      </c>
      <c r="M25" s="8">
        <v>12</v>
      </c>
      <c r="N25" s="8">
        <v>55000</v>
      </c>
      <c r="O25" s="58">
        <v>0</v>
      </c>
      <c r="P25" s="8">
        <v>660000</v>
      </c>
      <c r="Q25" s="8">
        <v>1</v>
      </c>
      <c r="R25" s="8" t="s">
        <v>79</v>
      </c>
      <c r="S25" s="8" t="s">
        <v>49</v>
      </c>
      <c r="T25" s="8" t="s">
        <v>80</v>
      </c>
      <c r="U25" s="9" t="s">
        <v>219</v>
      </c>
      <c r="V25" s="8" t="s">
        <v>64</v>
      </c>
    </row>
    <row r="26" spans="1:22" x14ac:dyDescent="0.5">
      <c r="A26" s="3" t="s">
        <v>220</v>
      </c>
      <c r="B26" s="4" t="s">
        <v>221</v>
      </c>
      <c r="C26" s="4" t="s">
        <v>222</v>
      </c>
      <c r="D26" s="4" t="s">
        <v>223</v>
      </c>
      <c r="E26" s="4" t="s">
        <v>224</v>
      </c>
      <c r="F26" s="4" t="s">
        <v>225</v>
      </c>
      <c r="G26" s="4" t="s">
        <v>76</v>
      </c>
      <c r="H26" s="4" t="s">
        <v>226</v>
      </c>
      <c r="I26" s="4" t="s">
        <v>105</v>
      </c>
      <c r="J26" s="4" t="s">
        <v>106</v>
      </c>
      <c r="K26" s="4" t="s">
        <v>122</v>
      </c>
      <c r="L26" s="4" t="s">
        <v>227</v>
      </c>
      <c r="M26" s="4">
        <v>1</v>
      </c>
      <c r="N26" s="4">
        <v>20</v>
      </c>
      <c r="O26" s="57">
        <v>5</v>
      </c>
      <c r="P26" s="4">
        <v>19</v>
      </c>
      <c r="Q26" s="4">
        <v>5</v>
      </c>
      <c r="R26" s="4" t="s">
        <v>79</v>
      </c>
      <c r="S26" s="4" t="s">
        <v>35</v>
      </c>
      <c r="T26" s="4" t="s">
        <v>228</v>
      </c>
      <c r="U26" s="6" t="s">
        <v>229</v>
      </c>
      <c r="V26" s="4" t="s">
        <v>69</v>
      </c>
    </row>
    <row r="27" spans="1:22" x14ac:dyDescent="0.5">
      <c r="A27" s="7" t="s">
        <v>230</v>
      </c>
      <c r="B27" s="8" t="s">
        <v>83</v>
      </c>
      <c r="C27" s="8" t="s">
        <v>222</v>
      </c>
      <c r="D27" s="8" t="s">
        <v>231</v>
      </c>
      <c r="E27" s="8" t="s">
        <v>232</v>
      </c>
      <c r="F27" s="8" t="s">
        <v>180</v>
      </c>
      <c r="G27" s="8" t="s">
        <v>76</v>
      </c>
      <c r="H27" s="8" t="s">
        <v>233</v>
      </c>
      <c r="I27" s="8" t="s">
        <v>105</v>
      </c>
      <c r="J27" s="8" t="s">
        <v>106</v>
      </c>
      <c r="K27" s="8" t="s">
        <v>122</v>
      </c>
      <c r="L27" s="8" t="s">
        <v>227</v>
      </c>
      <c r="M27" s="8">
        <v>2</v>
      </c>
      <c r="N27" s="8">
        <v>20</v>
      </c>
      <c r="O27" s="58">
        <v>15</v>
      </c>
      <c r="P27" s="8">
        <v>34</v>
      </c>
      <c r="Q27" s="8">
        <v>1</v>
      </c>
      <c r="R27" s="8" t="s">
        <v>88</v>
      </c>
      <c r="S27" s="8" t="s">
        <v>35</v>
      </c>
      <c r="T27" s="8" t="s">
        <v>89</v>
      </c>
      <c r="U27" s="9" t="s">
        <v>234</v>
      </c>
      <c r="V27" s="8" t="s">
        <v>64</v>
      </c>
    </row>
    <row r="28" spans="1:22" x14ac:dyDescent="0.5">
      <c r="A28" s="3" t="s">
        <v>235</v>
      </c>
      <c r="B28" s="4" t="s">
        <v>71</v>
      </c>
      <c r="C28" s="4" t="s">
        <v>92</v>
      </c>
      <c r="D28" s="4" t="s">
        <v>236</v>
      </c>
      <c r="E28" s="4" t="s">
        <v>237</v>
      </c>
      <c r="F28" s="4" t="s">
        <v>217</v>
      </c>
      <c r="G28" s="4" t="s">
        <v>76</v>
      </c>
      <c r="H28" s="4" t="s">
        <v>238</v>
      </c>
      <c r="I28" s="4" t="s">
        <v>138</v>
      </c>
      <c r="J28" s="4" t="s">
        <v>106</v>
      </c>
      <c r="K28" s="4" t="s">
        <v>32</v>
      </c>
      <c r="L28" s="4" t="s">
        <v>97</v>
      </c>
      <c r="M28" s="4">
        <v>12</v>
      </c>
      <c r="N28" s="4">
        <v>3500</v>
      </c>
      <c r="O28" s="57">
        <v>15</v>
      </c>
      <c r="P28" s="4">
        <v>35700</v>
      </c>
      <c r="Q28" s="4">
        <v>4</v>
      </c>
      <c r="R28" s="4" t="s">
        <v>34</v>
      </c>
      <c r="S28" s="4" t="s">
        <v>49</v>
      </c>
      <c r="T28" s="4" t="s">
        <v>80</v>
      </c>
      <c r="U28" s="6" t="s">
        <v>239</v>
      </c>
      <c r="V28" s="4" t="s">
        <v>69</v>
      </c>
    </row>
    <row r="29" spans="1:22" x14ac:dyDescent="0.5">
      <c r="A29" s="7" t="s">
        <v>240</v>
      </c>
      <c r="B29" s="8" t="s">
        <v>23</v>
      </c>
      <c r="C29" s="8" t="s">
        <v>72</v>
      </c>
      <c r="D29" s="8" t="s">
        <v>241</v>
      </c>
      <c r="E29" s="8" t="s">
        <v>242</v>
      </c>
      <c r="F29" s="8" t="s">
        <v>27</v>
      </c>
      <c r="G29" s="8" t="s">
        <v>28</v>
      </c>
      <c r="H29" s="8" t="s">
        <v>243</v>
      </c>
      <c r="I29" s="8" t="s">
        <v>138</v>
      </c>
      <c r="J29" s="8" t="s">
        <v>106</v>
      </c>
      <c r="K29" s="8" t="s">
        <v>46</v>
      </c>
      <c r="L29" s="8" t="s">
        <v>78</v>
      </c>
      <c r="M29" s="8">
        <v>11</v>
      </c>
      <c r="N29" s="8">
        <v>1200</v>
      </c>
      <c r="O29" s="58">
        <v>0</v>
      </c>
      <c r="P29" s="8">
        <v>13200</v>
      </c>
      <c r="Q29" s="8">
        <v>2</v>
      </c>
      <c r="R29" s="8" t="s">
        <v>88</v>
      </c>
      <c r="S29" s="8" t="s">
        <v>151</v>
      </c>
      <c r="T29" s="8" t="s">
        <v>50</v>
      </c>
      <c r="U29" s="9" t="s">
        <v>244</v>
      </c>
      <c r="V29" s="8" t="s">
        <v>38</v>
      </c>
    </row>
    <row r="30" spans="1:22" x14ac:dyDescent="0.5">
      <c r="A30" s="3" t="s">
        <v>245</v>
      </c>
      <c r="B30" s="4" t="s">
        <v>127</v>
      </c>
      <c r="C30" s="4" t="s">
        <v>169</v>
      </c>
      <c r="D30" s="4" t="s">
        <v>246</v>
      </c>
      <c r="E30" s="4" t="s">
        <v>247</v>
      </c>
      <c r="F30" s="4" t="s">
        <v>200</v>
      </c>
      <c r="G30" s="4" t="s">
        <v>76</v>
      </c>
      <c r="H30" s="4" t="s">
        <v>248</v>
      </c>
      <c r="I30" s="4" t="s">
        <v>114</v>
      </c>
      <c r="J30" s="4" t="s">
        <v>106</v>
      </c>
      <c r="K30" s="4" t="s">
        <v>32</v>
      </c>
      <c r="L30" s="4" t="s">
        <v>174</v>
      </c>
      <c r="M30" s="4">
        <v>6</v>
      </c>
      <c r="N30" s="4">
        <v>8500</v>
      </c>
      <c r="O30" s="57">
        <v>65</v>
      </c>
      <c r="P30" s="4">
        <v>51000</v>
      </c>
      <c r="Q30" s="4">
        <v>1</v>
      </c>
      <c r="R30" s="4" t="s">
        <v>79</v>
      </c>
      <c r="S30" s="4" t="s">
        <v>61</v>
      </c>
      <c r="T30" s="4" t="s">
        <v>132</v>
      </c>
      <c r="U30" s="6" t="s">
        <v>249</v>
      </c>
      <c r="V30" s="4" t="s">
        <v>38</v>
      </c>
    </row>
    <row r="31" spans="1:22" x14ac:dyDescent="0.5">
      <c r="A31" s="7" t="s">
        <v>250</v>
      </c>
      <c r="B31" s="8" t="s">
        <v>251</v>
      </c>
      <c r="C31" s="8" t="s">
        <v>118</v>
      </c>
      <c r="D31" s="8" t="s">
        <v>252</v>
      </c>
      <c r="E31" s="8" t="s">
        <v>253</v>
      </c>
      <c r="F31" s="8" t="s">
        <v>254</v>
      </c>
      <c r="G31" s="8" t="s">
        <v>28</v>
      </c>
      <c r="H31" s="8" t="s">
        <v>255</v>
      </c>
      <c r="I31" s="8" t="s">
        <v>114</v>
      </c>
      <c r="J31" s="8" t="s">
        <v>106</v>
      </c>
      <c r="K31" s="8" t="s">
        <v>122</v>
      </c>
      <c r="L31" s="8" t="s">
        <v>123</v>
      </c>
      <c r="M31" s="8">
        <v>2</v>
      </c>
      <c r="N31" s="8">
        <v>60</v>
      </c>
      <c r="O31" s="58">
        <v>5</v>
      </c>
      <c r="P31" s="8">
        <v>114</v>
      </c>
      <c r="Q31" s="8">
        <v>3</v>
      </c>
      <c r="R31" s="8" t="s">
        <v>34</v>
      </c>
      <c r="S31" s="8" t="s">
        <v>151</v>
      </c>
      <c r="T31" s="8" t="s">
        <v>256</v>
      </c>
      <c r="U31" s="9" t="s">
        <v>257</v>
      </c>
      <c r="V31" s="8" t="s">
        <v>69</v>
      </c>
    </row>
    <row r="32" spans="1:22" x14ac:dyDescent="0.5">
      <c r="A32" s="3" t="s">
        <v>258</v>
      </c>
      <c r="B32" s="4" t="s">
        <v>23</v>
      </c>
      <c r="C32" s="4" t="s">
        <v>259</v>
      </c>
      <c r="D32" s="4" t="s">
        <v>260</v>
      </c>
      <c r="E32" s="4" t="s">
        <v>261</v>
      </c>
      <c r="F32" s="4" t="s">
        <v>27</v>
      </c>
      <c r="G32" s="4" t="s">
        <v>28</v>
      </c>
      <c r="H32" s="4" t="s">
        <v>262</v>
      </c>
      <c r="I32" s="4" t="s">
        <v>59</v>
      </c>
      <c r="J32" s="4" t="s">
        <v>31</v>
      </c>
      <c r="K32" s="4" t="s">
        <v>122</v>
      </c>
      <c r="L32" s="4" t="s">
        <v>263</v>
      </c>
      <c r="M32" s="4">
        <v>19</v>
      </c>
      <c r="N32" s="4">
        <v>45</v>
      </c>
      <c r="O32" s="57">
        <v>20</v>
      </c>
      <c r="P32" s="4">
        <v>684</v>
      </c>
      <c r="Q32" s="4">
        <v>4</v>
      </c>
      <c r="R32" s="4" t="s">
        <v>48</v>
      </c>
      <c r="S32" s="4" t="s">
        <v>61</v>
      </c>
      <c r="T32" s="4" t="s">
        <v>50</v>
      </c>
      <c r="U32" s="6" t="s">
        <v>264</v>
      </c>
      <c r="V32" s="4" t="s">
        <v>69</v>
      </c>
    </row>
    <row r="33" spans="1:22" x14ac:dyDescent="0.5">
      <c r="A33" s="7" t="s">
        <v>265</v>
      </c>
      <c r="B33" s="8" t="s">
        <v>100</v>
      </c>
      <c r="C33" s="8" t="s">
        <v>40</v>
      </c>
      <c r="D33" s="8" t="s">
        <v>266</v>
      </c>
      <c r="E33" s="8" t="s">
        <v>267</v>
      </c>
      <c r="F33" s="8" t="s">
        <v>268</v>
      </c>
      <c r="G33" s="8" t="s">
        <v>28</v>
      </c>
      <c r="H33" s="8" t="s">
        <v>269</v>
      </c>
      <c r="I33" s="8" t="s">
        <v>138</v>
      </c>
      <c r="J33" s="8" t="s">
        <v>106</v>
      </c>
      <c r="K33" s="8" t="s">
        <v>46</v>
      </c>
      <c r="L33" s="8" t="s">
        <v>47</v>
      </c>
      <c r="M33" s="8">
        <v>11</v>
      </c>
      <c r="N33" s="8">
        <v>12000</v>
      </c>
      <c r="O33" s="58">
        <v>0</v>
      </c>
      <c r="P33" s="8">
        <v>132000</v>
      </c>
      <c r="Q33" s="8">
        <v>3</v>
      </c>
      <c r="R33" s="8" t="s">
        <v>88</v>
      </c>
      <c r="S33" s="8" t="s">
        <v>35</v>
      </c>
      <c r="T33" s="8" t="s">
        <v>144</v>
      </c>
      <c r="U33" s="9" t="s">
        <v>270</v>
      </c>
      <c r="V33" s="8" t="s">
        <v>64</v>
      </c>
    </row>
    <row r="34" spans="1:22" x14ac:dyDescent="0.5">
      <c r="A34" s="3" t="s">
        <v>271</v>
      </c>
      <c r="B34" s="4" t="s">
        <v>251</v>
      </c>
      <c r="C34" s="4" t="s">
        <v>24</v>
      </c>
      <c r="D34" s="4" t="s">
        <v>272</v>
      </c>
      <c r="E34" s="4" t="s">
        <v>136</v>
      </c>
      <c r="F34" s="4" t="s">
        <v>254</v>
      </c>
      <c r="G34" s="4" t="s">
        <v>28</v>
      </c>
      <c r="H34" s="4" t="s">
        <v>273</v>
      </c>
      <c r="I34" s="4" t="s">
        <v>59</v>
      </c>
      <c r="J34" s="4" t="s">
        <v>31</v>
      </c>
      <c r="K34" s="4" t="s">
        <v>32</v>
      </c>
      <c r="L34" s="4" t="s">
        <v>33</v>
      </c>
      <c r="M34" s="4">
        <v>20</v>
      </c>
      <c r="N34" s="4">
        <v>2200</v>
      </c>
      <c r="O34" s="57">
        <v>5</v>
      </c>
      <c r="P34" s="4">
        <v>41800</v>
      </c>
      <c r="Q34" s="4">
        <v>1</v>
      </c>
      <c r="R34" s="4" t="s">
        <v>34</v>
      </c>
      <c r="S34" s="4" t="s">
        <v>49</v>
      </c>
      <c r="T34" s="4" t="s">
        <v>256</v>
      </c>
      <c r="U34" s="6" t="s">
        <v>274</v>
      </c>
      <c r="V34" s="4" t="s">
        <v>64</v>
      </c>
    </row>
    <row r="35" spans="1:22" x14ac:dyDescent="0.5">
      <c r="A35" s="7" t="s">
        <v>275</v>
      </c>
      <c r="B35" s="8" t="s">
        <v>83</v>
      </c>
      <c r="C35" s="8" t="s">
        <v>222</v>
      </c>
      <c r="D35" s="8" t="s">
        <v>231</v>
      </c>
      <c r="E35" s="8" t="s">
        <v>276</v>
      </c>
      <c r="F35" s="8" t="s">
        <v>180</v>
      </c>
      <c r="G35" s="8" t="s">
        <v>76</v>
      </c>
      <c r="H35" s="8" t="s">
        <v>277</v>
      </c>
      <c r="I35" s="8" t="s">
        <v>138</v>
      </c>
      <c r="J35" s="8" t="s">
        <v>106</v>
      </c>
      <c r="K35" s="8" t="s">
        <v>122</v>
      </c>
      <c r="L35" s="8" t="s">
        <v>227</v>
      </c>
      <c r="M35" s="8">
        <v>3</v>
      </c>
      <c r="N35" s="8">
        <v>20</v>
      </c>
      <c r="O35" s="58">
        <v>0</v>
      </c>
      <c r="P35" s="8">
        <v>60</v>
      </c>
      <c r="Q35" s="8">
        <v>2</v>
      </c>
      <c r="R35" s="8" t="s">
        <v>79</v>
      </c>
      <c r="S35" s="8" t="s">
        <v>35</v>
      </c>
      <c r="T35" s="8" t="s">
        <v>278</v>
      </c>
      <c r="U35" s="9" t="s">
        <v>279</v>
      </c>
      <c r="V35" s="8" t="s">
        <v>69</v>
      </c>
    </row>
    <row r="36" spans="1:22" x14ac:dyDescent="0.5">
      <c r="A36" s="3" t="s">
        <v>280</v>
      </c>
      <c r="B36" s="4" t="s">
        <v>127</v>
      </c>
      <c r="C36" s="4" t="s">
        <v>259</v>
      </c>
      <c r="D36" s="4" t="s">
        <v>281</v>
      </c>
      <c r="E36" s="4" t="s">
        <v>282</v>
      </c>
      <c r="F36" s="4" t="s">
        <v>200</v>
      </c>
      <c r="G36" s="4" t="s">
        <v>76</v>
      </c>
      <c r="H36" s="4" t="s">
        <v>283</v>
      </c>
      <c r="I36" s="4" t="s">
        <v>114</v>
      </c>
      <c r="J36" s="4" t="s">
        <v>106</v>
      </c>
      <c r="K36" s="4" t="s">
        <v>122</v>
      </c>
      <c r="L36" s="4" t="s">
        <v>263</v>
      </c>
      <c r="M36" s="4">
        <v>18</v>
      </c>
      <c r="N36" s="4">
        <v>45</v>
      </c>
      <c r="O36" s="57">
        <v>20</v>
      </c>
      <c r="P36" s="4">
        <v>648</v>
      </c>
      <c r="Q36" s="4">
        <v>4</v>
      </c>
      <c r="R36" s="4" t="s">
        <v>48</v>
      </c>
      <c r="S36" s="4" t="s">
        <v>35</v>
      </c>
      <c r="T36" s="4" t="s">
        <v>132</v>
      </c>
      <c r="U36" s="6" t="s">
        <v>284</v>
      </c>
      <c r="V36" s="4" t="s">
        <v>69</v>
      </c>
    </row>
    <row r="37" spans="1:22" x14ac:dyDescent="0.5">
      <c r="A37" s="7" t="s">
        <v>285</v>
      </c>
      <c r="B37" s="8" t="s">
        <v>127</v>
      </c>
      <c r="C37" s="8" t="s">
        <v>72</v>
      </c>
      <c r="D37" s="8" t="s">
        <v>286</v>
      </c>
      <c r="E37" s="8" t="s">
        <v>287</v>
      </c>
      <c r="F37" s="8" t="s">
        <v>200</v>
      </c>
      <c r="G37" s="8" t="s">
        <v>76</v>
      </c>
      <c r="H37" s="8" t="s">
        <v>288</v>
      </c>
      <c r="I37" s="8" t="s">
        <v>59</v>
      </c>
      <c r="J37" s="8" t="s">
        <v>31</v>
      </c>
      <c r="K37" s="8" t="s">
        <v>46</v>
      </c>
      <c r="L37" s="8" t="s">
        <v>78</v>
      </c>
      <c r="M37" s="8">
        <v>4</v>
      </c>
      <c r="N37" s="8">
        <v>1200</v>
      </c>
      <c r="O37" s="58">
        <v>20</v>
      </c>
      <c r="P37" s="8">
        <v>3840</v>
      </c>
      <c r="Q37" s="8">
        <v>3</v>
      </c>
      <c r="R37" s="8" t="s">
        <v>48</v>
      </c>
      <c r="S37" s="8" t="s">
        <v>61</v>
      </c>
      <c r="T37" s="8" t="s">
        <v>132</v>
      </c>
      <c r="U37" s="9" t="s">
        <v>289</v>
      </c>
      <c r="V37" s="8" t="s">
        <v>38</v>
      </c>
    </row>
    <row r="38" spans="1:22" x14ac:dyDescent="0.5">
      <c r="A38" s="3" t="s">
        <v>290</v>
      </c>
      <c r="B38" s="4" t="s">
        <v>71</v>
      </c>
      <c r="C38" s="4" t="s">
        <v>54</v>
      </c>
      <c r="D38" s="4" t="s">
        <v>291</v>
      </c>
      <c r="E38" s="4" t="s">
        <v>292</v>
      </c>
      <c r="F38" s="4" t="s">
        <v>217</v>
      </c>
      <c r="G38" s="4" t="s">
        <v>76</v>
      </c>
      <c r="H38" s="4" t="s">
        <v>293</v>
      </c>
      <c r="I38" s="4" t="s">
        <v>294</v>
      </c>
      <c r="J38" s="4" t="s">
        <v>295</v>
      </c>
      <c r="K38" s="4" t="s">
        <v>46</v>
      </c>
      <c r="L38" s="4" t="s">
        <v>60</v>
      </c>
      <c r="M38" s="4">
        <v>10</v>
      </c>
      <c r="N38" s="4">
        <v>55000</v>
      </c>
      <c r="O38" s="57">
        <v>0</v>
      </c>
      <c r="P38" s="4">
        <v>550000</v>
      </c>
      <c r="Q38" s="4">
        <v>1</v>
      </c>
      <c r="R38" s="4" t="s">
        <v>88</v>
      </c>
      <c r="S38" s="4" t="s">
        <v>49</v>
      </c>
      <c r="T38" s="4" t="s">
        <v>80</v>
      </c>
      <c r="U38" s="6" t="s">
        <v>296</v>
      </c>
      <c r="V38" s="4" t="s">
        <v>69</v>
      </c>
    </row>
    <row r="39" spans="1:22" x14ac:dyDescent="0.5">
      <c r="A39" s="7" t="s">
        <v>297</v>
      </c>
      <c r="B39" s="8" t="s">
        <v>251</v>
      </c>
      <c r="C39" s="8" t="s">
        <v>92</v>
      </c>
      <c r="D39" s="8" t="s">
        <v>298</v>
      </c>
      <c r="E39" s="8" t="s">
        <v>242</v>
      </c>
      <c r="F39" s="8" t="s">
        <v>254</v>
      </c>
      <c r="G39" s="8" t="s">
        <v>28</v>
      </c>
      <c r="H39" s="8" t="s">
        <v>299</v>
      </c>
      <c r="I39" s="8" t="s">
        <v>44</v>
      </c>
      <c r="J39" s="8" t="s">
        <v>45</v>
      </c>
      <c r="K39" s="8" t="s">
        <v>32</v>
      </c>
      <c r="L39" s="8" t="s">
        <v>97</v>
      </c>
      <c r="M39" s="8">
        <v>20</v>
      </c>
      <c r="N39" s="8">
        <v>3500</v>
      </c>
      <c r="O39" s="58">
        <v>10</v>
      </c>
      <c r="P39" s="8">
        <v>63000</v>
      </c>
      <c r="Q39" s="8">
        <v>3</v>
      </c>
      <c r="R39" s="8" t="s">
        <v>79</v>
      </c>
      <c r="S39" s="8" t="s">
        <v>49</v>
      </c>
      <c r="T39" s="8" t="s">
        <v>256</v>
      </c>
      <c r="U39" s="9" t="s">
        <v>300</v>
      </c>
      <c r="V39" s="8" t="s">
        <v>69</v>
      </c>
    </row>
    <row r="40" spans="1:22" x14ac:dyDescent="0.5">
      <c r="A40" s="3" t="s">
        <v>301</v>
      </c>
      <c r="B40" s="4" t="s">
        <v>23</v>
      </c>
      <c r="C40" s="4" t="s">
        <v>222</v>
      </c>
      <c r="D40" s="4" t="s">
        <v>302</v>
      </c>
      <c r="E40" s="4" t="s">
        <v>303</v>
      </c>
      <c r="F40" s="4" t="s">
        <v>27</v>
      </c>
      <c r="G40" s="4" t="s">
        <v>28</v>
      </c>
      <c r="H40" s="4" t="s">
        <v>304</v>
      </c>
      <c r="I40" s="4" t="s">
        <v>114</v>
      </c>
      <c r="J40" s="4" t="s">
        <v>106</v>
      </c>
      <c r="K40" s="4" t="s">
        <v>122</v>
      </c>
      <c r="L40" s="4" t="s">
        <v>227</v>
      </c>
      <c r="M40" s="4">
        <v>5</v>
      </c>
      <c r="N40" s="4" t="s">
        <v>305</v>
      </c>
      <c r="O40" s="57">
        <v>0</v>
      </c>
      <c r="P40" s="4">
        <v>100</v>
      </c>
      <c r="Q40" s="4">
        <v>1</v>
      </c>
      <c r="R40" s="4" t="s">
        <v>34</v>
      </c>
      <c r="S40" s="4" t="s">
        <v>49</v>
      </c>
      <c r="T40" s="4" t="s">
        <v>50</v>
      </c>
      <c r="U40" s="6" t="s">
        <v>306</v>
      </c>
      <c r="V40" s="4" t="s">
        <v>69</v>
      </c>
    </row>
    <row r="41" spans="1:22" x14ac:dyDescent="0.5">
      <c r="A41" s="7" t="s">
        <v>307</v>
      </c>
      <c r="B41" s="8" t="s">
        <v>53</v>
      </c>
      <c r="C41" s="8" t="s">
        <v>169</v>
      </c>
      <c r="D41" s="8" t="s">
        <v>308</v>
      </c>
      <c r="E41" s="8" t="s">
        <v>309</v>
      </c>
      <c r="F41" s="8" t="s">
        <v>163</v>
      </c>
      <c r="G41" s="8" t="s">
        <v>28</v>
      </c>
      <c r="H41" s="8" t="s">
        <v>310</v>
      </c>
      <c r="I41" s="8" t="s">
        <v>105</v>
      </c>
      <c r="J41" s="8" t="s">
        <v>106</v>
      </c>
      <c r="K41" s="8" t="s">
        <v>32</v>
      </c>
      <c r="L41" s="8" t="s">
        <v>174</v>
      </c>
      <c r="M41" s="8">
        <v>20</v>
      </c>
      <c r="N41" s="8">
        <v>8500</v>
      </c>
      <c r="O41" s="58">
        <v>0</v>
      </c>
      <c r="P41" s="8">
        <v>170000</v>
      </c>
      <c r="Q41" s="8">
        <v>1</v>
      </c>
      <c r="R41" s="8" t="s">
        <v>88</v>
      </c>
      <c r="S41" s="8" t="s">
        <v>115</v>
      </c>
      <c r="T41" s="8" t="s">
        <v>62</v>
      </c>
      <c r="U41" s="9" t="s">
        <v>311</v>
      </c>
      <c r="V41" s="8" t="s">
        <v>69</v>
      </c>
    </row>
    <row r="42" spans="1:22" x14ac:dyDescent="0.5">
      <c r="A42" s="3" t="s">
        <v>312</v>
      </c>
      <c r="B42" s="4" t="s">
        <v>83</v>
      </c>
      <c r="C42" s="4" t="s">
        <v>118</v>
      </c>
      <c r="D42" s="4" t="s">
        <v>313</v>
      </c>
      <c r="E42" s="4" t="s">
        <v>314</v>
      </c>
      <c r="F42" s="4" t="s">
        <v>180</v>
      </c>
      <c r="G42" s="4" t="s">
        <v>76</v>
      </c>
      <c r="H42" s="4" t="s">
        <v>315</v>
      </c>
      <c r="I42" s="4" t="s">
        <v>59</v>
      </c>
      <c r="J42" s="4" t="s">
        <v>31</v>
      </c>
      <c r="K42" s="4" t="s">
        <v>122</v>
      </c>
      <c r="L42" s="4" t="s">
        <v>123</v>
      </c>
      <c r="M42" s="4">
        <v>8</v>
      </c>
      <c r="N42" s="4">
        <v>60</v>
      </c>
      <c r="O42" s="57">
        <v>15</v>
      </c>
      <c r="P42" s="4">
        <v>408</v>
      </c>
      <c r="Q42" s="4">
        <v>5</v>
      </c>
      <c r="R42" s="4" t="s">
        <v>88</v>
      </c>
      <c r="S42" s="4" t="s">
        <v>49</v>
      </c>
      <c r="T42" s="4" t="s">
        <v>89</v>
      </c>
      <c r="U42" s="6" t="s">
        <v>316</v>
      </c>
      <c r="V42" s="4" t="s">
        <v>64</v>
      </c>
    </row>
    <row r="43" spans="1:22" x14ac:dyDescent="0.5">
      <c r="A43" s="7" t="s">
        <v>317</v>
      </c>
      <c r="B43" s="8" t="s">
        <v>53</v>
      </c>
      <c r="C43" s="8" t="s">
        <v>92</v>
      </c>
      <c r="D43" s="8" t="s">
        <v>318</v>
      </c>
      <c r="E43" s="8" t="s">
        <v>260</v>
      </c>
      <c r="F43" s="8" t="s">
        <v>163</v>
      </c>
      <c r="G43" s="8" t="s">
        <v>28</v>
      </c>
      <c r="H43" s="8" t="s">
        <v>319</v>
      </c>
      <c r="I43" s="8" t="s">
        <v>114</v>
      </c>
      <c r="J43" s="8" t="s">
        <v>106</v>
      </c>
      <c r="K43" s="8" t="s">
        <v>32</v>
      </c>
      <c r="L43" s="8" t="s">
        <v>97</v>
      </c>
      <c r="M43" s="8">
        <v>8</v>
      </c>
      <c r="N43" s="8">
        <v>3500</v>
      </c>
      <c r="O43" s="58">
        <v>5</v>
      </c>
      <c r="P43" s="8">
        <v>26600</v>
      </c>
      <c r="Q43" s="8">
        <v>1</v>
      </c>
      <c r="R43" s="8" t="s">
        <v>79</v>
      </c>
      <c r="S43" s="8" t="s">
        <v>115</v>
      </c>
      <c r="T43" s="8" t="s">
        <v>62</v>
      </c>
      <c r="U43" s="9" t="s">
        <v>320</v>
      </c>
      <c r="V43" s="8" t="s">
        <v>64</v>
      </c>
    </row>
    <row r="44" spans="1:22" x14ac:dyDescent="0.5">
      <c r="A44" s="3" t="s">
        <v>321</v>
      </c>
      <c r="B44" s="4" t="s">
        <v>71</v>
      </c>
      <c r="C44" s="4" t="s">
        <v>169</v>
      </c>
      <c r="D44" s="4" t="s">
        <v>322</v>
      </c>
      <c r="E44" s="4" t="s">
        <v>323</v>
      </c>
      <c r="F44" s="4" t="s">
        <v>217</v>
      </c>
      <c r="G44" s="4" t="s">
        <v>76</v>
      </c>
      <c r="H44" s="4" t="s">
        <v>324</v>
      </c>
      <c r="I44" s="4" t="s">
        <v>212</v>
      </c>
      <c r="J44" s="4" t="s">
        <v>45</v>
      </c>
      <c r="K44" s="4" t="s">
        <v>32</v>
      </c>
      <c r="L44" s="4" t="s">
        <v>174</v>
      </c>
      <c r="M44" s="4">
        <v>1</v>
      </c>
      <c r="N44" s="4">
        <v>8500</v>
      </c>
      <c r="O44" s="57">
        <v>0</v>
      </c>
      <c r="P44" s="4">
        <v>8500</v>
      </c>
      <c r="Q44" s="4">
        <v>2</v>
      </c>
      <c r="R44" s="4" t="s">
        <v>79</v>
      </c>
      <c r="S44" s="4" t="s">
        <v>115</v>
      </c>
      <c r="T44" s="4" t="s">
        <v>80</v>
      </c>
      <c r="U44" s="6" t="s">
        <v>325</v>
      </c>
      <c r="V44" s="4" t="s">
        <v>64</v>
      </c>
    </row>
    <row r="45" spans="1:22" x14ac:dyDescent="0.5">
      <c r="A45" s="7" t="s">
        <v>326</v>
      </c>
      <c r="B45" s="8" t="s">
        <v>327</v>
      </c>
      <c r="C45" s="8" t="s">
        <v>259</v>
      </c>
      <c r="D45" s="8" t="s">
        <v>328</v>
      </c>
      <c r="E45" s="8" t="s">
        <v>329</v>
      </c>
      <c r="F45" s="8" t="s">
        <v>330</v>
      </c>
      <c r="G45" s="8" t="s">
        <v>76</v>
      </c>
      <c r="H45" s="8" t="s">
        <v>331</v>
      </c>
      <c r="I45" s="8" t="s">
        <v>114</v>
      </c>
      <c r="J45" s="8" t="s">
        <v>106</v>
      </c>
      <c r="K45" s="8" t="s">
        <v>122</v>
      </c>
      <c r="L45" s="8" t="s">
        <v>263</v>
      </c>
      <c r="M45" s="8">
        <v>8</v>
      </c>
      <c r="N45" s="8">
        <v>45</v>
      </c>
      <c r="O45" s="58">
        <v>15</v>
      </c>
      <c r="P45" s="8">
        <v>306</v>
      </c>
      <c r="Q45" s="8">
        <v>2</v>
      </c>
      <c r="R45" s="8" t="s">
        <v>79</v>
      </c>
      <c r="S45" s="8" t="s">
        <v>61</v>
      </c>
      <c r="T45" s="8" t="s">
        <v>332</v>
      </c>
      <c r="U45" s="9" t="s">
        <v>333</v>
      </c>
      <c r="V45" s="8" t="s">
        <v>38</v>
      </c>
    </row>
    <row r="46" spans="1:22" x14ac:dyDescent="0.5">
      <c r="A46" s="3" t="s">
        <v>334</v>
      </c>
      <c r="B46" s="4" t="s">
        <v>251</v>
      </c>
      <c r="C46" s="4" t="s">
        <v>24</v>
      </c>
      <c r="D46" s="4" t="s">
        <v>335</v>
      </c>
      <c r="E46" s="4" t="s">
        <v>336</v>
      </c>
      <c r="F46" s="4" t="s">
        <v>254</v>
      </c>
      <c r="G46" s="4" t="s">
        <v>28</v>
      </c>
      <c r="H46" s="4" t="s">
        <v>337</v>
      </c>
      <c r="I46" s="4" t="s">
        <v>114</v>
      </c>
      <c r="J46" s="4" t="s">
        <v>106</v>
      </c>
      <c r="K46" s="4" t="s">
        <v>32</v>
      </c>
      <c r="L46" s="4" t="s">
        <v>33</v>
      </c>
      <c r="M46" s="4">
        <v>16</v>
      </c>
      <c r="N46" s="4">
        <v>2200</v>
      </c>
      <c r="O46" s="57">
        <v>5</v>
      </c>
      <c r="P46" s="4">
        <v>33440</v>
      </c>
      <c r="Q46" s="4">
        <v>5</v>
      </c>
      <c r="R46" s="4" t="s">
        <v>79</v>
      </c>
      <c r="S46" s="4" t="s">
        <v>61</v>
      </c>
      <c r="T46" s="4" t="s">
        <v>256</v>
      </c>
      <c r="U46" s="6" t="s">
        <v>338</v>
      </c>
      <c r="V46" s="4" t="s">
        <v>69</v>
      </c>
    </row>
    <row r="47" spans="1:22" x14ac:dyDescent="0.5">
      <c r="A47" s="7" t="s">
        <v>339</v>
      </c>
      <c r="B47" s="8" t="s">
        <v>71</v>
      </c>
      <c r="C47" s="8" t="s">
        <v>92</v>
      </c>
      <c r="D47" s="8" t="s">
        <v>340</v>
      </c>
      <c r="E47" s="8" t="s">
        <v>341</v>
      </c>
      <c r="F47" s="8" t="s">
        <v>217</v>
      </c>
      <c r="G47" s="8" t="s">
        <v>76</v>
      </c>
      <c r="H47" s="8" t="s">
        <v>342</v>
      </c>
      <c r="I47" s="8" t="s">
        <v>59</v>
      </c>
      <c r="J47" s="8" t="s">
        <v>31</v>
      </c>
      <c r="K47" s="8" t="s">
        <v>32</v>
      </c>
      <c r="L47" s="8" t="s">
        <v>97</v>
      </c>
      <c r="M47" s="8">
        <v>19</v>
      </c>
      <c r="N47" s="8">
        <v>3500</v>
      </c>
      <c r="O47" s="58">
        <v>20</v>
      </c>
      <c r="P47" s="8">
        <v>53200</v>
      </c>
      <c r="Q47" s="8">
        <v>3</v>
      </c>
      <c r="R47" s="8" t="s">
        <v>34</v>
      </c>
      <c r="S47" s="8" t="s">
        <v>151</v>
      </c>
      <c r="T47" s="8" t="s">
        <v>80</v>
      </c>
      <c r="U47" s="9" t="s">
        <v>343</v>
      </c>
      <c r="V47" s="8" t="s">
        <v>69</v>
      </c>
    </row>
    <row r="48" spans="1:22" x14ac:dyDescent="0.5">
      <c r="A48" s="3" t="s">
        <v>344</v>
      </c>
      <c r="B48" s="4" t="s">
        <v>251</v>
      </c>
      <c r="C48" s="4" t="s">
        <v>184</v>
      </c>
      <c r="D48" s="4" t="s">
        <v>345</v>
      </c>
      <c r="E48" s="4" t="s">
        <v>346</v>
      </c>
      <c r="F48" s="4" t="s">
        <v>254</v>
      </c>
      <c r="G48" s="4" t="s">
        <v>28</v>
      </c>
      <c r="H48" s="4" t="s">
        <v>347</v>
      </c>
      <c r="I48" s="4" t="s">
        <v>114</v>
      </c>
      <c r="J48" s="4" t="s">
        <v>106</v>
      </c>
      <c r="K48" s="4" t="s">
        <v>46</v>
      </c>
      <c r="L48" s="4" t="s">
        <v>189</v>
      </c>
      <c r="M48" s="4">
        <v>15</v>
      </c>
      <c r="N48" s="4">
        <v>700</v>
      </c>
      <c r="O48" s="57">
        <v>15</v>
      </c>
      <c r="P48" s="4">
        <v>8925</v>
      </c>
      <c r="Q48" s="4">
        <v>4</v>
      </c>
      <c r="R48" s="4" t="s">
        <v>88</v>
      </c>
      <c r="S48" s="4" t="s">
        <v>115</v>
      </c>
      <c r="T48" s="4" t="s">
        <v>348</v>
      </c>
      <c r="U48" s="6" t="s">
        <v>349</v>
      </c>
      <c r="V48" s="4" t="s">
        <v>38</v>
      </c>
    </row>
    <row r="49" spans="1:22" x14ac:dyDescent="0.5">
      <c r="A49" s="7" t="s">
        <v>350</v>
      </c>
      <c r="B49" s="8" t="s">
        <v>251</v>
      </c>
      <c r="C49" s="8" t="s">
        <v>184</v>
      </c>
      <c r="D49" s="8" t="s">
        <v>351</v>
      </c>
      <c r="E49" s="8" t="s">
        <v>352</v>
      </c>
      <c r="F49" s="8" t="s">
        <v>254</v>
      </c>
      <c r="G49" s="8" t="s">
        <v>28</v>
      </c>
      <c r="H49" s="8" t="s">
        <v>353</v>
      </c>
      <c r="I49" s="8" t="s">
        <v>212</v>
      </c>
      <c r="J49" s="8" t="s">
        <v>45</v>
      </c>
      <c r="K49" s="8" t="s">
        <v>46</v>
      </c>
      <c r="L49" s="8" t="s">
        <v>189</v>
      </c>
      <c r="M49" s="8">
        <v>19</v>
      </c>
      <c r="N49" s="8">
        <v>700</v>
      </c>
      <c r="O49" s="58">
        <v>20</v>
      </c>
      <c r="P49" s="8">
        <v>10640</v>
      </c>
      <c r="Q49" s="8">
        <v>1</v>
      </c>
      <c r="R49" s="8" t="s">
        <v>34</v>
      </c>
      <c r="S49" s="8" t="s">
        <v>115</v>
      </c>
      <c r="T49" s="8" t="s">
        <v>256</v>
      </c>
      <c r="U49" s="9" t="s">
        <v>354</v>
      </c>
      <c r="V49" s="8" t="s">
        <v>38</v>
      </c>
    </row>
    <row r="50" spans="1:22" x14ac:dyDescent="0.5">
      <c r="A50" s="3" t="s">
        <v>355</v>
      </c>
      <c r="B50" s="4" t="s">
        <v>71</v>
      </c>
      <c r="C50" s="4" t="s">
        <v>40</v>
      </c>
      <c r="D50" s="4" t="s">
        <v>356</v>
      </c>
      <c r="E50" s="4"/>
      <c r="F50" s="4" t="s">
        <v>217</v>
      </c>
      <c r="G50" s="4" t="s">
        <v>76</v>
      </c>
      <c r="H50" s="4" t="s">
        <v>357</v>
      </c>
      <c r="I50" s="4" t="s">
        <v>44</v>
      </c>
      <c r="J50" s="4" t="s">
        <v>45</v>
      </c>
      <c r="K50" s="4" t="s">
        <v>46</v>
      </c>
      <c r="L50" s="4" t="s">
        <v>47</v>
      </c>
      <c r="M50" s="4">
        <v>19</v>
      </c>
      <c r="N50" s="4">
        <v>12000</v>
      </c>
      <c r="O50" s="57">
        <v>0</v>
      </c>
      <c r="P50" s="4">
        <v>228000</v>
      </c>
      <c r="Q50" s="4">
        <v>1</v>
      </c>
      <c r="R50" s="4" t="s">
        <v>48</v>
      </c>
      <c r="S50" s="4" t="s">
        <v>61</v>
      </c>
      <c r="T50" s="4" t="s">
        <v>80</v>
      </c>
      <c r="U50" s="6" t="s">
        <v>358</v>
      </c>
      <c r="V50" s="4" t="s">
        <v>38</v>
      </c>
    </row>
    <row r="51" spans="1:22" x14ac:dyDescent="0.5">
      <c r="A51" s="7" t="s">
        <v>359</v>
      </c>
      <c r="B51" s="8" t="s">
        <v>168</v>
      </c>
      <c r="C51" s="8" t="s">
        <v>72</v>
      </c>
      <c r="D51" s="8" t="s">
        <v>356</v>
      </c>
      <c r="E51" s="8" t="s">
        <v>360</v>
      </c>
      <c r="F51" s="8" t="s">
        <v>361</v>
      </c>
      <c r="G51" s="8" t="s">
        <v>28</v>
      </c>
      <c r="H51" s="8" t="s">
        <v>362</v>
      </c>
      <c r="I51" s="8" t="s">
        <v>114</v>
      </c>
      <c r="J51" s="8" t="s">
        <v>106</v>
      </c>
      <c r="K51" s="8" t="s">
        <v>46</v>
      </c>
      <c r="L51" s="8" t="s">
        <v>78</v>
      </c>
      <c r="M51" s="8">
        <v>6</v>
      </c>
      <c r="N51" s="8">
        <v>1200</v>
      </c>
      <c r="O51" s="58">
        <v>5</v>
      </c>
      <c r="P51" s="8">
        <v>6840</v>
      </c>
      <c r="Q51" s="8">
        <v>2</v>
      </c>
      <c r="R51" s="8" t="s">
        <v>34</v>
      </c>
      <c r="S51" s="8" t="s">
        <v>35</v>
      </c>
      <c r="T51" s="8" t="s">
        <v>175</v>
      </c>
      <c r="U51" s="9" t="s">
        <v>363</v>
      </c>
      <c r="V51" s="8" t="s">
        <v>64</v>
      </c>
    </row>
    <row r="52" spans="1:22" x14ac:dyDescent="0.5">
      <c r="A52" s="3" t="s">
        <v>364</v>
      </c>
      <c r="B52" s="4" t="s">
        <v>53</v>
      </c>
      <c r="C52" s="4" t="s">
        <v>24</v>
      </c>
      <c r="D52" s="4" t="s">
        <v>365</v>
      </c>
      <c r="E52" s="4" t="s">
        <v>366</v>
      </c>
      <c r="F52" s="4" t="s">
        <v>367</v>
      </c>
      <c r="G52" s="4" t="s">
        <v>28</v>
      </c>
      <c r="H52" s="4" t="s">
        <v>368</v>
      </c>
      <c r="I52" s="4" t="s">
        <v>59</v>
      </c>
      <c r="J52" s="4" t="s">
        <v>31</v>
      </c>
      <c r="K52" s="4" t="s">
        <v>32</v>
      </c>
      <c r="L52" s="4" t="s">
        <v>33</v>
      </c>
      <c r="M52" s="4">
        <v>7</v>
      </c>
      <c r="N52" s="4">
        <v>2200</v>
      </c>
      <c r="O52" s="57">
        <v>15</v>
      </c>
      <c r="P52" s="4">
        <v>13090</v>
      </c>
      <c r="Q52" s="4">
        <v>1</v>
      </c>
      <c r="R52" s="4" t="s">
        <v>88</v>
      </c>
      <c r="S52" s="4" t="s">
        <v>61</v>
      </c>
      <c r="T52" s="4" t="s">
        <v>62</v>
      </c>
      <c r="U52" s="6" t="s">
        <v>369</v>
      </c>
      <c r="V52" s="4" t="s">
        <v>38</v>
      </c>
    </row>
    <row r="53" spans="1:22" x14ac:dyDescent="0.5">
      <c r="A53" s="7" t="s">
        <v>370</v>
      </c>
      <c r="B53" s="8" t="s">
        <v>100</v>
      </c>
      <c r="C53" s="8" t="s">
        <v>118</v>
      </c>
      <c r="D53" s="8" t="s">
        <v>371</v>
      </c>
      <c r="E53" s="8" t="s">
        <v>372</v>
      </c>
      <c r="F53" s="8" t="s">
        <v>103</v>
      </c>
      <c r="G53" s="8" t="s">
        <v>28</v>
      </c>
      <c r="H53" s="8" t="s">
        <v>373</v>
      </c>
      <c r="I53" s="8" t="s">
        <v>212</v>
      </c>
      <c r="J53" s="8" t="s">
        <v>45</v>
      </c>
      <c r="K53" s="8" t="s">
        <v>122</v>
      </c>
      <c r="L53" s="8" t="s">
        <v>123</v>
      </c>
      <c r="M53" s="8">
        <v>8</v>
      </c>
      <c r="N53" s="8">
        <v>60</v>
      </c>
      <c r="O53" s="58">
        <v>10</v>
      </c>
      <c r="P53" s="8">
        <v>432</v>
      </c>
      <c r="Q53" s="8">
        <v>5</v>
      </c>
      <c r="R53" s="8" t="s">
        <v>79</v>
      </c>
      <c r="S53" s="8" t="s">
        <v>61</v>
      </c>
      <c r="T53" s="8" t="s">
        <v>144</v>
      </c>
      <c r="U53" s="9" t="s">
        <v>374</v>
      </c>
      <c r="V53" s="8" t="s">
        <v>69</v>
      </c>
    </row>
    <row r="54" spans="1:22" x14ac:dyDescent="0.5">
      <c r="A54" s="3" t="s">
        <v>375</v>
      </c>
      <c r="B54" s="4" t="s">
        <v>221</v>
      </c>
      <c r="C54" s="4" t="s">
        <v>54</v>
      </c>
      <c r="D54" s="4" t="s">
        <v>376</v>
      </c>
      <c r="E54" s="4" t="s">
        <v>377</v>
      </c>
      <c r="F54" s="4" t="s">
        <v>225</v>
      </c>
      <c r="G54" s="4" t="s">
        <v>76</v>
      </c>
      <c r="H54" s="4" t="s">
        <v>378</v>
      </c>
      <c r="I54" s="4" t="s">
        <v>294</v>
      </c>
      <c r="J54" s="4" t="s">
        <v>295</v>
      </c>
      <c r="K54" s="4" t="s">
        <v>46</v>
      </c>
      <c r="L54" s="4" t="s">
        <v>60</v>
      </c>
      <c r="M54" s="4">
        <v>12</v>
      </c>
      <c r="N54" s="4">
        <v>55000</v>
      </c>
      <c r="O54" s="57">
        <v>5</v>
      </c>
      <c r="P54" s="4">
        <v>627000</v>
      </c>
      <c r="Q54" s="4">
        <v>2</v>
      </c>
      <c r="R54" s="4" t="s">
        <v>88</v>
      </c>
      <c r="S54" s="4" t="s">
        <v>49</v>
      </c>
      <c r="T54" s="4" t="s">
        <v>228</v>
      </c>
      <c r="U54" s="6" t="s">
        <v>379</v>
      </c>
      <c r="V54" s="4" t="s">
        <v>64</v>
      </c>
    </row>
    <row r="55" spans="1:22" x14ac:dyDescent="0.5">
      <c r="A55" s="7" t="s">
        <v>380</v>
      </c>
      <c r="B55" s="8" t="s">
        <v>23</v>
      </c>
      <c r="C55" s="8" t="s">
        <v>184</v>
      </c>
      <c r="D55" s="8" t="s">
        <v>381</v>
      </c>
      <c r="E55" s="8" t="s">
        <v>382</v>
      </c>
      <c r="F55" s="8" t="s">
        <v>27</v>
      </c>
      <c r="G55" s="8" t="s">
        <v>28</v>
      </c>
      <c r="H55" s="8" t="s">
        <v>383</v>
      </c>
      <c r="I55" s="8" t="s">
        <v>212</v>
      </c>
      <c r="J55" s="8" t="s">
        <v>45</v>
      </c>
      <c r="K55" s="8" t="s">
        <v>46</v>
      </c>
      <c r="L55" s="8" t="s">
        <v>189</v>
      </c>
      <c r="M55" s="8">
        <v>3</v>
      </c>
      <c r="N55" s="8">
        <v>700</v>
      </c>
      <c r="O55" s="58">
        <v>0</v>
      </c>
      <c r="P55" s="8">
        <v>2100</v>
      </c>
      <c r="Q55" s="8">
        <v>3</v>
      </c>
      <c r="R55" s="8" t="s">
        <v>79</v>
      </c>
      <c r="S55" s="8" t="s">
        <v>151</v>
      </c>
      <c r="T55" s="8" t="s">
        <v>50</v>
      </c>
      <c r="U55" s="9" t="s">
        <v>384</v>
      </c>
      <c r="V55" s="8" t="s">
        <v>69</v>
      </c>
    </row>
    <row r="56" spans="1:22" x14ac:dyDescent="0.5">
      <c r="A56" s="3" t="s">
        <v>385</v>
      </c>
      <c r="B56" s="4" t="s">
        <v>127</v>
      </c>
      <c r="C56" s="4" t="s">
        <v>118</v>
      </c>
      <c r="D56" s="4" t="s">
        <v>386</v>
      </c>
      <c r="E56" s="4" t="s">
        <v>387</v>
      </c>
      <c r="F56" s="4" t="s">
        <v>388</v>
      </c>
      <c r="G56" s="4" t="s">
        <v>76</v>
      </c>
      <c r="H56" s="4" t="s">
        <v>389</v>
      </c>
      <c r="I56" s="4" t="s">
        <v>138</v>
      </c>
      <c r="J56" s="4" t="s">
        <v>106</v>
      </c>
      <c r="K56" s="4" t="s">
        <v>122</v>
      </c>
      <c r="L56" s="4" t="s">
        <v>123</v>
      </c>
      <c r="M56" s="4">
        <v>19</v>
      </c>
      <c r="N56" s="4">
        <v>60</v>
      </c>
      <c r="O56" s="57">
        <v>15</v>
      </c>
      <c r="P56" s="4">
        <v>969</v>
      </c>
      <c r="Q56" s="4">
        <v>4</v>
      </c>
      <c r="R56" s="4" t="s">
        <v>79</v>
      </c>
      <c r="S56" s="4" t="s">
        <v>49</v>
      </c>
      <c r="T56" s="4" t="s">
        <v>132</v>
      </c>
      <c r="U56" s="6" t="s">
        <v>390</v>
      </c>
      <c r="V56" s="4" t="s">
        <v>69</v>
      </c>
    </row>
    <row r="57" spans="1:22" x14ac:dyDescent="0.5">
      <c r="A57" s="7" t="s">
        <v>391</v>
      </c>
      <c r="B57" s="8" t="s">
        <v>327</v>
      </c>
      <c r="C57" s="8" t="s">
        <v>118</v>
      </c>
      <c r="D57" s="8" t="s">
        <v>392</v>
      </c>
      <c r="E57" s="8" t="s">
        <v>393</v>
      </c>
      <c r="F57" s="8" t="s">
        <v>394</v>
      </c>
      <c r="G57" s="8" t="s">
        <v>76</v>
      </c>
      <c r="H57" s="8" t="s">
        <v>395</v>
      </c>
      <c r="I57" s="8" t="s">
        <v>212</v>
      </c>
      <c r="J57" s="8" t="s">
        <v>45</v>
      </c>
      <c r="K57" s="8" t="s">
        <v>122</v>
      </c>
      <c r="L57" s="8" t="s">
        <v>123</v>
      </c>
      <c r="M57" s="8">
        <v>9</v>
      </c>
      <c r="N57" s="8">
        <v>60</v>
      </c>
      <c r="O57" s="58">
        <v>20</v>
      </c>
      <c r="P57" s="8">
        <v>432</v>
      </c>
      <c r="Q57" s="8">
        <v>1</v>
      </c>
      <c r="R57" s="8" t="s">
        <v>48</v>
      </c>
      <c r="S57" s="8" t="s">
        <v>115</v>
      </c>
      <c r="T57" s="8" t="s">
        <v>332</v>
      </c>
      <c r="U57" s="9" t="s">
        <v>396</v>
      </c>
      <c r="V57" s="8" t="s">
        <v>64</v>
      </c>
    </row>
    <row r="58" spans="1:22" x14ac:dyDescent="0.5">
      <c r="A58" s="3" t="s">
        <v>397</v>
      </c>
      <c r="B58" s="4" t="s">
        <v>327</v>
      </c>
      <c r="C58" s="4" t="s">
        <v>184</v>
      </c>
      <c r="D58" s="4" t="s">
        <v>398</v>
      </c>
      <c r="E58" s="4" t="s">
        <v>399</v>
      </c>
      <c r="F58" s="4" t="s">
        <v>394</v>
      </c>
      <c r="G58" s="4" t="s">
        <v>76</v>
      </c>
      <c r="H58" s="4" t="s">
        <v>400</v>
      </c>
      <c r="I58" s="4" t="s">
        <v>59</v>
      </c>
      <c r="J58" s="4" t="s">
        <v>31</v>
      </c>
      <c r="K58" s="4" t="s">
        <v>46</v>
      </c>
      <c r="L58" s="4" t="s">
        <v>189</v>
      </c>
      <c r="M58" s="4">
        <v>6</v>
      </c>
      <c r="N58" s="4">
        <v>700</v>
      </c>
      <c r="O58" s="57">
        <v>0</v>
      </c>
      <c r="P58" s="4">
        <v>4200</v>
      </c>
      <c r="Q58" s="4">
        <v>4</v>
      </c>
      <c r="R58" s="4" t="s">
        <v>88</v>
      </c>
      <c r="S58" s="4" t="s">
        <v>49</v>
      </c>
      <c r="T58" s="4" t="s">
        <v>401</v>
      </c>
      <c r="U58" s="6" t="s">
        <v>402</v>
      </c>
      <c r="V58" s="4" t="s">
        <v>69</v>
      </c>
    </row>
    <row r="59" spans="1:22" x14ac:dyDescent="0.5">
      <c r="A59" s="7" t="s">
        <v>403</v>
      </c>
      <c r="B59" s="8" t="s">
        <v>127</v>
      </c>
      <c r="C59" s="8" t="s">
        <v>259</v>
      </c>
      <c r="D59" s="8" t="s">
        <v>241</v>
      </c>
      <c r="E59" s="8" t="s">
        <v>404</v>
      </c>
      <c r="F59" s="8" t="s">
        <v>200</v>
      </c>
      <c r="G59" s="8" t="s">
        <v>76</v>
      </c>
      <c r="H59" s="8" t="s">
        <v>405</v>
      </c>
      <c r="I59" s="8" t="s">
        <v>44</v>
      </c>
      <c r="J59" s="8" t="s">
        <v>45</v>
      </c>
      <c r="K59" s="8" t="s">
        <v>122</v>
      </c>
      <c r="L59" s="8" t="s">
        <v>263</v>
      </c>
      <c r="M59" s="8">
        <v>18</v>
      </c>
      <c r="N59" s="8">
        <v>45</v>
      </c>
      <c r="O59" s="58">
        <v>5</v>
      </c>
      <c r="P59" s="8">
        <v>769.5</v>
      </c>
      <c r="Q59" s="8">
        <v>1</v>
      </c>
      <c r="R59" s="8" t="s">
        <v>79</v>
      </c>
      <c r="S59" s="8" t="s">
        <v>61</v>
      </c>
      <c r="T59" s="8" t="s">
        <v>132</v>
      </c>
      <c r="U59" s="9" t="s">
        <v>406</v>
      </c>
      <c r="V59" s="8" t="s">
        <v>64</v>
      </c>
    </row>
    <row r="60" spans="1:22" x14ac:dyDescent="0.5">
      <c r="A60" s="3" t="s">
        <v>407</v>
      </c>
      <c r="B60" s="4" t="s">
        <v>83</v>
      </c>
      <c r="C60" s="4" t="s">
        <v>222</v>
      </c>
      <c r="D60" s="4" t="s">
        <v>408</v>
      </c>
      <c r="E60" s="4" t="s">
        <v>261</v>
      </c>
      <c r="F60" s="4" t="s">
        <v>180</v>
      </c>
      <c r="G60" s="4" t="s">
        <v>76</v>
      </c>
      <c r="H60" s="4" t="s">
        <v>409</v>
      </c>
      <c r="I60" s="4" t="s">
        <v>212</v>
      </c>
      <c r="J60" s="4" t="s">
        <v>45</v>
      </c>
      <c r="K60" s="4" t="s">
        <v>122</v>
      </c>
      <c r="L60" s="4" t="s">
        <v>227</v>
      </c>
      <c r="M60" s="4">
        <v>8</v>
      </c>
      <c r="N60" s="4">
        <v>20</v>
      </c>
      <c r="O60" s="57">
        <v>5</v>
      </c>
      <c r="P60" s="4">
        <v>152</v>
      </c>
      <c r="Q60" s="4">
        <v>1</v>
      </c>
      <c r="R60" s="4" t="s">
        <v>79</v>
      </c>
      <c r="S60" s="4" t="s">
        <v>35</v>
      </c>
      <c r="T60" s="4" t="s">
        <v>89</v>
      </c>
      <c r="U60" s="6" t="s">
        <v>410</v>
      </c>
      <c r="V60" s="4" t="s">
        <v>411</v>
      </c>
    </row>
    <row r="61" spans="1:22" x14ac:dyDescent="0.5">
      <c r="A61" s="7" t="s">
        <v>412</v>
      </c>
      <c r="B61" s="8" t="s">
        <v>221</v>
      </c>
      <c r="C61" s="8" t="s">
        <v>184</v>
      </c>
      <c r="D61" s="8" t="s">
        <v>413</v>
      </c>
      <c r="E61" s="8" t="s">
        <v>414</v>
      </c>
      <c r="F61" s="8" t="s">
        <v>225</v>
      </c>
      <c r="G61" s="8" t="s">
        <v>76</v>
      </c>
      <c r="H61" s="8" t="s">
        <v>415</v>
      </c>
      <c r="I61" s="8" t="s">
        <v>212</v>
      </c>
      <c r="J61" s="8" t="s">
        <v>45</v>
      </c>
      <c r="K61" s="8" t="s">
        <v>46</v>
      </c>
      <c r="L61" s="8" t="s">
        <v>189</v>
      </c>
      <c r="M61" s="8">
        <v>8</v>
      </c>
      <c r="N61" s="8">
        <v>700</v>
      </c>
      <c r="O61" s="58">
        <v>10</v>
      </c>
      <c r="P61" s="8">
        <v>5040</v>
      </c>
      <c r="Q61" s="8">
        <v>1</v>
      </c>
      <c r="R61" s="8" t="s">
        <v>48</v>
      </c>
      <c r="S61" s="8" t="s">
        <v>61</v>
      </c>
      <c r="T61" s="10" t="s">
        <v>416</v>
      </c>
      <c r="U61" s="9" t="s">
        <v>417</v>
      </c>
      <c r="V61" s="8" t="s">
        <v>69</v>
      </c>
    </row>
    <row r="62" spans="1:22" x14ac:dyDescent="0.5">
      <c r="A62" s="3" t="s">
        <v>418</v>
      </c>
      <c r="B62" s="4" t="s">
        <v>23</v>
      </c>
      <c r="C62" s="4" t="s">
        <v>222</v>
      </c>
      <c r="D62" s="4" t="s">
        <v>223</v>
      </c>
      <c r="E62" s="4" t="s">
        <v>356</v>
      </c>
      <c r="F62" s="4" t="s">
        <v>27</v>
      </c>
      <c r="G62" s="4" t="s">
        <v>28</v>
      </c>
      <c r="H62" s="4" t="s">
        <v>419</v>
      </c>
      <c r="I62" s="4" t="s">
        <v>44</v>
      </c>
      <c r="J62" s="4" t="s">
        <v>45</v>
      </c>
      <c r="K62" s="4" t="s">
        <v>122</v>
      </c>
      <c r="L62" s="4" t="s">
        <v>227</v>
      </c>
      <c r="M62" s="4">
        <v>7</v>
      </c>
      <c r="N62" s="4">
        <v>20</v>
      </c>
      <c r="O62" s="57">
        <v>15</v>
      </c>
      <c r="P62" s="4">
        <v>119</v>
      </c>
      <c r="Q62" s="4">
        <v>5</v>
      </c>
      <c r="R62" s="4" t="s">
        <v>79</v>
      </c>
      <c r="S62" s="4" t="s">
        <v>49</v>
      </c>
      <c r="T62" s="4" t="s">
        <v>50</v>
      </c>
      <c r="U62" s="6" t="s">
        <v>420</v>
      </c>
      <c r="V62" s="4" t="s">
        <v>38</v>
      </c>
    </row>
    <row r="63" spans="1:22" x14ac:dyDescent="0.5">
      <c r="A63" s="7" t="s">
        <v>421</v>
      </c>
      <c r="B63" s="8" t="s">
        <v>100</v>
      </c>
      <c r="C63" s="8" t="s">
        <v>222</v>
      </c>
      <c r="D63" s="8" t="s">
        <v>422</v>
      </c>
      <c r="E63" s="8" t="s">
        <v>371</v>
      </c>
      <c r="F63" s="8" t="s">
        <v>103</v>
      </c>
      <c r="G63" s="8" t="s">
        <v>28</v>
      </c>
      <c r="H63" s="8" t="s">
        <v>423</v>
      </c>
      <c r="I63" s="8" t="s">
        <v>114</v>
      </c>
      <c r="J63" s="8" t="s">
        <v>106</v>
      </c>
      <c r="K63" s="8" t="s">
        <v>122</v>
      </c>
      <c r="L63" s="8" t="s">
        <v>227</v>
      </c>
      <c r="M63" s="8">
        <v>16</v>
      </c>
      <c r="N63" s="8">
        <v>20</v>
      </c>
      <c r="O63" s="58">
        <v>0</v>
      </c>
      <c r="P63" s="8">
        <v>320</v>
      </c>
      <c r="Q63" s="8">
        <v>5</v>
      </c>
      <c r="R63" s="8" t="s">
        <v>48</v>
      </c>
      <c r="S63" s="8" t="s">
        <v>61</v>
      </c>
      <c r="T63" s="8" t="s">
        <v>144</v>
      </c>
      <c r="U63" s="9" t="s">
        <v>424</v>
      </c>
      <c r="V63" s="8" t="s">
        <v>64</v>
      </c>
    </row>
    <row r="64" spans="1:22" x14ac:dyDescent="0.5">
      <c r="A64" s="3" t="s">
        <v>425</v>
      </c>
      <c r="B64" s="4" t="s">
        <v>53</v>
      </c>
      <c r="C64" s="4" t="s">
        <v>259</v>
      </c>
      <c r="D64" s="4" t="s">
        <v>426</v>
      </c>
      <c r="E64" s="4" t="s">
        <v>427</v>
      </c>
      <c r="F64" s="4" t="s">
        <v>163</v>
      </c>
      <c r="G64" s="4" t="s">
        <v>28</v>
      </c>
      <c r="H64" s="4" t="s">
        <v>428</v>
      </c>
      <c r="I64" s="4" t="s">
        <v>105</v>
      </c>
      <c r="J64" s="4" t="s">
        <v>106</v>
      </c>
      <c r="K64" s="4" t="s">
        <v>122</v>
      </c>
      <c r="L64" s="4" t="s">
        <v>263</v>
      </c>
      <c r="M64" s="4">
        <v>15</v>
      </c>
      <c r="N64" s="4">
        <v>45</v>
      </c>
      <c r="O64" s="57">
        <v>0</v>
      </c>
      <c r="P64" s="4">
        <v>675</v>
      </c>
      <c r="Q64" s="4">
        <v>4</v>
      </c>
      <c r="R64" s="4" t="s">
        <v>34</v>
      </c>
      <c r="S64" s="4" t="s">
        <v>61</v>
      </c>
      <c r="T64" s="4" t="s">
        <v>62</v>
      </c>
      <c r="U64" s="6" t="s">
        <v>429</v>
      </c>
      <c r="V64" s="4" t="s">
        <v>69</v>
      </c>
    </row>
    <row r="65" spans="1:22" x14ac:dyDescent="0.5">
      <c r="A65" s="7" t="s">
        <v>430</v>
      </c>
      <c r="B65" s="8" t="s">
        <v>251</v>
      </c>
      <c r="C65" s="8" t="s">
        <v>184</v>
      </c>
      <c r="D65" s="8" t="s">
        <v>431</v>
      </c>
      <c r="E65" s="8" t="s">
        <v>413</v>
      </c>
      <c r="F65" s="8" t="s">
        <v>254</v>
      </c>
      <c r="G65" s="8" t="s">
        <v>28</v>
      </c>
      <c r="H65" s="8" t="s">
        <v>432</v>
      </c>
      <c r="I65" s="8" t="s">
        <v>138</v>
      </c>
      <c r="J65" s="8" t="s">
        <v>106</v>
      </c>
      <c r="K65" s="8" t="s">
        <v>46</v>
      </c>
      <c r="L65" s="8" t="s">
        <v>189</v>
      </c>
      <c r="M65" s="8">
        <v>15</v>
      </c>
      <c r="N65" s="8">
        <v>700</v>
      </c>
      <c r="O65" s="58">
        <v>10</v>
      </c>
      <c r="P65" s="8">
        <v>9450</v>
      </c>
      <c r="Q65" s="8">
        <v>3</v>
      </c>
      <c r="R65" s="8" t="s">
        <v>48</v>
      </c>
      <c r="S65" s="8" t="s">
        <v>151</v>
      </c>
      <c r="T65" s="8" t="s">
        <v>256</v>
      </c>
      <c r="U65" s="9" t="s">
        <v>433</v>
      </c>
      <c r="V65" s="8" t="s">
        <v>38</v>
      </c>
    </row>
    <row r="66" spans="1:22" x14ac:dyDescent="0.5">
      <c r="A66" s="3" t="s">
        <v>434</v>
      </c>
      <c r="B66" s="4" t="s">
        <v>53</v>
      </c>
      <c r="C66" s="4" t="s">
        <v>259</v>
      </c>
      <c r="D66" s="4" t="s">
        <v>435</v>
      </c>
      <c r="E66" s="4" t="s">
        <v>436</v>
      </c>
      <c r="F66" s="4" t="s">
        <v>163</v>
      </c>
      <c r="G66" s="4" t="s">
        <v>28</v>
      </c>
      <c r="H66" s="4" t="s">
        <v>437</v>
      </c>
      <c r="I66" s="4" t="s">
        <v>294</v>
      </c>
      <c r="J66" s="4" t="s">
        <v>295</v>
      </c>
      <c r="K66" s="4" t="s">
        <v>122</v>
      </c>
      <c r="L66" s="4" t="s">
        <v>263</v>
      </c>
      <c r="M66" s="4">
        <v>3</v>
      </c>
      <c r="N66" s="4">
        <v>45</v>
      </c>
      <c r="O66" s="57">
        <v>15</v>
      </c>
      <c r="P66" s="4">
        <v>114.75</v>
      </c>
      <c r="Q66" s="4">
        <v>2</v>
      </c>
      <c r="R66" s="4" t="s">
        <v>88</v>
      </c>
      <c r="S66" s="4" t="s">
        <v>115</v>
      </c>
      <c r="T66" s="4" t="s">
        <v>62</v>
      </c>
      <c r="U66" s="6" t="s">
        <v>438</v>
      </c>
      <c r="V66" s="4" t="s">
        <v>64</v>
      </c>
    </row>
    <row r="67" spans="1:22" x14ac:dyDescent="0.5">
      <c r="A67" s="7" t="s">
        <v>439</v>
      </c>
      <c r="B67" s="8" t="s">
        <v>100</v>
      </c>
      <c r="C67" s="8" t="s">
        <v>24</v>
      </c>
      <c r="D67" s="8" t="s">
        <v>440</v>
      </c>
      <c r="E67" s="8" t="s">
        <v>441</v>
      </c>
      <c r="F67" s="8" t="s">
        <v>103</v>
      </c>
      <c r="G67" s="8" t="s">
        <v>28</v>
      </c>
      <c r="H67" s="8" t="s">
        <v>442</v>
      </c>
      <c r="I67" s="8" t="s">
        <v>294</v>
      </c>
      <c r="J67" s="8" t="s">
        <v>295</v>
      </c>
      <c r="K67" s="8" t="s">
        <v>32</v>
      </c>
      <c r="L67" s="8" t="s">
        <v>33</v>
      </c>
      <c r="M67" s="8">
        <v>7</v>
      </c>
      <c r="N67" s="8">
        <v>2200</v>
      </c>
      <c r="O67" s="58">
        <v>15</v>
      </c>
      <c r="P67" s="8">
        <v>13090</v>
      </c>
      <c r="Q67" s="8">
        <v>5</v>
      </c>
      <c r="R67" s="8" t="s">
        <v>88</v>
      </c>
      <c r="S67" s="8" t="s">
        <v>115</v>
      </c>
      <c r="T67" s="8" t="s">
        <v>144</v>
      </c>
      <c r="U67" s="9" t="s">
        <v>443</v>
      </c>
      <c r="V67" s="8" t="s">
        <v>38</v>
      </c>
    </row>
    <row r="68" spans="1:22" x14ac:dyDescent="0.5">
      <c r="A68" s="3" t="s">
        <v>444</v>
      </c>
      <c r="B68" s="4" t="s">
        <v>23</v>
      </c>
      <c r="C68" s="4" t="s">
        <v>259</v>
      </c>
      <c r="D68" s="4" t="s">
        <v>445</v>
      </c>
      <c r="E68" s="4" t="s">
        <v>446</v>
      </c>
      <c r="F68" s="4" t="s">
        <v>27</v>
      </c>
      <c r="G68" s="4" t="s">
        <v>28</v>
      </c>
      <c r="H68" s="4" t="s">
        <v>447</v>
      </c>
      <c r="I68" s="4" t="s">
        <v>44</v>
      </c>
      <c r="J68" s="4" t="s">
        <v>45</v>
      </c>
      <c r="K68" s="4" t="s">
        <v>122</v>
      </c>
      <c r="L68" s="4" t="s">
        <v>263</v>
      </c>
      <c r="M68" s="4">
        <v>19</v>
      </c>
      <c r="N68" s="4">
        <v>45</v>
      </c>
      <c r="O68" s="57">
        <v>10</v>
      </c>
      <c r="P68" s="4">
        <v>769.5</v>
      </c>
      <c r="Q68" s="4">
        <v>5</v>
      </c>
      <c r="R68" s="4" t="s">
        <v>79</v>
      </c>
      <c r="S68" s="4" t="s">
        <v>115</v>
      </c>
      <c r="T68" s="4" t="s">
        <v>50</v>
      </c>
      <c r="U68" s="6" t="s">
        <v>448</v>
      </c>
      <c r="V68" s="4" t="s">
        <v>69</v>
      </c>
    </row>
    <row r="69" spans="1:22" x14ac:dyDescent="0.5">
      <c r="A69" s="7" t="s">
        <v>449</v>
      </c>
      <c r="B69" s="8" t="s">
        <v>251</v>
      </c>
      <c r="C69" s="8" t="s">
        <v>92</v>
      </c>
      <c r="D69" s="8" t="s">
        <v>450</v>
      </c>
      <c r="E69" s="8" t="s">
        <v>323</v>
      </c>
      <c r="F69" s="8" t="s">
        <v>254</v>
      </c>
      <c r="G69" s="8" t="s">
        <v>28</v>
      </c>
      <c r="H69" s="8" t="s">
        <v>451</v>
      </c>
      <c r="I69" s="8" t="s">
        <v>30</v>
      </c>
      <c r="J69" s="8" t="s">
        <v>31</v>
      </c>
      <c r="K69" s="8" t="s">
        <v>32</v>
      </c>
      <c r="L69" s="8" t="s">
        <v>97</v>
      </c>
      <c r="M69" s="8">
        <v>7</v>
      </c>
      <c r="N69" s="8">
        <v>3500</v>
      </c>
      <c r="O69" s="58">
        <v>15</v>
      </c>
      <c r="P69" s="8">
        <v>20825</v>
      </c>
      <c r="Q69" s="8">
        <v>1</v>
      </c>
      <c r="R69" s="8" t="s">
        <v>34</v>
      </c>
      <c r="S69" s="8" t="s">
        <v>151</v>
      </c>
      <c r="T69" s="8" t="s">
        <v>256</v>
      </c>
      <c r="U69" s="9" t="s">
        <v>452</v>
      </c>
      <c r="V69" s="8" t="s">
        <v>64</v>
      </c>
    </row>
    <row r="70" spans="1:22" x14ac:dyDescent="0.5">
      <c r="A70" s="3" t="s">
        <v>453</v>
      </c>
      <c r="B70" s="4" t="s">
        <v>53</v>
      </c>
      <c r="C70" s="4" t="s">
        <v>169</v>
      </c>
      <c r="D70" s="4" t="s">
        <v>454</v>
      </c>
      <c r="E70" s="4" t="s">
        <v>455</v>
      </c>
      <c r="F70" s="4" t="s">
        <v>163</v>
      </c>
      <c r="G70" s="4" t="s">
        <v>28</v>
      </c>
      <c r="H70" s="4" t="s">
        <v>456</v>
      </c>
      <c r="I70" s="4" t="s">
        <v>212</v>
      </c>
      <c r="J70" s="4" t="s">
        <v>45</v>
      </c>
      <c r="K70" s="4" t="s">
        <v>32</v>
      </c>
      <c r="L70" s="4" t="s">
        <v>174</v>
      </c>
      <c r="M70" s="4">
        <v>7</v>
      </c>
      <c r="N70" s="4">
        <v>8500</v>
      </c>
      <c r="O70" s="57">
        <v>20</v>
      </c>
      <c r="P70" s="4">
        <v>47600</v>
      </c>
      <c r="Q70" s="4">
        <v>4</v>
      </c>
      <c r="R70" s="4" t="s">
        <v>48</v>
      </c>
      <c r="S70" s="4" t="s">
        <v>115</v>
      </c>
      <c r="T70" s="4" t="s">
        <v>62</v>
      </c>
      <c r="U70" s="6" t="s">
        <v>457</v>
      </c>
      <c r="V70" s="4" t="s">
        <v>38</v>
      </c>
    </row>
    <row r="71" spans="1:22" x14ac:dyDescent="0.5">
      <c r="A71" s="7" t="s">
        <v>458</v>
      </c>
      <c r="B71" s="8" t="s">
        <v>23</v>
      </c>
      <c r="C71" s="8" t="s">
        <v>54</v>
      </c>
      <c r="D71" s="8" t="s">
        <v>366</v>
      </c>
      <c r="E71" s="8" t="s">
        <v>459</v>
      </c>
      <c r="F71" s="8" t="s">
        <v>27</v>
      </c>
      <c r="G71" s="8" t="s">
        <v>28</v>
      </c>
      <c r="H71" s="8" t="s">
        <v>460</v>
      </c>
      <c r="I71" s="8" t="s">
        <v>59</v>
      </c>
      <c r="J71" s="8" t="s">
        <v>31</v>
      </c>
      <c r="K71" s="8" t="s">
        <v>46</v>
      </c>
      <c r="L71" s="8" t="s">
        <v>60</v>
      </c>
      <c r="M71" s="8">
        <v>16</v>
      </c>
      <c r="N71" s="8">
        <v>55000</v>
      </c>
      <c r="O71" s="58">
        <v>10</v>
      </c>
      <c r="P71" s="8">
        <v>792000</v>
      </c>
      <c r="Q71" s="8">
        <v>1</v>
      </c>
      <c r="R71" s="8" t="s">
        <v>79</v>
      </c>
      <c r="S71" s="8" t="s">
        <v>61</v>
      </c>
      <c r="T71" s="8" t="s">
        <v>50</v>
      </c>
      <c r="U71" s="9" t="s">
        <v>461</v>
      </c>
      <c r="V71" s="8" t="s">
        <v>38</v>
      </c>
    </row>
    <row r="72" spans="1:22" x14ac:dyDescent="0.5">
      <c r="A72" s="3" t="s">
        <v>462</v>
      </c>
      <c r="B72" s="4" t="s">
        <v>168</v>
      </c>
      <c r="C72" s="4" t="s">
        <v>40</v>
      </c>
      <c r="D72" s="4" t="s">
        <v>463</v>
      </c>
      <c r="E72" s="4" t="s">
        <v>464</v>
      </c>
      <c r="F72" s="4" t="s">
        <v>361</v>
      </c>
      <c r="G72" s="4" t="s">
        <v>28</v>
      </c>
      <c r="H72" s="4" t="s">
        <v>465</v>
      </c>
      <c r="I72" s="4" t="s">
        <v>105</v>
      </c>
      <c r="J72" s="4" t="s">
        <v>106</v>
      </c>
      <c r="K72" s="4" t="s">
        <v>46</v>
      </c>
      <c r="L72" s="4" t="s">
        <v>47</v>
      </c>
      <c r="M72" s="4">
        <v>2</v>
      </c>
      <c r="N72" s="4">
        <v>12000</v>
      </c>
      <c r="O72" s="57">
        <v>20</v>
      </c>
      <c r="P72" s="4">
        <v>19200</v>
      </c>
      <c r="Q72" s="4">
        <v>1</v>
      </c>
      <c r="R72" s="4" t="s">
        <v>34</v>
      </c>
      <c r="S72" s="4" t="s">
        <v>151</v>
      </c>
      <c r="T72" s="5" t="s">
        <v>466</v>
      </c>
      <c r="U72" s="6" t="s">
        <v>467</v>
      </c>
      <c r="V72" s="4" t="s">
        <v>64</v>
      </c>
    </row>
    <row r="73" spans="1:22" x14ac:dyDescent="0.5">
      <c r="A73" s="7" t="s">
        <v>468</v>
      </c>
      <c r="B73" s="8" t="s">
        <v>127</v>
      </c>
      <c r="C73" s="8" t="s">
        <v>259</v>
      </c>
      <c r="D73" s="8" t="s">
        <v>469</v>
      </c>
      <c r="E73" s="8" t="s">
        <v>446</v>
      </c>
      <c r="F73" s="8" t="s">
        <v>200</v>
      </c>
      <c r="G73" s="8" t="s">
        <v>76</v>
      </c>
      <c r="H73" s="8" t="s">
        <v>470</v>
      </c>
      <c r="I73" s="8" t="s">
        <v>59</v>
      </c>
      <c r="J73" s="8" t="s">
        <v>31</v>
      </c>
      <c r="K73" s="8" t="s">
        <v>122</v>
      </c>
      <c r="L73" s="8" t="s">
        <v>263</v>
      </c>
      <c r="M73" s="8">
        <v>4</v>
      </c>
      <c r="N73" s="8">
        <v>45</v>
      </c>
      <c r="O73" s="58">
        <v>5</v>
      </c>
      <c r="P73" s="8">
        <v>171</v>
      </c>
      <c r="Q73" s="8">
        <v>1</v>
      </c>
      <c r="R73" s="8" t="s">
        <v>79</v>
      </c>
      <c r="S73" s="8" t="s">
        <v>49</v>
      </c>
      <c r="T73" s="8" t="s">
        <v>132</v>
      </c>
      <c r="U73" s="9" t="s">
        <v>471</v>
      </c>
      <c r="V73" s="8" t="s">
        <v>64</v>
      </c>
    </row>
    <row r="74" spans="1:22" x14ac:dyDescent="0.5">
      <c r="A74" s="3" t="s">
        <v>472</v>
      </c>
      <c r="B74" s="4" t="s">
        <v>23</v>
      </c>
      <c r="C74" s="4" t="s">
        <v>72</v>
      </c>
      <c r="D74" s="4" t="s">
        <v>473</v>
      </c>
      <c r="E74" s="4" t="s">
        <v>474</v>
      </c>
      <c r="F74" s="4" t="s">
        <v>27</v>
      </c>
      <c r="G74" s="4" t="s">
        <v>28</v>
      </c>
      <c r="H74" s="4" t="s">
        <v>475</v>
      </c>
      <c r="I74" s="4" t="s">
        <v>212</v>
      </c>
      <c r="J74" s="4" t="s">
        <v>45</v>
      </c>
      <c r="K74" s="4" t="s">
        <v>46</v>
      </c>
      <c r="L74" s="4" t="s">
        <v>78</v>
      </c>
      <c r="M74" s="4">
        <v>1</v>
      </c>
      <c r="N74" s="4">
        <v>1200</v>
      </c>
      <c r="O74" s="57">
        <v>5</v>
      </c>
      <c r="P74" s="4">
        <v>1140</v>
      </c>
      <c r="Q74" s="4">
        <v>3</v>
      </c>
      <c r="R74" s="4" t="s">
        <v>88</v>
      </c>
      <c r="S74" s="4" t="s">
        <v>61</v>
      </c>
      <c r="T74" s="4" t="s">
        <v>50</v>
      </c>
      <c r="U74" s="6" t="s">
        <v>476</v>
      </c>
      <c r="V74" s="4" t="s">
        <v>69</v>
      </c>
    </row>
    <row r="75" spans="1:22" x14ac:dyDescent="0.5">
      <c r="A75" s="7" t="s">
        <v>477</v>
      </c>
      <c r="B75" s="8" t="s">
        <v>53</v>
      </c>
      <c r="C75" s="8" t="s">
        <v>24</v>
      </c>
      <c r="D75" s="8" t="s">
        <v>478</v>
      </c>
      <c r="E75" s="8" t="s">
        <v>479</v>
      </c>
      <c r="F75" s="8" t="s">
        <v>163</v>
      </c>
      <c r="G75" s="8" t="s">
        <v>28</v>
      </c>
      <c r="H75" s="8" t="s">
        <v>480</v>
      </c>
      <c r="I75" s="8"/>
      <c r="J75" s="8" t="s">
        <v>31</v>
      </c>
      <c r="K75" s="8" t="s">
        <v>32</v>
      </c>
      <c r="L75" s="8" t="s">
        <v>33</v>
      </c>
      <c r="M75" s="8">
        <v>1</v>
      </c>
      <c r="N75" s="8">
        <v>2200</v>
      </c>
      <c r="O75" s="58">
        <v>15</v>
      </c>
      <c r="P75" s="8">
        <v>1870</v>
      </c>
      <c r="Q75" s="8">
        <v>4</v>
      </c>
      <c r="R75" s="8" t="s">
        <v>79</v>
      </c>
      <c r="S75" s="8" t="s">
        <v>61</v>
      </c>
      <c r="T75" s="8" t="s">
        <v>62</v>
      </c>
      <c r="U75" s="9" t="s">
        <v>481</v>
      </c>
      <c r="V75" s="8" t="s">
        <v>38</v>
      </c>
    </row>
    <row r="76" spans="1:22" x14ac:dyDescent="0.5">
      <c r="A76" s="3" t="s">
        <v>482</v>
      </c>
      <c r="B76" s="4" t="s">
        <v>127</v>
      </c>
      <c r="C76" s="4" t="s">
        <v>72</v>
      </c>
      <c r="D76" s="4" t="s">
        <v>483</v>
      </c>
      <c r="E76" s="4" t="s">
        <v>484</v>
      </c>
      <c r="F76" s="4" t="s">
        <v>200</v>
      </c>
      <c r="G76" s="4" t="s">
        <v>76</v>
      </c>
      <c r="H76" s="4" t="s">
        <v>485</v>
      </c>
      <c r="I76" s="4" t="s">
        <v>114</v>
      </c>
      <c r="J76" s="4" t="s">
        <v>106</v>
      </c>
      <c r="K76" s="4" t="s">
        <v>46</v>
      </c>
      <c r="L76" s="4" t="s">
        <v>78</v>
      </c>
      <c r="M76" s="4">
        <v>3</v>
      </c>
      <c r="N76" s="4">
        <v>1200</v>
      </c>
      <c r="O76" s="57">
        <v>10</v>
      </c>
      <c r="P76" s="4">
        <v>3240</v>
      </c>
      <c r="Q76" s="4">
        <v>5</v>
      </c>
      <c r="R76" s="4" t="s">
        <v>34</v>
      </c>
      <c r="S76" s="4" t="s">
        <v>49</v>
      </c>
      <c r="T76" s="4" t="s">
        <v>132</v>
      </c>
      <c r="U76" s="6" t="s">
        <v>486</v>
      </c>
      <c r="V76" s="4" t="s">
        <v>38</v>
      </c>
    </row>
    <row r="77" spans="1:22" x14ac:dyDescent="0.5">
      <c r="A77" s="7" t="s">
        <v>487</v>
      </c>
      <c r="B77" s="8" t="s">
        <v>23</v>
      </c>
      <c r="C77" s="8" t="s">
        <v>92</v>
      </c>
      <c r="D77" s="8" t="s">
        <v>488</v>
      </c>
      <c r="E77" s="8" t="s">
        <v>489</v>
      </c>
      <c r="F77" s="8" t="s">
        <v>27</v>
      </c>
      <c r="G77" s="8" t="s">
        <v>28</v>
      </c>
      <c r="H77" s="8" t="s">
        <v>490</v>
      </c>
      <c r="I77" s="8" t="s">
        <v>59</v>
      </c>
      <c r="J77" s="8" t="s">
        <v>31</v>
      </c>
      <c r="K77" s="8" t="s">
        <v>32</v>
      </c>
      <c r="L77" s="8" t="s">
        <v>97</v>
      </c>
      <c r="M77" s="8">
        <v>10</v>
      </c>
      <c r="N77" s="8">
        <v>3500</v>
      </c>
      <c r="O77" s="58">
        <v>20</v>
      </c>
      <c r="P77" s="8">
        <v>28000</v>
      </c>
      <c r="Q77" s="8">
        <v>5</v>
      </c>
      <c r="R77" s="8" t="s">
        <v>79</v>
      </c>
      <c r="S77" s="8" t="s">
        <v>35</v>
      </c>
      <c r="T77" s="8" t="s">
        <v>50</v>
      </c>
      <c r="U77" s="9" t="s">
        <v>491</v>
      </c>
      <c r="V77" s="8" t="s">
        <v>38</v>
      </c>
    </row>
    <row r="78" spans="1:22" x14ac:dyDescent="0.5">
      <c r="A78" s="3" t="s">
        <v>492</v>
      </c>
      <c r="B78" s="4" t="s">
        <v>83</v>
      </c>
      <c r="C78" s="4" t="s">
        <v>184</v>
      </c>
      <c r="D78" s="4" t="s">
        <v>493</v>
      </c>
      <c r="E78" s="4" t="s">
        <v>404</v>
      </c>
      <c r="F78" s="4" t="s">
        <v>180</v>
      </c>
      <c r="G78" s="4" t="s">
        <v>76</v>
      </c>
      <c r="H78" s="4" t="s">
        <v>494</v>
      </c>
      <c r="I78" s="4" t="s">
        <v>44</v>
      </c>
      <c r="J78" s="4" t="s">
        <v>45</v>
      </c>
      <c r="K78" s="4" t="s">
        <v>46</v>
      </c>
      <c r="L78" s="4" t="s">
        <v>189</v>
      </c>
      <c r="M78" s="4">
        <v>18</v>
      </c>
      <c r="N78" s="4">
        <v>700</v>
      </c>
      <c r="O78" s="57">
        <v>5</v>
      </c>
      <c r="P78" s="4">
        <v>11970</v>
      </c>
      <c r="Q78" s="4">
        <v>3</v>
      </c>
      <c r="R78" s="4" t="s">
        <v>79</v>
      </c>
      <c r="S78" s="4" t="s">
        <v>115</v>
      </c>
      <c r="T78" s="4" t="s">
        <v>89</v>
      </c>
      <c r="U78" s="6" t="s">
        <v>495</v>
      </c>
      <c r="V78" s="4" t="s">
        <v>69</v>
      </c>
    </row>
    <row r="79" spans="1:22" x14ac:dyDescent="0.5">
      <c r="A79" s="7" t="s">
        <v>496</v>
      </c>
      <c r="B79" s="8" t="s">
        <v>221</v>
      </c>
      <c r="C79" s="8" t="s">
        <v>184</v>
      </c>
      <c r="D79" s="8" t="s">
        <v>497</v>
      </c>
      <c r="E79" s="8" t="s">
        <v>498</v>
      </c>
      <c r="F79" s="8" t="s">
        <v>225</v>
      </c>
      <c r="G79" s="8" t="s">
        <v>76</v>
      </c>
      <c r="H79" s="8" t="s">
        <v>499</v>
      </c>
      <c r="I79" s="8" t="s">
        <v>59</v>
      </c>
      <c r="J79" s="8" t="s">
        <v>31</v>
      </c>
      <c r="K79" s="8" t="s">
        <v>46</v>
      </c>
      <c r="L79" s="8" t="s">
        <v>189</v>
      </c>
      <c r="M79" s="8">
        <v>12</v>
      </c>
      <c r="N79" s="8">
        <v>700</v>
      </c>
      <c r="O79" s="58">
        <v>15</v>
      </c>
      <c r="P79" s="8">
        <v>7140</v>
      </c>
      <c r="Q79" s="8">
        <v>2</v>
      </c>
      <c r="R79" s="8" t="s">
        <v>88</v>
      </c>
      <c r="S79" s="8" t="s">
        <v>49</v>
      </c>
      <c r="T79" s="8" t="s">
        <v>228</v>
      </c>
      <c r="U79" s="9" t="s">
        <v>500</v>
      </c>
      <c r="V79" s="8" t="s">
        <v>38</v>
      </c>
    </row>
    <row r="80" spans="1:22" x14ac:dyDescent="0.5">
      <c r="A80" s="3" t="s">
        <v>501</v>
      </c>
      <c r="B80" s="4" t="s">
        <v>71</v>
      </c>
      <c r="C80" s="4" t="s">
        <v>72</v>
      </c>
      <c r="D80" s="4" t="s">
        <v>502</v>
      </c>
      <c r="E80" s="4" t="s">
        <v>503</v>
      </c>
      <c r="F80" s="4" t="s">
        <v>217</v>
      </c>
      <c r="G80" s="4" t="s">
        <v>76</v>
      </c>
      <c r="H80" s="4" t="s">
        <v>504</v>
      </c>
      <c r="I80" s="4" t="s">
        <v>105</v>
      </c>
      <c r="J80" s="4" t="s">
        <v>106</v>
      </c>
      <c r="K80" s="4" t="s">
        <v>46</v>
      </c>
      <c r="L80" s="4" t="s">
        <v>78</v>
      </c>
      <c r="M80" s="4">
        <v>8</v>
      </c>
      <c r="N80" s="4">
        <v>1200</v>
      </c>
      <c r="O80" s="57">
        <v>0</v>
      </c>
      <c r="P80" s="4">
        <v>9600</v>
      </c>
      <c r="Q80" s="4">
        <v>4</v>
      </c>
      <c r="R80" s="4" t="s">
        <v>79</v>
      </c>
      <c r="S80" s="4" t="s">
        <v>49</v>
      </c>
      <c r="T80" s="4" t="s">
        <v>80</v>
      </c>
      <c r="U80" s="6" t="s">
        <v>505</v>
      </c>
      <c r="V80" s="4" t="s">
        <v>64</v>
      </c>
    </row>
    <row r="81" spans="1:22" x14ac:dyDescent="0.5">
      <c r="A81" s="7" t="s">
        <v>506</v>
      </c>
      <c r="B81" s="8" t="s">
        <v>127</v>
      </c>
      <c r="C81" s="8" t="s">
        <v>118</v>
      </c>
      <c r="D81" s="8" t="s">
        <v>507</v>
      </c>
      <c r="E81" s="8" t="s">
        <v>508</v>
      </c>
      <c r="F81" s="8" t="s">
        <v>200</v>
      </c>
      <c r="G81" s="8" t="s">
        <v>76</v>
      </c>
      <c r="H81" s="8" t="s">
        <v>509</v>
      </c>
      <c r="I81" s="8" t="s">
        <v>114</v>
      </c>
      <c r="J81" s="8" t="s">
        <v>106</v>
      </c>
      <c r="K81" s="8" t="s">
        <v>122</v>
      </c>
      <c r="L81" s="8" t="s">
        <v>123</v>
      </c>
      <c r="M81" s="8">
        <v>2</v>
      </c>
      <c r="N81" s="8">
        <v>60</v>
      </c>
      <c r="O81" s="58">
        <v>0</v>
      </c>
      <c r="P81" s="8">
        <v>120</v>
      </c>
      <c r="Q81" s="8">
        <v>2</v>
      </c>
      <c r="R81" s="8" t="s">
        <v>88</v>
      </c>
      <c r="S81" s="8" t="s">
        <v>49</v>
      </c>
      <c r="T81" s="8" t="s">
        <v>132</v>
      </c>
      <c r="U81" s="9" t="s">
        <v>510</v>
      </c>
      <c r="V81" s="8" t="s">
        <v>38</v>
      </c>
    </row>
    <row r="82" spans="1:22" x14ac:dyDescent="0.5">
      <c r="A82" s="3" t="s">
        <v>511</v>
      </c>
      <c r="B82" s="4" t="s">
        <v>327</v>
      </c>
      <c r="C82" s="4" t="s">
        <v>259</v>
      </c>
      <c r="D82" s="4" t="s">
        <v>512</v>
      </c>
      <c r="E82" s="4" t="s">
        <v>513</v>
      </c>
      <c r="F82" s="4" t="s">
        <v>394</v>
      </c>
      <c r="G82" s="4" t="s">
        <v>76</v>
      </c>
      <c r="H82" s="4" t="s">
        <v>514</v>
      </c>
      <c r="I82" s="4" t="s">
        <v>114</v>
      </c>
      <c r="J82" s="4" t="s">
        <v>106</v>
      </c>
      <c r="K82" s="4" t="s">
        <v>122</v>
      </c>
      <c r="L82" s="4" t="s">
        <v>263</v>
      </c>
      <c r="M82" s="4">
        <v>10</v>
      </c>
      <c r="N82" s="4">
        <v>45</v>
      </c>
      <c r="O82" s="57">
        <v>15</v>
      </c>
      <c r="P82" s="4">
        <v>382.5</v>
      </c>
      <c r="Q82" s="4">
        <v>3</v>
      </c>
      <c r="R82" s="4" t="s">
        <v>48</v>
      </c>
      <c r="S82" s="4" t="s">
        <v>35</v>
      </c>
      <c r="T82" s="4" t="s">
        <v>332</v>
      </c>
      <c r="U82" s="6" t="s">
        <v>515</v>
      </c>
      <c r="V82" s="4" t="s">
        <v>69</v>
      </c>
    </row>
    <row r="83" spans="1:22" x14ac:dyDescent="0.5">
      <c r="A83" s="7" t="s">
        <v>516</v>
      </c>
      <c r="B83" s="8" t="s">
        <v>221</v>
      </c>
      <c r="C83" s="8" t="s">
        <v>92</v>
      </c>
      <c r="D83" s="8" t="s">
        <v>517</v>
      </c>
      <c r="E83" s="8" t="s">
        <v>518</v>
      </c>
      <c r="F83" s="8" t="s">
        <v>225</v>
      </c>
      <c r="G83" s="8" t="s">
        <v>76</v>
      </c>
      <c r="H83" s="8" t="s">
        <v>519</v>
      </c>
      <c r="I83" s="8" t="s">
        <v>294</v>
      </c>
      <c r="J83" s="8" t="s">
        <v>295</v>
      </c>
      <c r="K83" s="8" t="s">
        <v>32</v>
      </c>
      <c r="L83" s="8" t="s">
        <v>97</v>
      </c>
      <c r="M83" s="8">
        <v>12</v>
      </c>
      <c r="N83" s="8">
        <v>3500</v>
      </c>
      <c r="O83" s="58">
        <v>5</v>
      </c>
      <c r="P83" s="8">
        <v>39900</v>
      </c>
      <c r="Q83" s="8">
        <v>3</v>
      </c>
      <c r="R83" s="8" t="s">
        <v>48</v>
      </c>
      <c r="S83" s="8" t="s">
        <v>61</v>
      </c>
      <c r="T83" s="8" t="s">
        <v>228</v>
      </c>
      <c r="U83" s="9" t="s">
        <v>520</v>
      </c>
      <c r="V83" s="8" t="s">
        <v>64</v>
      </c>
    </row>
    <row r="84" spans="1:22" x14ac:dyDescent="0.5">
      <c r="A84" s="3" t="s">
        <v>521</v>
      </c>
      <c r="B84" s="4" t="s">
        <v>127</v>
      </c>
      <c r="C84" s="4" t="s">
        <v>118</v>
      </c>
      <c r="D84" s="4" t="s">
        <v>128</v>
      </c>
      <c r="E84" s="4" t="s">
        <v>73</v>
      </c>
      <c r="F84" s="4" t="s">
        <v>200</v>
      </c>
      <c r="G84" s="4" t="s">
        <v>76</v>
      </c>
      <c r="H84" s="4" t="s">
        <v>522</v>
      </c>
      <c r="I84" s="4" t="s">
        <v>105</v>
      </c>
      <c r="J84" s="4" t="s">
        <v>106</v>
      </c>
      <c r="K84" s="4" t="s">
        <v>122</v>
      </c>
      <c r="L84" s="4" t="s">
        <v>123</v>
      </c>
      <c r="M84" s="4">
        <v>2</v>
      </c>
      <c r="N84" s="4">
        <v>60</v>
      </c>
      <c r="O84" s="57">
        <v>15</v>
      </c>
      <c r="P84" s="4">
        <v>102</v>
      </c>
      <c r="Q84" s="4">
        <v>1</v>
      </c>
      <c r="R84" s="4" t="s">
        <v>88</v>
      </c>
      <c r="S84" s="4" t="s">
        <v>115</v>
      </c>
      <c r="T84" s="4" t="s">
        <v>132</v>
      </c>
      <c r="U84" s="6" t="s">
        <v>523</v>
      </c>
      <c r="V84" s="4" t="s">
        <v>38</v>
      </c>
    </row>
    <row r="85" spans="1:22" x14ac:dyDescent="0.5">
      <c r="A85" s="7" t="s">
        <v>524</v>
      </c>
      <c r="B85" s="8" t="s">
        <v>127</v>
      </c>
      <c r="C85" s="8" t="s">
        <v>72</v>
      </c>
      <c r="D85" s="8" t="s">
        <v>525</v>
      </c>
      <c r="E85" s="8" t="s">
        <v>526</v>
      </c>
      <c r="F85" s="8" t="s">
        <v>200</v>
      </c>
      <c r="G85" s="8" t="s">
        <v>76</v>
      </c>
      <c r="H85" s="8" t="s">
        <v>527</v>
      </c>
      <c r="I85" s="8" t="s">
        <v>30</v>
      </c>
      <c r="J85" s="8" t="s">
        <v>31</v>
      </c>
      <c r="K85" s="8" t="s">
        <v>46</v>
      </c>
      <c r="L85" s="8" t="s">
        <v>78</v>
      </c>
      <c r="M85" s="8">
        <v>18</v>
      </c>
      <c r="N85" s="8">
        <v>1200</v>
      </c>
      <c r="O85" s="58">
        <v>15</v>
      </c>
      <c r="P85" s="8">
        <v>18360</v>
      </c>
      <c r="Q85" s="8">
        <v>3</v>
      </c>
      <c r="R85" s="8" t="s">
        <v>79</v>
      </c>
      <c r="S85" s="8" t="s">
        <v>115</v>
      </c>
      <c r="T85" s="8" t="s">
        <v>132</v>
      </c>
      <c r="U85" s="9" t="s">
        <v>528</v>
      </c>
      <c r="V85" s="8" t="s">
        <v>64</v>
      </c>
    </row>
    <row r="86" spans="1:22" x14ac:dyDescent="0.5">
      <c r="A86" s="3" t="s">
        <v>529</v>
      </c>
      <c r="B86" s="4" t="s">
        <v>23</v>
      </c>
      <c r="C86" s="4" t="s">
        <v>40</v>
      </c>
      <c r="D86" s="4" t="s">
        <v>530</v>
      </c>
      <c r="E86" s="4" t="s">
        <v>531</v>
      </c>
      <c r="F86" s="4" t="s">
        <v>27</v>
      </c>
      <c r="G86" s="4" t="s">
        <v>28</v>
      </c>
      <c r="H86" s="4" t="s">
        <v>532</v>
      </c>
      <c r="I86" s="4" t="s">
        <v>105</v>
      </c>
      <c r="J86" s="4" t="s">
        <v>106</v>
      </c>
      <c r="K86" s="4" t="s">
        <v>46</v>
      </c>
      <c r="L86" s="4" t="s">
        <v>47</v>
      </c>
      <c r="M86" s="4">
        <v>18</v>
      </c>
      <c r="N86" s="4">
        <v>12000</v>
      </c>
      <c r="O86" s="57">
        <v>15</v>
      </c>
      <c r="P86" s="4">
        <v>183600</v>
      </c>
      <c r="Q86" s="4">
        <v>2</v>
      </c>
      <c r="R86" s="4" t="s">
        <v>34</v>
      </c>
      <c r="S86" s="4" t="s">
        <v>49</v>
      </c>
      <c r="T86" s="4" t="s">
        <v>50</v>
      </c>
      <c r="U86" s="6" t="s">
        <v>533</v>
      </c>
      <c r="V86" s="4" t="s">
        <v>38</v>
      </c>
    </row>
    <row r="87" spans="1:22" x14ac:dyDescent="0.5">
      <c r="A87" s="7" t="s">
        <v>534</v>
      </c>
      <c r="B87" s="8" t="s">
        <v>83</v>
      </c>
      <c r="C87" s="8" t="s">
        <v>222</v>
      </c>
      <c r="D87" s="8" t="s">
        <v>531</v>
      </c>
      <c r="E87" s="8" t="s">
        <v>535</v>
      </c>
      <c r="F87" s="8" t="s">
        <v>180</v>
      </c>
      <c r="G87" s="8" t="s">
        <v>76</v>
      </c>
      <c r="H87" s="8" t="s">
        <v>536</v>
      </c>
      <c r="I87" s="8" t="s">
        <v>138</v>
      </c>
      <c r="J87" s="8" t="s">
        <v>106</v>
      </c>
      <c r="K87" s="8" t="s">
        <v>122</v>
      </c>
      <c r="L87" s="8" t="s">
        <v>227</v>
      </c>
      <c r="M87" s="8">
        <v>7</v>
      </c>
      <c r="N87" s="8">
        <v>20</v>
      </c>
      <c r="O87" s="58">
        <v>0</v>
      </c>
      <c r="P87" s="8">
        <v>140</v>
      </c>
      <c r="Q87" s="8">
        <v>2</v>
      </c>
      <c r="R87" s="8" t="s">
        <v>79</v>
      </c>
      <c r="S87" s="8" t="s">
        <v>35</v>
      </c>
      <c r="T87" s="8" t="s">
        <v>89</v>
      </c>
      <c r="U87" s="9" t="s">
        <v>537</v>
      </c>
      <c r="V87" s="8" t="s">
        <v>69</v>
      </c>
    </row>
    <row r="88" spans="1:22" x14ac:dyDescent="0.5">
      <c r="A88" s="3" t="s">
        <v>538</v>
      </c>
      <c r="B88" s="4" t="s">
        <v>251</v>
      </c>
      <c r="C88" s="4" t="s">
        <v>92</v>
      </c>
      <c r="D88" s="4" t="s">
        <v>459</v>
      </c>
      <c r="E88" s="4" t="s">
        <v>539</v>
      </c>
      <c r="F88" s="4" t="s">
        <v>254</v>
      </c>
      <c r="G88" s="4" t="s">
        <v>28</v>
      </c>
      <c r="H88" s="4" t="s">
        <v>540</v>
      </c>
      <c r="I88" s="4" t="s">
        <v>114</v>
      </c>
      <c r="J88" s="4" t="s">
        <v>106</v>
      </c>
      <c r="K88" s="4" t="s">
        <v>32</v>
      </c>
      <c r="L88" s="4" t="s">
        <v>97</v>
      </c>
      <c r="M88" s="4">
        <v>20</v>
      </c>
      <c r="N88" s="4">
        <v>3500</v>
      </c>
      <c r="O88" s="57">
        <v>20</v>
      </c>
      <c r="P88" s="4">
        <v>56000</v>
      </c>
      <c r="Q88" s="4">
        <v>4</v>
      </c>
      <c r="R88" s="4" t="s">
        <v>79</v>
      </c>
      <c r="S88" s="4" t="s">
        <v>115</v>
      </c>
      <c r="T88" s="4" t="s">
        <v>256</v>
      </c>
      <c r="U88" s="6" t="s">
        <v>541</v>
      </c>
      <c r="V88" s="4" t="s">
        <v>64</v>
      </c>
    </row>
    <row r="89" spans="1:22" x14ac:dyDescent="0.5">
      <c r="A89" s="7" t="s">
        <v>542</v>
      </c>
      <c r="B89" s="8" t="s">
        <v>100</v>
      </c>
      <c r="C89" s="8" t="s">
        <v>169</v>
      </c>
      <c r="D89" s="8" t="s">
        <v>543</v>
      </c>
      <c r="E89" s="8" t="s">
        <v>544</v>
      </c>
      <c r="F89" s="8" t="s">
        <v>103</v>
      </c>
      <c r="G89" s="8" t="s">
        <v>28</v>
      </c>
      <c r="H89" s="8" t="s">
        <v>545</v>
      </c>
      <c r="I89" s="8" t="s">
        <v>138</v>
      </c>
      <c r="J89" s="8" t="s">
        <v>106</v>
      </c>
      <c r="K89" s="8" t="s">
        <v>32</v>
      </c>
      <c r="L89" s="8" t="s">
        <v>174</v>
      </c>
      <c r="M89" s="8">
        <v>8</v>
      </c>
      <c r="N89" s="8">
        <v>8500</v>
      </c>
      <c r="O89" s="58">
        <v>20</v>
      </c>
      <c r="P89" s="8">
        <v>54400</v>
      </c>
      <c r="Q89" s="8">
        <v>3</v>
      </c>
      <c r="R89" s="8" t="s">
        <v>79</v>
      </c>
      <c r="S89" s="8" t="s">
        <v>115</v>
      </c>
      <c r="T89" s="8" t="s">
        <v>144</v>
      </c>
      <c r="U89" s="9" t="s">
        <v>546</v>
      </c>
      <c r="V89" s="8" t="s">
        <v>64</v>
      </c>
    </row>
    <row r="90" spans="1:22" x14ac:dyDescent="0.5">
      <c r="A90" s="3" t="s">
        <v>547</v>
      </c>
      <c r="B90" s="4" t="s">
        <v>327</v>
      </c>
      <c r="C90" s="4" t="s">
        <v>40</v>
      </c>
      <c r="D90" s="4" t="s">
        <v>548</v>
      </c>
      <c r="E90" s="4" t="s">
        <v>549</v>
      </c>
      <c r="F90" s="4" t="s">
        <v>394</v>
      </c>
      <c r="G90" s="4" t="s">
        <v>76</v>
      </c>
      <c r="H90" s="4" t="s">
        <v>550</v>
      </c>
      <c r="I90" s="4" t="s">
        <v>138</v>
      </c>
      <c r="J90" s="4" t="s">
        <v>551</v>
      </c>
      <c r="K90" s="4" t="s">
        <v>46</v>
      </c>
      <c r="L90" s="4" t="s">
        <v>47</v>
      </c>
      <c r="M90" s="4">
        <v>6</v>
      </c>
      <c r="N90" s="4">
        <v>12000</v>
      </c>
      <c r="O90" s="57">
        <v>5</v>
      </c>
      <c r="P90" s="4">
        <v>68400</v>
      </c>
      <c r="Q90" s="4">
        <v>4</v>
      </c>
      <c r="R90" s="4" t="s">
        <v>48</v>
      </c>
      <c r="S90" s="4" t="s">
        <v>35</v>
      </c>
      <c r="T90" s="4" t="s">
        <v>332</v>
      </c>
      <c r="U90" s="6" t="s">
        <v>552</v>
      </c>
      <c r="V90" s="4" t="s">
        <v>38</v>
      </c>
    </row>
    <row r="91" spans="1:22" x14ac:dyDescent="0.5">
      <c r="A91" s="7" t="s">
        <v>553</v>
      </c>
      <c r="B91" s="8" t="s">
        <v>23</v>
      </c>
      <c r="C91" s="8" t="s">
        <v>169</v>
      </c>
      <c r="D91" s="8" t="s">
        <v>554</v>
      </c>
      <c r="E91" s="8" t="s">
        <v>404</v>
      </c>
      <c r="F91" s="8" t="s">
        <v>27</v>
      </c>
      <c r="G91" s="8" t="s">
        <v>28</v>
      </c>
      <c r="H91" s="8" t="s">
        <v>555</v>
      </c>
      <c r="I91" s="8" t="s">
        <v>114</v>
      </c>
      <c r="J91" s="8" t="s">
        <v>106</v>
      </c>
      <c r="K91" s="8" t="s">
        <v>32</v>
      </c>
      <c r="L91" s="8" t="s">
        <v>174</v>
      </c>
      <c r="M91" s="8">
        <v>15</v>
      </c>
      <c r="N91" s="8">
        <v>8500</v>
      </c>
      <c r="O91" s="58">
        <v>0</v>
      </c>
      <c r="P91" s="8">
        <v>127500</v>
      </c>
      <c r="Q91" s="8">
        <v>4</v>
      </c>
      <c r="R91" s="8" t="s">
        <v>48</v>
      </c>
      <c r="S91" s="8" t="s">
        <v>35</v>
      </c>
      <c r="T91" s="8" t="s">
        <v>50</v>
      </c>
      <c r="U91" s="9" t="s">
        <v>556</v>
      </c>
      <c r="V91" s="8" t="s">
        <v>69</v>
      </c>
    </row>
    <row r="92" spans="1:22" x14ac:dyDescent="0.5">
      <c r="A92" s="3" t="s">
        <v>557</v>
      </c>
      <c r="B92" s="4" t="s">
        <v>53</v>
      </c>
      <c r="C92" s="4" t="s">
        <v>72</v>
      </c>
      <c r="D92" s="4" t="s">
        <v>558</v>
      </c>
      <c r="E92" s="4" t="s">
        <v>377</v>
      </c>
      <c r="F92" s="4" t="s">
        <v>163</v>
      </c>
      <c r="G92" s="4" t="s">
        <v>28</v>
      </c>
      <c r="H92" s="4" t="s">
        <v>559</v>
      </c>
      <c r="I92" s="4" t="s">
        <v>212</v>
      </c>
      <c r="J92" s="4" t="s">
        <v>45</v>
      </c>
      <c r="K92" s="4" t="s">
        <v>46</v>
      </c>
      <c r="L92" s="4" t="s">
        <v>78</v>
      </c>
      <c r="M92" s="4">
        <v>5</v>
      </c>
      <c r="N92" s="4">
        <v>1200</v>
      </c>
      <c r="O92" s="57">
        <v>15</v>
      </c>
      <c r="P92" s="4">
        <v>5100</v>
      </c>
      <c r="Q92" s="4">
        <v>1</v>
      </c>
      <c r="R92" s="4" t="s">
        <v>48</v>
      </c>
      <c r="S92" s="4" t="s">
        <v>35</v>
      </c>
      <c r="T92" s="4" t="s">
        <v>62</v>
      </c>
      <c r="U92" s="6" t="s">
        <v>560</v>
      </c>
      <c r="V92" s="4" t="s">
        <v>69</v>
      </c>
    </row>
    <row r="93" spans="1:22" x14ac:dyDescent="0.5">
      <c r="A93" s="7" t="s">
        <v>561</v>
      </c>
      <c r="B93" s="8" t="s">
        <v>53</v>
      </c>
      <c r="C93" s="8" t="s">
        <v>222</v>
      </c>
      <c r="D93" s="8" t="s">
        <v>562</v>
      </c>
      <c r="E93" s="8" t="s">
        <v>563</v>
      </c>
      <c r="F93" s="8" t="s">
        <v>163</v>
      </c>
      <c r="G93" s="8" t="s">
        <v>28</v>
      </c>
      <c r="H93" s="8" t="s">
        <v>564</v>
      </c>
      <c r="I93" s="8" t="s">
        <v>30</v>
      </c>
      <c r="J93" s="8" t="s">
        <v>31</v>
      </c>
      <c r="K93" s="8" t="s">
        <v>122</v>
      </c>
      <c r="L93" s="8" t="s">
        <v>227</v>
      </c>
      <c r="M93" s="8">
        <v>4</v>
      </c>
      <c r="N93" s="8">
        <v>20</v>
      </c>
      <c r="O93" s="58">
        <v>0</v>
      </c>
      <c r="P93" s="8">
        <v>80</v>
      </c>
      <c r="Q93" s="8">
        <v>4</v>
      </c>
      <c r="R93" s="8" t="s">
        <v>48</v>
      </c>
      <c r="S93" s="8" t="s">
        <v>49</v>
      </c>
      <c r="T93" s="8" t="s">
        <v>62</v>
      </c>
      <c r="U93" s="9" t="s">
        <v>565</v>
      </c>
      <c r="V93" s="8" t="s">
        <v>38</v>
      </c>
    </row>
    <row r="94" spans="1:22" x14ac:dyDescent="0.5">
      <c r="A94" s="3" t="s">
        <v>566</v>
      </c>
      <c r="B94" s="4" t="s">
        <v>23</v>
      </c>
      <c r="C94" s="4" t="s">
        <v>222</v>
      </c>
      <c r="D94" s="4" t="s">
        <v>567</v>
      </c>
      <c r="E94" s="4" t="s">
        <v>568</v>
      </c>
      <c r="F94" s="4" t="s">
        <v>27</v>
      </c>
      <c r="G94" s="4" t="s">
        <v>28</v>
      </c>
      <c r="H94" s="4" t="s">
        <v>569</v>
      </c>
      <c r="I94" s="4" t="s">
        <v>59</v>
      </c>
      <c r="J94" s="4" t="s">
        <v>31</v>
      </c>
      <c r="K94" s="4" t="s">
        <v>122</v>
      </c>
      <c r="L94" s="4" t="s">
        <v>227</v>
      </c>
      <c r="M94" s="4">
        <v>10</v>
      </c>
      <c r="N94" s="4">
        <v>20</v>
      </c>
      <c r="O94" s="57">
        <v>0</v>
      </c>
      <c r="P94" s="4">
        <v>200</v>
      </c>
      <c r="Q94" s="4">
        <v>3</v>
      </c>
      <c r="R94" s="4" t="s">
        <v>34</v>
      </c>
      <c r="S94" s="4" t="s">
        <v>151</v>
      </c>
      <c r="T94" s="4" t="s">
        <v>50</v>
      </c>
      <c r="U94" s="6" t="s">
        <v>570</v>
      </c>
      <c r="V94" s="4" t="s">
        <v>64</v>
      </c>
    </row>
    <row r="95" spans="1:22" x14ac:dyDescent="0.5">
      <c r="A95" s="7" t="s">
        <v>571</v>
      </c>
      <c r="B95" s="8" t="s">
        <v>168</v>
      </c>
      <c r="C95" s="8" t="s">
        <v>24</v>
      </c>
      <c r="D95" s="8" t="s">
        <v>572</v>
      </c>
      <c r="E95" s="8" t="s">
        <v>573</v>
      </c>
      <c r="F95" s="8" t="s">
        <v>361</v>
      </c>
      <c r="G95" s="8" t="s">
        <v>28</v>
      </c>
      <c r="H95" s="8" t="s">
        <v>574</v>
      </c>
      <c r="I95" s="8" t="s">
        <v>44</v>
      </c>
      <c r="J95" s="8" t="s">
        <v>45</v>
      </c>
      <c r="K95" s="8" t="s">
        <v>32</v>
      </c>
      <c r="L95" s="8" t="s">
        <v>33</v>
      </c>
      <c r="M95" s="8">
        <v>18</v>
      </c>
      <c r="N95" s="8">
        <v>2200</v>
      </c>
      <c r="O95" s="58">
        <v>10</v>
      </c>
      <c r="P95" s="8">
        <v>35640</v>
      </c>
      <c r="Q95" s="8">
        <v>3</v>
      </c>
      <c r="R95" s="8" t="s">
        <v>34</v>
      </c>
      <c r="S95" s="8" t="s">
        <v>35</v>
      </c>
      <c r="T95" s="8" t="s">
        <v>175</v>
      </c>
      <c r="U95" s="9" t="s">
        <v>575</v>
      </c>
      <c r="V95" s="8" t="s">
        <v>69</v>
      </c>
    </row>
    <row r="96" spans="1:22" x14ac:dyDescent="0.5">
      <c r="A96" s="3" t="s">
        <v>576</v>
      </c>
      <c r="B96" s="4" t="s">
        <v>327</v>
      </c>
      <c r="C96" s="4" t="s">
        <v>92</v>
      </c>
      <c r="D96" s="4" t="s">
        <v>577</v>
      </c>
      <c r="E96" s="4" t="s">
        <v>578</v>
      </c>
      <c r="F96" s="4" t="s">
        <v>394</v>
      </c>
      <c r="G96" s="4" t="s">
        <v>76</v>
      </c>
      <c r="H96" s="4" t="s">
        <v>579</v>
      </c>
      <c r="I96" s="4" t="s">
        <v>44</v>
      </c>
      <c r="J96" s="4" t="s">
        <v>45</v>
      </c>
      <c r="K96" s="4" t="s">
        <v>32</v>
      </c>
      <c r="L96" s="4" t="s">
        <v>97</v>
      </c>
      <c r="M96" s="4">
        <v>7</v>
      </c>
      <c r="N96" s="4">
        <v>3500</v>
      </c>
      <c r="O96" s="57">
        <v>15</v>
      </c>
      <c r="P96" s="4">
        <v>20825</v>
      </c>
      <c r="Q96" s="4">
        <v>3</v>
      </c>
      <c r="R96" s="4" t="s">
        <v>48</v>
      </c>
      <c r="S96" s="4" t="s">
        <v>49</v>
      </c>
      <c r="T96" s="4" t="s">
        <v>332</v>
      </c>
      <c r="U96" s="6" t="s">
        <v>580</v>
      </c>
      <c r="V96" s="4" t="s">
        <v>38</v>
      </c>
    </row>
    <row r="97" spans="1:22" x14ac:dyDescent="0.5">
      <c r="A97" s="7" t="s">
        <v>581</v>
      </c>
      <c r="B97" s="8" t="s">
        <v>100</v>
      </c>
      <c r="C97" s="8" t="s">
        <v>169</v>
      </c>
      <c r="D97" s="8" t="s">
        <v>582</v>
      </c>
      <c r="E97" s="8" t="s">
        <v>583</v>
      </c>
      <c r="F97" s="8" t="s">
        <v>103</v>
      </c>
      <c r="G97" s="8" t="s">
        <v>28</v>
      </c>
      <c r="H97" s="8" t="s">
        <v>584</v>
      </c>
      <c r="I97" s="8" t="s">
        <v>294</v>
      </c>
      <c r="J97" s="8" t="s">
        <v>295</v>
      </c>
      <c r="K97" s="8" t="s">
        <v>32</v>
      </c>
      <c r="L97" s="8" t="s">
        <v>174</v>
      </c>
      <c r="M97" s="8">
        <v>19</v>
      </c>
      <c r="N97" s="8">
        <v>8500</v>
      </c>
      <c r="O97" s="58">
        <v>15</v>
      </c>
      <c r="P97" s="8">
        <v>137275</v>
      </c>
      <c r="Q97" s="8">
        <v>4</v>
      </c>
      <c r="R97" s="8" t="s">
        <v>79</v>
      </c>
      <c r="S97" s="8" t="s">
        <v>151</v>
      </c>
      <c r="T97" s="8" t="s">
        <v>144</v>
      </c>
      <c r="U97" s="9" t="s">
        <v>585</v>
      </c>
      <c r="V97" s="8" t="s">
        <v>64</v>
      </c>
    </row>
    <row r="98" spans="1:22" x14ac:dyDescent="0.5">
      <c r="A98" s="3" t="s">
        <v>586</v>
      </c>
      <c r="B98" s="4" t="s">
        <v>251</v>
      </c>
      <c r="C98" s="4" t="s">
        <v>40</v>
      </c>
      <c r="D98" s="4" t="s">
        <v>587</v>
      </c>
      <c r="E98" s="4" t="s">
        <v>588</v>
      </c>
      <c r="F98" s="4" t="s">
        <v>254</v>
      </c>
      <c r="G98" s="4" t="s">
        <v>28</v>
      </c>
      <c r="H98" s="4" t="s">
        <v>589</v>
      </c>
      <c r="I98" s="4" t="s">
        <v>138</v>
      </c>
      <c r="J98" s="4" t="s">
        <v>106</v>
      </c>
      <c r="K98" s="4" t="s">
        <v>46</v>
      </c>
      <c r="L98" s="4" t="s">
        <v>47</v>
      </c>
      <c r="M98" s="4">
        <v>13</v>
      </c>
      <c r="N98" s="4">
        <v>12000</v>
      </c>
      <c r="O98" s="57">
        <v>15</v>
      </c>
      <c r="P98" s="4">
        <v>132600</v>
      </c>
      <c r="Q98" s="4">
        <v>4</v>
      </c>
      <c r="R98" s="4" t="s">
        <v>34</v>
      </c>
      <c r="S98" s="4" t="s">
        <v>49</v>
      </c>
      <c r="T98" s="4" t="s">
        <v>256</v>
      </c>
      <c r="U98" s="6" t="s">
        <v>590</v>
      </c>
      <c r="V98" s="4" t="s">
        <v>38</v>
      </c>
    </row>
    <row r="99" spans="1:22" x14ac:dyDescent="0.5">
      <c r="A99" s="7" t="s">
        <v>591</v>
      </c>
      <c r="B99" s="8" t="s">
        <v>327</v>
      </c>
      <c r="C99" s="8" t="s">
        <v>222</v>
      </c>
      <c r="D99" s="8" t="s">
        <v>592</v>
      </c>
      <c r="E99" s="8" t="s">
        <v>398</v>
      </c>
      <c r="F99" s="8" t="s">
        <v>394</v>
      </c>
      <c r="G99" s="8" t="s">
        <v>76</v>
      </c>
      <c r="H99" s="8" t="s">
        <v>593</v>
      </c>
      <c r="I99" s="8" t="s">
        <v>114</v>
      </c>
      <c r="J99" s="8" t="s">
        <v>106</v>
      </c>
      <c r="K99" s="8" t="s">
        <v>122</v>
      </c>
      <c r="L99" s="8" t="s">
        <v>227</v>
      </c>
      <c r="M99" s="8">
        <v>7</v>
      </c>
      <c r="N99" s="8">
        <v>20</v>
      </c>
      <c r="O99" s="58">
        <v>0</v>
      </c>
      <c r="P99" s="8">
        <v>140</v>
      </c>
      <c r="Q99" s="8">
        <v>1</v>
      </c>
      <c r="R99" s="8" t="s">
        <v>79</v>
      </c>
      <c r="S99" s="8" t="s">
        <v>151</v>
      </c>
      <c r="T99" s="8" t="s">
        <v>332</v>
      </c>
      <c r="U99" s="9" t="s">
        <v>594</v>
      </c>
      <c r="V99" s="8" t="s">
        <v>69</v>
      </c>
    </row>
    <row r="100" spans="1:22" x14ac:dyDescent="0.5">
      <c r="A100" s="3" t="s">
        <v>595</v>
      </c>
      <c r="B100" s="4" t="s">
        <v>168</v>
      </c>
      <c r="C100" s="4" t="s">
        <v>184</v>
      </c>
      <c r="D100" s="4" t="s">
        <v>596</v>
      </c>
      <c r="E100" s="4" t="s">
        <v>597</v>
      </c>
      <c r="F100" s="4" t="s">
        <v>361</v>
      </c>
      <c r="G100" s="4" t="s">
        <v>28</v>
      </c>
      <c r="H100" s="4" t="s">
        <v>598</v>
      </c>
      <c r="I100" s="4" t="s">
        <v>44</v>
      </c>
      <c r="J100" s="4" t="s">
        <v>45</v>
      </c>
      <c r="K100" s="4" t="s">
        <v>46</v>
      </c>
      <c r="L100" s="4" t="s">
        <v>189</v>
      </c>
      <c r="M100" s="4">
        <v>5</v>
      </c>
      <c r="N100" s="4">
        <v>700</v>
      </c>
      <c r="O100" s="57">
        <v>15</v>
      </c>
      <c r="P100" s="4">
        <v>999999</v>
      </c>
      <c r="Q100" s="4">
        <v>4</v>
      </c>
      <c r="R100" s="4" t="s">
        <v>79</v>
      </c>
      <c r="S100" s="4" t="s">
        <v>35</v>
      </c>
      <c r="T100" s="4" t="s">
        <v>175</v>
      </c>
      <c r="U100" s="6" t="s">
        <v>599</v>
      </c>
      <c r="V100" s="4" t="s">
        <v>64</v>
      </c>
    </row>
    <row r="101" spans="1:22" x14ac:dyDescent="0.5">
      <c r="A101" s="7" t="s">
        <v>600</v>
      </c>
      <c r="B101" s="8" t="s">
        <v>83</v>
      </c>
      <c r="C101" s="8" t="s">
        <v>259</v>
      </c>
      <c r="D101" s="8" t="s">
        <v>583</v>
      </c>
      <c r="E101" s="8" t="s">
        <v>601</v>
      </c>
      <c r="F101" s="8" t="s">
        <v>180</v>
      </c>
      <c r="G101" s="8" t="s">
        <v>76</v>
      </c>
      <c r="H101" s="8" t="s">
        <v>602</v>
      </c>
      <c r="I101" s="8" t="s">
        <v>59</v>
      </c>
      <c r="J101" s="8" t="s">
        <v>31</v>
      </c>
      <c r="K101" s="8" t="s">
        <v>122</v>
      </c>
      <c r="L101" s="8" t="s">
        <v>263</v>
      </c>
      <c r="M101" s="8">
        <v>9</v>
      </c>
      <c r="N101" s="8">
        <v>45</v>
      </c>
      <c r="O101" s="58">
        <v>5</v>
      </c>
      <c r="P101" s="8">
        <v>384.75</v>
      </c>
      <c r="Q101" s="8">
        <v>3</v>
      </c>
      <c r="R101" s="8" t="s">
        <v>34</v>
      </c>
      <c r="S101" s="8" t="s">
        <v>35</v>
      </c>
      <c r="T101" s="8" t="s">
        <v>89</v>
      </c>
      <c r="U101" s="9" t="s">
        <v>603</v>
      </c>
      <c r="V101" s="8" t="s">
        <v>38</v>
      </c>
    </row>
    <row r="102" spans="1:22" x14ac:dyDescent="0.5">
      <c r="A102" s="3" t="s">
        <v>604</v>
      </c>
      <c r="B102" s="4" t="s">
        <v>127</v>
      </c>
      <c r="C102" s="4" t="s">
        <v>118</v>
      </c>
      <c r="D102" s="4" t="s">
        <v>605</v>
      </c>
      <c r="E102" s="4" t="s">
        <v>606</v>
      </c>
      <c r="F102" s="4" t="s">
        <v>200</v>
      </c>
      <c r="G102" s="4" t="s">
        <v>76</v>
      </c>
      <c r="H102" s="4" t="s">
        <v>607</v>
      </c>
      <c r="I102" s="4" t="s">
        <v>294</v>
      </c>
      <c r="J102" s="4" t="s">
        <v>295</v>
      </c>
      <c r="K102" s="4" t="s">
        <v>122</v>
      </c>
      <c r="L102" s="4" t="s">
        <v>123</v>
      </c>
      <c r="M102" s="4">
        <v>19</v>
      </c>
      <c r="N102" s="4">
        <v>60</v>
      </c>
      <c r="O102" s="57">
        <v>10</v>
      </c>
      <c r="P102" s="4">
        <v>1026</v>
      </c>
      <c r="Q102" s="4">
        <v>5</v>
      </c>
      <c r="R102" s="4" t="s">
        <v>48</v>
      </c>
      <c r="S102" s="4" t="s">
        <v>115</v>
      </c>
      <c r="T102" s="4" t="s">
        <v>132</v>
      </c>
      <c r="U102" s="6" t="s">
        <v>608</v>
      </c>
      <c r="V102" s="4" t="s">
        <v>38</v>
      </c>
    </row>
    <row r="103" spans="1:22" x14ac:dyDescent="0.5">
      <c r="A103" s="7" t="s">
        <v>609</v>
      </c>
      <c r="B103" s="8" t="s">
        <v>327</v>
      </c>
      <c r="C103" s="8" t="s">
        <v>184</v>
      </c>
      <c r="D103" s="8" t="s">
        <v>610</v>
      </c>
      <c r="E103" s="8" t="s">
        <v>611</v>
      </c>
      <c r="F103" s="8" t="s">
        <v>394</v>
      </c>
      <c r="G103" s="8" t="s">
        <v>76</v>
      </c>
      <c r="H103" s="8" t="s">
        <v>612</v>
      </c>
      <c r="I103" s="8" t="s">
        <v>138</v>
      </c>
      <c r="J103" s="8" t="s">
        <v>106</v>
      </c>
      <c r="K103" s="8" t="s">
        <v>46</v>
      </c>
      <c r="L103" s="8" t="s">
        <v>189</v>
      </c>
      <c r="M103" s="8">
        <v>4</v>
      </c>
      <c r="N103" s="8">
        <v>700</v>
      </c>
      <c r="O103" s="58">
        <v>5</v>
      </c>
      <c r="P103" s="8">
        <v>2660</v>
      </c>
      <c r="Q103" s="8">
        <v>3</v>
      </c>
      <c r="R103" s="8" t="s">
        <v>48</v>
      </c>
      <c r="S103" s="8" t="s">
        <v>61</v>
      </c>
      <c r="T103" s="8" t="s">
        <v>332</v>
      </c>
      <c r="U103" s="9" t="s">
        <v>613</v>
      </c>
      <c r="V103" s="8" t="s">
        <v>38</v>
      </c>
    </row>
    <row r="104" spans="1:22" x14ac:dyDescent="0.5">
      <c r="A104" s="3" t="s">
        <v>614</v>
      </c>
      <c r="B104" s="4" t="s">
        <v>327</v>
      </c>
      <c r="C104" s="4" t="s">
        <v>92</v>
      </c>
      <c r="D104" s="4" t="s">
        <v>583</v>
      </c>
      <c r="E104" s="4" t="s">
        <v>615</v>
      </c>
      <c r="F104" s="4" t="s">
        <v>394</v>
      </c>
      <c r="G104" s="4" t="s">
        <v>76</v>
      </c>
      <c r="H104" s="4" t="s">
        <v>616</v>
      </c>
      <c r="I104" s="4" t="s">
        <v>114</v>
      </c>
      <c r="J104" s="4" t="s">
        <v>106</v>
      </c>
      <c r="K104" s="4" t="s">
        <v>32</v>
      </c>
      <c r="L104" s="4" t="s">
        <v>97</v>
      </c>
      <c r="M104" s="4">
        <v>16</v>
      </c>
      <c r="N104" s="4">
        <v>3500</v>
      </c>
      <c r="O104" s="57">
        <v>0</v>
      </c>
      <c r="P104" s="4">
        <v>56000</v>
      </c>
      <c r="Q104" s="4">
        <v>2</v>
      </c>
      <c r="R104" s="4" t="s">
        <v>79</v>
      </c>
      <c r="S104" s="4" t="s">
        <v>49</v>
      </c>
      <c r="T104" s="4" t="s">
        <v>332</v>
      </c>
      <c r="U104" s="6" t="s">
        <v>617</v>
      </c>
      <c r="V104" s="4" t="s">
        <v>38</v>
      </c>
    </row>
    <row r="105" spans="1:22" x14ac:dyDescent="0.5">
      <c r="A105" s="7" t="s">
        <v>618</v>
      </c>
      <c r="B105" s="8" t="s">
        <v>251</v>
      </c>
      <c r="C105" s="8" t="s">
        <v>259</v>
      </c>
      <c r="D105" s="8" t="s">
        <v>619</v>
      </c>
      <c r="E105" s="8" t="s">
        <v>620</v>
      </c>
      <c r="F105" s="8" t="s">
        <v>254</v>
      </c>
      <c r="G105" s="8" t="s">
        <v>28</v>
      </c>
      <c r="H105" s="8" t="s">
        <v>621</v>
      </c>
      <c r="I105" s="8" t="s">
        <v>59</v>
      </c>
      <c r="J105" s="8" t="s">
        <v>31</v>
      </c>
      <c r="K105" s="8" t="s">
        <v>122</v>
      </c>
      <c r="L105" s="8" t="s">
        <v>263</v>
      </c>
      <c r="M105" s="8">
        <v>5</v>
      </c>
      <c r="N105" s="8">
        <v>45</v>
      </c>
      <c r="O105" s="58">
        <v>20</v>
      </c>
      <c r="P105" s="8">
        <v>180</v>
      </c>
      <c r="Q105" s="8">
        <v>3</v>
      </c>
      <c r="R105" s="8" t="s">
        <v>79</v>
      </c>
      <c r="S105" s="8" t="s">
        <v>35</v>
      </c>
      <c r="T105" s="8" t="s">
        <v>256</v>
      </c>
      <c r="U105" s="9" t="s">
        <v>622</v>
      </c>
      <c r="V105" s="8" t="s">
        <v>38</v>
      </c>
    </row>
    <row r="106" spans="1:22" x14ac:dyDescent="0.5">
      <c r="A106" s="3" t="s">
        <v>623</v>
      </c>
      <c r="B106" s="4" t="s">
        <v>83</v>
      </c>
      <c r="C106" s="4" t="s">
        <v>222</v>
      </c>
      <c r="D106" s="4" t="s">
        <v>624</v>
      </c>
      <c r="E106" s="4" t="s">
        <v>525</v>
      </c>
      <c r="F106" s="4" t="s">
        <v>180</v>
      </c>
      <c r="G106" s="4" t="s">
        <v>76</v>
      </c>
      <c r="H106" s="4" t="s">
        <v>625</v>
      </c>
      <c r="I106" s="4" t="s">
        <v>105</v>
      </c>
      <c r="J106" s="4" t="s">
        <v>106</v>
      </c>
      <c r="K106" s="4" t="s">
        <v>122</v>
      </c>
      <c r="L106" s="4" t="s">
        <v>227</v>
      </c>
      <c r="M106" s="4">
        <v>9</v>
      </c>
      <c r="N106" s="4">
        <v>20</v>
      </c>
      <c r="O106" s="57">
        <v>10</v>
      </c>
      <c r="P106" s="4">
        <v>162</v>
      </c>
      <c r="Q106" s="4">
        <v>4</v>
      </c>
      <c r="R106" s="4" t="s">
        <v>79</v>
      </c>
      <c r="S106" s="4" t="s">
        <v>35</v>
      </c>
      <c r="T106" s="4" t="s">
        <v>89</v>
      </c>
      <c r="U106" s="6" t="s">
        <v>626</v>
      </c>
      <c r="V106" s="4" t="s">
        <v>64</v>
      </c>
    </row>
    <row r="107" spans="1:22" x14ac:dyDescent="0.5">
      <c r="A107" s="7" t="s">
        <v>627</v>
      </c>
      <c r="B107" s="8" t="s">
        <v>53</v>
      </c>
      <c r="C107" s="8" t="s">
        <v>72</v>
      </c>
      <c r="D107" s="8" t="s">
        <v>628</v>
      </c>
      <c r="E107" s="8" t="s">
        <v>431</v>
      </c>
      <c r="F107" s="8" t="s">
        <v>163</v>
      </c>
      <c r="G107" s="8" t="s">
        <v>28</v>
      </c>
      <c r="H107" s="8" t="s">
        <v>629</v>
      </c>
      <c r="I107" s="8" t="s">
        <v>44</v>
      </c>
      <c r="J107" s="8" t="s">
        <v>45</v>
      </c>
      <c r="K107" s="8" t="s">
        <v>46</v>
      </c>
      <c r="L107" s="8" t="s">
        <v>78</v>
      </c>
      <c r="M107" s="8">
        <v>9</v>
      </c>
      <c r="N107" s="8">
        <v>1200</v>
      </c>
      <c r="O107" s="58">
        <v>5</v>
      </c>
      <c r="P107" s="8">
        <v>10260</v>
      </c>
      <c r="Q107" s="8">
        <v>3</v>
      </c>
      <c r="R107" s="8" t="s">
        <v>88</v>
      </c>
      <c r="S107" s="8" t="s">
        <v>35</v>
      </c>
      <c r="T107" s="8" t="s">
        <v>62</v>
      </c>
      <c r="U107" s="9" t="s">
        <v>630</v>
      </c>
      <c r="V107" s="8" t="s">
        <v>64</v>
      </c>
    </row>
    <row r="108" spans="1:22" x14ac:dyDescent="0.5">
      <c r="A108" s="3" t="s">
        <v>631</v>
      </c>
      <c r="B108" s="4" t="s">
        <v>100</v>
      </c>
      <c r="C108" s="4" t="s">
        <v>92</v>
      </c>
      <c r="D108" s="4" t="s">
        <v>387</v>
      </c>
      <c r="E108" s="4" t="s">
        <v>632</v>
      </c>
      <c r="F108" s="4" t="s">
        <v>103</v>
      </c>
      <c r="G108" s="4" t="s">
        <v>28</v>
      </c>
      <c r="H108" s="4" t="s">
        <v>633</v>
      </c>
      <c r="I108" s="4" t="s">
        <v>44</v>
      </c>
      <c r="J108" s="4" t="s">
        <v>45</v>
      </c>
      <c r="K108" s="4" t="s">
        <v>32</v>
      </c>
      <c r="L108" s="4" t="s">
        <v>97</v>
      </c>
      <c r="M108" s="4">
        <v>3</v>
      </c>
      <c r="N108" s="4">
        <v>3500</v>
      </c>
      <c r="O108" s="57">
        <v>10</v>
      </c>
      <c r="P108" s="4">
        <v>9450</v>
      </c>
      <c r="Q108" s="4">
        <v>2</v>
      </c>
      <c r="R108" s="4" t="s">
        <v>79</v>
      </c>
      <c r="S108" s="4" t="s">
        <v>151</v>
      </c>
      <c r="T108" s="4" t="s">
        <v>144</v>
      </c>
      <c r="U108" s="6" t="s">
        <v>634</v>
      </c>
      <c r="V108" s="4" t="s">
        <v>69</v>
      </c>
    </row>
    <row r="109" spans="1:22" x14ac:dyDescent="0.5">
      <c r="A109" s="7" t="s">
        <v>635</v>
      </c>
      <c r="B109" s="8" t="s">
        <v>221</v>
      </c>
      <c r="C109" s="8" t="s">
        <v>72</v>
      </c>
      <c r="D109" s="8" t="s">
        <v>241</v>
      </c>
      <c r="E109" s="8" t="s">
        <v>636</v>
      </c>
      <c r="F109" s="8" t="s">
        <v>225</v>
      </c>
      <c r="G109" s="8" t="s">
        <v>76</v>
      </c>
      <c r="H109" s="8" t="s">
        <v>637</v>
      </c>
      <c r="I109" s="8" t="s">
        <v>105</v>
      </c>
      <c r="J109" s="8" t="s">
        <v>106</v>
      </c>
      <c r="K109" s="8" t="s">
        <v>46</v>
      </c>
      <c r="L109" s="8" t="s">
        <v>78</v>
      </c>
      <c r="M109" s="8">
        <v>6</v>
      </c>
      <c r="N109" s="8">
        <v>1200</v>
      </c>
      <c r="O109" s="58">
        <v>15</v>
      </c>
      <c r="P109" s="8">
        <v>6120</v>
      </c>
      <c r="Q109" s="8">
        <v>4</v>
      </c>
      <c r="R109" s="8" t="s">
        <v>88</v>
      </c>
      <c r="S109" s="8" t="s">
        <v>35</v>
      </c>
      <c r="T109" s="8" t="s">
        <v>228</v>
      </c>
      <c r="U109" s="9" t="s">
        <v>638</v>
      </c>
      <c r="V109" s="8" t="s">
        <v>69</v>
      </c>
    </row>
    <row r="110" spans="1:22" x14ac:dyDescent="0.5">
      <c r="A110" s="3" t="s">
        <v>639</v>
      </c>
      <c r="B110" s="4" t="s">
        <v>83</v>
      </c>
      <c r="C110" s="4" t="s">
        <v>72</v>
      </c>
      <c r="D110" s="4" t="s">
        <v>640</v>
      </c>
      <c r="E110" s="4" t="s">
        <v>641</v>
      </c>
      <c r="F110" s="4" t="s">
        <v>180</v>
      </c>
      <c r="G110" s="4" t="s">
        <v>76</v>
      </c>
      <c r="H110" s="4" t="s">
        <v>642</v>
      </c>
      <c r="I110" s="4" t="s">
        <v>212</v>
      </c>
      <c r="J110" s="4" t="s">
        <v>45</v>
      </c>
      <c r="K110" s="4" t="s">
        <v>46</v>
      </c>
      <c r="L110" s="4" t="s">
        <v>78</v>
      </c>
      <c r="M110" s="4">
        <v>17</v>
      </c>
      <c r="N110" s="4">
        <v>1200</v>
      </c>
      <c r="O110" s="57">
        <v>15</v>
      </c>
      <c r="P110" s="4">
        <v>17340</v>
      </c>
      <c r="Q110" s="4">
        <v>1</v>
      </c>
      <c r="R110" s="4" t="s">
        <v>34</v>
      </c>
      <c r="S110" s="4" t="s">
        <v>61</v>
      </c>
      <c r="T110" s="4" t="s">
        <v>89</v>
      </c>
      <c r="U110" s="6" t="s">
        <v>643</v>
      </c>
      <c r="V110" s="4" t="s">
        <v>38</v>
      </c>
    </row>
    <row r="111" spans="1:22" x14ac:dyDescent="0.5">
      <c r="A111" s="7" t="s">
        <v>644</v>
      </c>
      <c r="B111" s="8" t="s">
        <v>221</v>
      </c>
      <c r="C111" s="8" t="s">
        <v>169</v>
      </c>
      <c r="D111" s="8" t="s">
        <v>645</v>
      </c>
      <c r="E111" s="8" t="s">
        <v>287</v>
      </c>
      <c r="F111" s="8" t="s">
        <v>225</v>
      </c>
      <c r="G111" s="8" t="s">
        <v>76</v>
      </c>
      <c r="H111" s="8" t="s">
        <v>646</v>
      </c>
      <c r="I111" s="8" t="s">
        <v>59</v>
      </c>
      <c r="J111" s="8" t="s">
        <v>31</v>
      </c>
      <c r="K111" s="8" t="s">
        <v>32</v>
      </c>
      <c r="L111" s="8" t="s">
        <v>174</v>
      </c>
      <c r="M111" s="8">
        <v>15</v>
      </c>
      <c r="N111" s="8">
        <v>8500</v>
      </c>
      <c r="O111" s="58">
        <v>0</v>
      </c>
      <c r="P111" s="8">
        <v>127500</v>
      </c>
      <c r="Q111" s="8">
        <v>3</v>
      </c>
      <c r="R111" s="8" t="s">
        <v>34</v>
      </c>
      <c r="S111" s="8" t="s">
        <v>115</v>
      </c>
      <c r="T111" s="8" t="s">
        <v>228</v>
      </c>
      <c r="U111" s="9" t="s">
        <v>647</v>
      </c>
      <c r="V111" s="8" t="s">
        <v>64</v>
      </c>
    </row>
    <row r="112" spans="1:22" x14ac:dyDescent="0.5">
      <c r="A112" s="3" t="s">
        <v>648</v>
      </c>
      <c r="B112" s="4" t="s">
        <v>127</v>
      </c>
      <c r="C112" s="4" t="s">
        <v>72</v>
      </c>
      <c r="D112" s="4" t="s">
        <v>101</v>
      </c>
      <c r="E112" s="4" t="s">
        <v>102</v>
      </c>
      <c r="F112" s="4" t="s">
        <v>200</v>
      </c>
      <c r="G112" s="4" t="s">
        <v>76</v>
      </c>
      <c r="H112" s="4" t="s">
        <v>649</v>
      </c>
      <c r="I112" s="4" t="s">
        <v>30</v>
      </c>
      <c r="J112" s="4" t="s">
        <v>31</v>
      </c>
      <c r="K112" s="4" t="s">
        <v>46</v>
      </c>
      <c r="L112" s="4" t="s">
        <v>78</v>
      </c>
      <c r="M112" s="4">
        <v>1</v>
      </c>
      <c r="N112" s="4">
        <v>1200</v>
      </c>
      <c r="O112" s="57">
        <v>20</v>
      </c>
      <c r="P112" s="4">
        <v>960</v>
      </c>
      <c r="Q112" s="4">
        <v>1</v>
      </c>
      <c r="R112" s="4" t="s">
        <v>88</v>
      </c>
      <c r="S112" s="4" t="s">
        <v>115</v>
      </c>
      <c r="T112" s="4" t="s">
        <v>132</v>
      </c>
      <c r="U112" s="6" t="s">
        <v>650</v>
      </c>
      <c r="V112" s="4" t="s">
        <v>64</v>
      </c>
    </row>
    <row r="113" spans="1:22" x14ac:dyDescent="0.5">
      <c r="A113" s="7" t="s">
        <v>651</v>
      </c>
      <c r="B113" s="8" t="s">
        <v>127</v>
      </c>
      <c r="C113" s="8" t="s">
        <v>169</v>
      </c>
      <c r="D113" s="8" t="s">
        <v>652</v>
      </c>
      <c r="E113" s="8" t="s">
        <v>539</v>
      </c>
      <c r="F113" s="8" t="s">
        <v>200</v>
      </c>
      <c r="G113" s="8" t="s">
        <v>76</v>
      </c>
      <c r="H113" s="8" t="s">
        <v>653</v>
      </c>
      <c r="I113" s="8" t="s">
        <v>294</v>
      </c>
      <c r="J113" s="8" t="s">
        <v>295</v>
      </c>
      <c r="K113" s="8" t="s">
        <v>32</v>
      </c>
      <c r="L113" s="8" t="s">
        <v>174</v>
      </c>
      <c r="M113" s="8">
        <v>5</v>
      </c>
      <c r="N113" s="8">
        <v>8500</v>
      </c>
      <c r="O113" s="58">
        <v>10</v>
      </c>
      <c r="P113" s="8">
        <v>38250</v>
      </c>
      <c r="Q113" s="8">
        <v>1</v>
      </c>
      <c r="R113" s="8" t="s">
        <v>79</v>
      </c>
      <c r="S113" s="8" t="s">
        <v>61</v>
      </c>
      <c r="T113" s="8" t="s">
        <v>132</v>
      </c>
      <c r="U113" s="9" t="s">
        <v>654</v>
      </c>
      <c r="V113" s="8" t="s">
        <v>38</v>
      </c>
    </row>
    <row r="114" spans="1:22" x14ac:dyDescent="0.5">
      <c r="A114" s="3" t="s">
        <v>655</v>
      </c>
      <c r="B114" s="4" t="s">
        <v>53</v>
      </c>
      <c r="C114" s="4" t="s">
        <v>259</v>
      </c>
      <c r="D114" s="4" t="s">
        <v>656</v>
      </c>
      <c r="E114" s="4" t="s">
        <v>657</v>
      </c>
      <c r="F114" s="4" t="s">
        <v>163</v>
      </c>
      <c r="G114" s="4" t="s">
        <v>28</v>
      </c>
      <c r="H114" s="4" t="s">
        <v>658</v>
      </c>
      <c r="I114" s="4" t="s">
        <v>30</v>
      </c>
      <c r="J114" s="4" t="s">
        <v>31</v>
      </c>
      <c r="K114" s="4" t="s">
        <v>122</v>
      </c>
      <c r="L114" s="4" t="s">
        <v>263</v>
      </c>
      <c r="M114" s="4">
        <v>12</v>
      </c>
      <c r="N114" s="4">
        <v>45</v>
      </c>
      <c r="O114" s="57">
        <v>5</v>
      </c>
      <c r="P114" s="4">
        <v>513</v>
      </c>
      <c r="Q114" s="4">
        <v>2</v>
      </c>
      <c r="R114" s="4" t="s">
        <v>48</v>
      </c>
      <c r="S114" s="4" t="s">
        <v>35</v>
      </c>
      <c r="T114" s="4" t="s">
        <v>62</v>
      </c>
      <c r="U114" s="6" t="s">
        <v>659</v>
      </c>
      <c r="V114" s="4" t="s">
        <v>69</v>
      </c>
    </row>
    <row r="115" spans="1:22" x14ac:dyDescent="0.5">
      <c r="A115" s="7" t="s">
        <v>660</v>
      </c>
      <c r="B115" s="8" t="s">
        <v>221</v>
      </c>
      <c r="C115" s="8" t="s">
        <v>118</v>
      </c>
      <c r="D115" s="8" t="s">
        <v>341</v>
      </c>
      <c r="E115" s="8" t="s">
        <v>661</v>
      </c>
      <c r="F115" s="8" t="s">
        <v>225</v>
      </c>
      <c r="G115" s="8" t="s">
        <v>76</v>
      </c>
      <c r="H115" s="8" t="s">
        <v>662</v>
      </c>
      <c r="I115" s="8" t="s">
        <v>114</v>
      </c>
      <c r="J115" s="8" t="s">
        <v>106</v>
      </c>
      <c r="K115" s="8" t="s">
        <v>122</v>
      </c>
      <c r="L115" s="8" t="s">
        <v>123</v>
      </c>
      <c r="M115" s="8">
        <v>5</v>
      </c>
      <c r="N115" s="8">
        <v>60</v>
      </c>
      <c r="O115" s="58">
        <v>5</v>
      </c>
      <c r="P115" s="8">
        <v>285</v>
      </c>
      <c r="Q115" s="8">
        <v>2</v>
      </c>
      <c r="R115" s="8" t="s">
        <v>34</v>
      </c>
      <c r="S115" s="8" t="s">
        <v>61</v>
      </c>
      <c r="T115" s="8" t="s">
        <v>228</v>
      </c>
      <c r="U115" s="9" t="s">
        <v>663</v>
      </c>
      <c r="V115" s="8" t="s">
        <v>38</v>
      </c>
    </row>
    <row r="116" spans="1:22" x14ac:dyDescent="0.5">
      <c r="A116" s="3" t="s">
        <v>664</v>
      </c>
      <c r="B116" s="4" t="s">
        <v>53</v>
      </c>
      <c r="C116" s="4" t="s">
        <v>184</v>
      </c>
      <c r="D116" s="4" t="s">
        <v>665</v>
      </c>
      <c r="E116" s="4" t="s">
        <v>666</v>
      </c>
      <c r="F116" s="4" t="s">
        <v>163</v>
      </c>
      <c r="G116" s="4" t="s">
        <v>28</v>
      </c>
      <c r="H116" s="4" t="s">
        <v>667</v>
      </c>
      <c r="I116" s="4" t="s">
        <v>294</v>
      </c>
      <c r="J116" s="4" t="s">
        <v>295</v>
      </c>
      <c r="K116" s="4" t="s">
        <v>46</v>
      </c>
      <c r="L116" s="4" t="s">
        <v>189</v>
      </c>
      <c r="M116" s="4">
        <v>3</v>
      </c>
      <c r="N116" s="4">
        <v>700</v>
      </c>
      <c r="O116" s="57">
        <v>0</v>
      </c>
      <c r="P116" s="4">
        <v>2100</v>
      </c>
      <c r="Q116" s="4">
        <v>4</v>
      </c>
      <c r="R116" s="4" t="s">
        <v>79</v>
      </c>
      <c r="S116" s="4" t="s">
        <v>61</v>
      </c>
      <c r="T116" s="4" t="s">
        <v>62</v>
      </c>
      <c r="U116" s="6" t="s">
        <v>668</v>
      </c>
      <c r="V116" s="4" t="s">
        <v>38</v>
      </c>
    </row>
    <row r="117" spans="1:22" x14ac:dyDescent="0.5">
      <c r="A117" s="7" t="s">
        <v>669</v>
      </c>
      <c r="B117" s="8" t="s">
        <v>168</v>
      </c>
      <c r="C117" s="8" t="s">
        <v>222</v>
      </c>
      <c r="D117" s="8" t="s">
        <v>335</v>
      </c>
      <c r="E117" s="8" t="s">
        <v>606</v>
      </c>
      <c r="F117" s="8" t="s">
        <v>361</v>
      </c>
      <c r="G117" s="8" t="s">
        <v>28</v>
      </c>
      <c r="H117" s="8" t="s">
        <v>670</v>
      </c>
      <c r="I117" s="8" t="s">
        <v>44</v>
      </c>
      <c r="J117" s="8" t="s">
        <v>45</v>
      </c>
      <c r="K117" s="8" t="s">
        <v>122</v>
      </c>
      <c r="L117" s="8" t="s">
        <v>227</v>
      </c>
      <c r="M117" s="8">
        <v>6</v>
      </c>
      <c r="N117" s="8">
        <v>20</v>
      </c>
      <c r="O117" s="58">
        <v>15</v>
      </c>
      <c r="P117" s="8">
        <v>102</v>
      </c>
      <c r="Q117" s="8">
        <v>5</v>
      </c>
      <c r="R117" s="8" t="s">
        <v>79</v>
      </c>
      <c r="S117" s="8" t="s">
        <v>151</v>
      </c>
      <c r="T117" s="8" t="s">
        <v>175</v>
      </c>
      <c r="U117" s="9" t="s">
        <v>671</v>
      </c>
      <c r="V117" s="8" t="s">
        <v>38</v>
      </c>
    </row>
    <row r="118" spans="1:22" x14ac:dyDescent="0.5">
      <c r="A118" s="3" t="s">
        <v>672</v>
      </c>
      <c r="B118" s="4" t="s">
        <v>100</v>
      </c>
      <c r="C118" s="4" t="s">
        <v>184</v>
      </c>
      <c r="D118" s="4" t="s">
        <v>673</v>
      </c>
      <c r="E118" s="4" t="s">
        <v>674</v>
      </c>
      <c r="F118" s="4" t="s">
        <v>103</v>
      </c>
      <c r="G118" s="4" t="s">
        <v>28</v>
      </c>
      <c r="H118" s="4" t="s">
        <v>675</v>
      </c>
      <c r="I118" s="4" t="s">
        <v>59</v>
      </c>
      <c r="J118" s="4" t="s">
        <v>31</v>
      </c>
      <c r="K118" s="4" t="s">
        <v>46</v>
      </c>
      <c r="L118" s="4" t="s">
        <v>189</v>
      </c>
      <c r="M118" s="4">
        <v>2</v>
      </c>
      <c r="N118" s="4">
        <v>700</v>
      </c>
      <c r="O118" s="57">
        <v>15</v>
      </c>
      <c r="P118" s="4">
        <v>1190</v>
      </c>
      <c r="Q118" s="4">
        <v>4</v>
      </c>
      <c r="R118" s="4" t="s">
        <v>34</v>
      </c>
      <c r="S118" s="4" t="s">
        <v>151</v>
      </c>
      <c r="T118" s="4" t="s">
        <v>144</v>
      </c>
      <c r="U118" s="6" t="s">
        <v>676</v>
      </c>
      <c r="V118" s="4" t="s">
        <v>64</v>
      </c>
    </row>
    <row r="119" spans="1:22" x14ac:dyDescent="0.5">
      <c r="A119" s="7" t="s">
        <v>677</v>
      </c>
      <c r="B119" s="8" t="s">
        <v>327</v>
      </c>
      <c r="C119" s="8" t="s">
        <v>259</v>
      </c>
      <c r="D119" s="8" t="s">
        <v>678</v>
      </c>
      <c r="E119" s="8" t="s">
        <v>679</v>
      </c>
      <c r="F119" s="8" t="s">
        <v>394</v>
      </c>
      <c r="G119" s="8" t="s">
        <v>76</v>
      </c>
      <c r="H119" s="8" t="s">
        <v>680</v>
      </c>
      <c r="I119" s="8" t="s">
        <v>114</v>
      </c>
      <c r="J119" s="8" t="s">
        <v>106</v>
      </c>
      <c r="K119" s="8" t="s">
        <v>122</v>
      </c>
      <c r="L119" s="8" t="s">
        <v>263</v>
      </c>
      <c r="M119" s="8">
        <v>16</v>
      </c>
      <c r="N119" s="8">
        <v>45</v>
      </c>
      <c r="O119" s="58">
        <v>0</v>
      </c>
      <c r="P119" s="8">
        <v>720</v>
      </c>
      <c r="Q119" s="8">
        <v>1</v>
      </c>
      <c r="R119" s="8" t="s">
        <v>48</v>
      </c>
      <c r="S119" s="8" t="s">
        <v>61</v>
      </c>
      <c r="T119" s="8" t="s">
        <v>332</v>
      </c>
      <c r="U119" s="9" t="s">
        <v>681</v>
      </c>
      <c r="V119" s="8" t="s">
        <v>38</v>
      </c>
    </row>
    <row r="120" spans="1:22" x14ac:dyDescent="0.5">
      <c r="A120" s="3" t="s">
        <v>682</v>
      </c>
      <c r="B120" s="4" t="s">
        <v>71</v>
      </c>
      <c r="C120" s="4" t="s">
        <v>72</v>
      </c>
      <c r="D120" s="4" t="s">
        <v>683</v>
      </c>
      <c r="E120" s="4" t="s">
        <v>684</v>
      </c>
      <c r="F120" s="4" t="s">
        <v>217</v>
      </c>
      <c r="G120" s="4" t="s">
        <v>76</v>
      </c>
      <c r="H120" s="4" t="s">
        <v>685</v>
      </c>
      <c r="I120" s="4" t="s">
        <v>138</v>
      </c>
      <c r="J120" s="4" t="s">
        <v>106</v>
      </c>
      <c r="K120" s="4" t="s">
        <v>46</v>
      </c>
      <c r="L120" s="4" t="s">
        <v>78</v>
      </c>
      <c r="M120" s="4"/>
      <c r="N120" s="4">
        <v>1200</v>
      </c>
      <c r="O120" s="57">
        <v>15</v>
      </c>
      <c r="P120" s="4">
        <v>7140</v>
      </c>
      <c r="Q120" s="4">
        <v>4</v>
      </c>
      <c r="R120" s="4" t="s">
        <v>88</v>
      </c>
      <c r="S120" s="4" t="s">
        <v>151</v>
      </c>
      <c r="T120" s="4" t="s">
        <v>80</v>
      </c>
      <c r="U120" s="6" t="s">
        <v>687</v>
      </c>
      <c r="V120" s="4" t="s">
        <v>64</v>
      </c>
    </row>
    <row r="121" spans="1:22" x14ac:dyDescent="0.5">
      <c r="A121" s="7" t="s">
        <v>688</v>
      </c>
      <c r="B121" s="8" t="s">
        <v>100</v>
      </c>
      <c r="C121" s="8" t="s">
        <v>40</v>
      </c>
      <c r="D121" s="8" t="s">
        <v>376</v>
      </c>
      <c r="E121" s="8" t="s">
        <v>469</v>
      </c>
      <c r="F121" s="8" t="s">
        <v>103</v>
      </c>
      <c r="G121" s="8" t="s">
        <v>28</v>
      </c>
      <c r="H121" s="8" t="s">
        <v>689</v>
      </c>
      <c r="I121" s="8" t="s">
        <v>212</v>
      </c>
      <c r="J121" s="8" t="s">
        <v>45</v>
      </c>
      <c r="K121" s="8" t="s">
        <v>46</v>
      </c>
      <c r="L121" s="8" t="s">
        <v>47</v>
      </c>
      <c r="M121" s="8">
        <v>14</v>
      </c>
      <c r="N121" s="8">
        <v>12000</v>
      </c>
      <c r="O121" s="58">
        <v>15</v>
      </c>
      <c r="P121" s="8">
        <v>142800</v>
      </c>
      <c r="Q121" s="8">
        <v>2</v>
      </c>
      <c r="R121" s="8" t="s">
        <v>48</v>
      </c>
      <c r="S121" s="8" t="s">
        <v>61</v>
      </c>
      <c r="T121" s="8" t="s">
        <v>144</v>
      </c>
      <c r="U121" s="9" t="s">
        <v>690</v>
      </c>
      <c r="V121" s="8" t="s">
        <v>64</v>
      </c>
    </row>
    <row r="122" spans="1:22" x14ac:dyDescent="0.5">
      <c r="A122" s="3" t="s">
        <v>691</v>
      </c>
      <c r="B122" s="4" t="s">
        <v>127</v>
      </c>
      <c r="C122" s="4" t="s">
        <v>169</v>
      </c>
      <c r="D122" s="4" t="s">
        <v>454</v>
      </c>
      <c r="E122" s="4" t="s">
        <v>692</v>
      </c>
      <c r="F122" s="4" t="s">
        <v>200</v>
      </c>
      <c r="G122" s="4" t="s">
        <v>76</v>
      </c>
      <c r="H122" s="4" t="s">
        <v>693</v>
      </c>
      <c r="I122" s="4" t="s">
        <v>114</v>
      </c>
      <c r="J122" s="4" t="s">
        <v>106</v>
      </c>
      <c r="K122" s="4" t="s">
        <v>32</v>
      </c>
      <c r="L122" s="4" t="s">
        <v>174</v>
      </c>
      <c r="M122" s="4">
        <v>8</v>
      </c>
      <c r="N122" s="4">
        <v>8500</v>
      </c>
      <c r="O122" s="57">
        <v>20</v>
      </c>
      <c r="P122" s="4">
        <v>54400</v>
      </c>
      <c r="Q122" s="4">
        <v>3</v>
      </c>
      <c r="R122" s="4" t="s">
        <v>79</v>
      </c>
      <c r="S122" s="4" t="s">
        <v>49</v>
      </c>
      <c r="T122" s="4" t="s">
        <v>132</v>
      </c>
      <c r="U122" s="6" t="s">
        <v>694</v>
      </c>
      <c r="V122" s="4" t="s">
        <v>38</v>
      </c>
    </row>
    <row r="123" spans="1:22" x14ac:dyDescent="0.5">
      <c r="A123" s="7" t="s">
        <v>695</v>
      </c>
      <c r="B123" s="8" t="s">
        <v>83</v>
      </c>
      <c r="C123" s="8" t="s">
        <v>259</v>
      </c>
      <c r="D123" s="8" t="s">
        <v>110</v>
      </c>
      <c r="E123" s="8" t="s">
        <v>313</v>
      </c>
      <c r="F123" s="8" t="s">
        <v>180</v>
      </c>
      <c r="G123" s="8" t="s">
        <v>76</v>
      </c>
      <c r="H123" s="8" t="s">
        <v>696</v>
      </c>
      <c r="I123" s="8" t="s">
        <v>59</v>
      </c>
      <c r="J123" s="8" t="s">
        <v>31</v>
      </c>
      <c r="K123" s="8" t="s">
        <v>122</v>
      </c>
      <c r="L123" s="8" t="s">
        <v>263</v>
      </c>
      <c r="M123" s="8">
        <v>3</v>
      </c>
      <c r="N123" s="8">
        <v>45</v>
      </c>
      <c r="O123" s="58">
        <v>0</v>
      </c>
      <c r="P123" s="8">
        <v>135</v>
      </c>
      <c r="Q123" s="8">
        <v>4</v>
      </c>
      <c r="R123" s="8" t="s">
        <v>88</v>
      </c>
      <c r="S123" s="8" t="s">
        <v>61</v>
      </c>
      <c r="T123" s="8" t="s">
        <v>89</v>
      </c>
      <c r="U123" s="9" t="s">
        <v>697</v>
      </c>
      <c r="V123" s="8" t="s">
        <v>69</v>
      </c>
    </row>
    <row r="124" spans="1:22" x14ac:dyDescent="0.5">
      <c r="A124" s="3" t="s">
        <v>698</v>
      </c>
      <c r="B124" s="4" t="s">
        <v>327</v>
      </c>
      <c r="C124" s="4" t="s">
        <v>184</v>
      </c>
      <c r="D124" s="4" t="s">
        <v>464</v>
      </c>
      <c r="E124" s="4" t="s">
        <v>84</v>
      </c>
      <c r="F124" s="4" t="s">
        <v>394</v>
      </c>
      <c r="G124" s="4" t="s">
        <v>76</v>
      </c>
      <c r="H124" s="4" t="s">
        <v>699</v>
      </c>
      <c r="I124" s="4" t="s">
        <v>212</v>
      </c>
      <c r="J124" s="4" t="s">
        <v>45</v>
      </c>
      <c r="K124" s="4" t="s">
        <v>46</v>
      </c>
      <c r="L124" s="4" t="s">
        <v>189</v>
      </c>
      <c r="M124" s="4">
        <v>13</v>
      </c>
      <c r="N124" s="4">
        <v>700</v>
      </c>
      <c r="O124" s="57">
        <v>5</v>
      </c>
      <c r="P124" s="4">
        <v>8645</v>
      </c>
      <c r="Q124" s="4">
        <v>3</v>
      </c>
      <c r="R124" s="4" t="s">
        <v>79</v>
      </c>
      <c r="S124" s="4" t="s">
        <v>115</v>
      </c>
      <c r="T124" s="4" t="s">
        <v>332</v>
      </c>
      <c r="U124" s="6" t="s">
        <v>700</v>
      </c>
      <c r="V124" s="4" t="s">
        <v>64</v>
      </c>
    </row>
    <row r="125" spans="1:22" x14ac:dyDescent="0.5">
      <c r="A125" s="7" t="s">
        <v>701</v>
      </c>
      <c r="B125" s="8" t="s">
        <v>168</v>
      </c>
      <c r="C125" s="8" t="s">
        <v>72</v>
      </c>
      <c r="D125" s="8" t="s">
        <v>702</v>
      </c>
      <c r="E125" s="8" t="s">
        <v>703</v>
      </c>
      <c r="F125" s="8" t="s">
        <v>361</v>
      </c>
      <c r="G125" s="8" t="s">
        <v>28</v>
      </c>
      <c r="H125" s="8" t="s">
        <v>704</v>
      </c>
      <c r="I125" s="8" t="s">
        <v>105</v>
      </c>
      <c r="J125" s="8" t="s">
        <v>106</v>
      </c>
      <c r="K125" s="8" t="s">
        <v>46</v>
      </c>
      <c r="L125" s="8" t="s">
        <v>78</v>
      </c>
      <c r="M125" s="8">
        <v>14</v>
      </c>
      <c r="N125" s="8">
        <v>1200</v>
      </c>
      <c r="O125" s="58">
        <v>20</v>
      </c>
      <c r="P125" s="8">
        <v>13440</v>
      </c>
      <c r="Q125" s="8">
        <v>5</v>
      </c>
      <c r="R125" s="8" t="s">
        <v>48</v>
      </c>
      <c r="S125" s="8" t="s">
        <v>61</v>
      </c>
      <c r="T125" s="8" t="s">
        <v>175</v>
      </c>
      <c r="U125" s="9" t="s">
        <v>705</v>
      </c>
      <c r="V125" s="8" t="s">
        <v>38</v>
      </c>
    </row>
    <row r="126" spans="1:22" x14ac:dyDescent="0.5">
      <c r="A126" s="3" t="s">
        <v>706</v>
      </c>
      <c r="B126" s="4" t="s">
        <v>100</v>
      </c>
      <c r="C126" s="4" t="s">
        <v>259</v>
      </c>
      <c r="D126" s="4" t="s">
        <v>597</v>
      </c>
      <c r="E126" s="4" t="s">
        <v>707</v>
      </c>
      <c r="F126" s="4" t="s">
        <v>103</v>
      </c>
      <c r="G126" s="4" t="s">
        <v>28</v>
      </c>
      <c r="H126" s="4" t="s">
        <v>708</v>
      </c>
      <c r="I126" s="4" t="s">
        <v>44</v>
      </c>
      <c r="J126" s="4" t="s">
        <v>45</v>
      </c>
      <c r="K126" s="4" t="s">
        <v>122</v>
      </c>
      <c r="L126" s="4" t="s">
        <v>263</v>
      </c>
      <c r="M126" s="4">
        <v>2</v>
      </c>
      <c r="N126" s="4">
        <v>45</v>
      </c>
      <c r="O126" s="57">
        <v>5</v>
      </c>
      <c r="P126" s="4">
        <v>85.5</v>
      </c>
      <c r="Q126" s="4">
        <v>3</v>
      </c>
      <c r="R126" s="4" t="s">
        <v>88</v>
      </c>
      <c r="S126" s="4" t="s">
        <v>35</v>
      </c>
      <c r="T126" s="4" t="s">
        <v>144</v>
      </c>
      <c r="U126" s="6" t="s">
        <v>709</v>
      </c>
      <c r="V126" s="4" t="s">
        <v>69</v>
      </c>
    </row>
    <row r="127" spans="1:22" x14ac:dyDescent="0.5">
      <c r="A127" s="7" t="s">
        <v>710</v>
      </c>
      <c r="B127" s="8" t="s">
        <v>168</v>
      </c>
      <c r="C127" s="8" t="s">
        <v>72</v>
      </c>
      <c r="D127" s="8" t="s">
        <v>711</v>
      </c>
      <c r="E127" s="8" t="s">
        <v>712</v>
      </c>
      <c r="F127" s="8" t="s">
        <v>361</v>
      </c>
      <c r="G127" s="8" t="s">
        <v>28</v>
      </c>
      <c r="H127" s="8" t="s">
        <v>713</v>
      </c>
      <c r="I127" s="8" t="s">
        <v>59</v>
      </c>
      <c r="J127" s="8" t="s">
        <v>31</v>
      </c>
      <c r="K127" s="8" t="s">
        <v>46</v>
      </c>
      <c r="L127" s="8" t="s">
        <v>78</v>
      </c>
      <c r="M127" s="8">
        <v>2</v>
      </c>
      <c r="N127" s="8">
        <v>1200</v>
      </c>
      <c r="O127" s="58">
        <v>20</v>
      </c>
      <c r="P127" s="8">
        <v>1920</v>
      </c>
      <c r="Q127" s="8">
        <v>3</v>
      </c>
      <c r="R127" s="8" t="s">
        <v>79</v>
      </c>
      <c r="S127" s="8" t="s">
        <v>115</v>
      </c>
      <c r="T127" s="8" t="s">
        <v>175</v>
      </c>
      <c r="U127" s="9" t="s">
        <v>714</v>
      </c>
      <c r="V127" s="8" t="s">
        <v>38</v>
      </c>
    </row>
    <row r="128" spans="1:22" x14ac:dyDescent="0.5">
      <c r="A128" s="3" t="s">
        <v>715</v>
      </c>
      <c r="B128" s="4" t="s">
        <v>127</v>
      </c>
      <c r="C128" s="4" t="s">
        <v>54</v>
      </c>
      <c r="D128" s="4" t="s">
        <v>224</v>
      </c>
      <c r="E128" s="4" t="s">
        <v>716</v>
      </c>
      <c r="F128" s="4" t="s">
        <v>200</v>
      </c>
      <c r="G128" s="4" t="s">
        <v>76</v>
      </c>
      <c r="H128" s="4" t="s">
        <v>717</v>
      </c>
      <c r="I128" s="4" t="s">
        <v>59</v>
      </c>
      <c r="J128" s="4" t="s">
        <v>31</v>
      </c>
      <c r="K128" s="4" t="s">
        <v>46</v>
      </c>
      <c r="L128" s="4" t="s">
        <v>60</v>
      </c>
      <c r="M128" s="4">
        <v>10</v>
      </c>
      <c r="N128" s="4">
        <v>55000</v>
      </c>
      <c r="O128" s="57">
        <v>5</v>
      </c>
      <c r="P128" s="4">
        <v>522500</v>
      </c>
      <c r="Q128" s="4">
        <v>5</v>
      </c>
      <c r="R128" s="4" t="s">
        <v>88</v>
      </c>
      <c r="S128" s="4" t="s">
        <v>61</v>
      </c>
      <c r="T128" s="4" t="s">
        <v>132</v>
      </c>
      <c r="U128" s="6" t="s">
        <v>718</v>
      </c>
      <c r="V128" s="4" t="s">
        <v>64</v>
      </c>
    </row>
    <row r="129" spans="1:22" x14ac:dyDescent="0.5">
      <c r="A129" s="7" t="s">
        <v>719</v>
      </c>
      <c r="B129" s="8" t="s">
        <v>251</v>
      </c>
      <c r="C129" s="8" t="s">
        <v>92</v>
      </c>
      <c r="D129" s="8" t="s">
        <v>720</v>
      </c>
      <c r="E129" s="8" t="s">
        <v>382</v>
      </c>
      <c r="F129" s="8" t="s">
        <v>254</v>
      </c>
      <c r="G129" s="8" t="s">
        <v>28</v>
      </c>
      <c r="H129" s="8" t="s">
        <v>721</v>
      </c>
      <c r="I129" s="8" t="s">
        <v>212</v>
      </c>
      <c r="J129" s="8" t="s">
        <v>45</v>
      </c>
      <c r="K129" s="8" t="s">
        <v>32</v>
      </c>
      <c r="L129" s="8" t="s">
        <v>97</v>
      </c>
      <c r="M129" s="8">
        <v>15</v>
      </c>
      <c r="N129" s="8">
        <v>3500</v>
      </c>
      <c r="O129" s="58">
        <v>10</v>
      </c>
      <c r="P129" s="8">
        <v>47250</v>
      </c>
      <c r="Q129" s="8">
        <v>3</v>
      </c>
      <c r="R129" s="8" t="s">
        <v>48</v>
      </c>
      <c r="S129" s="8" t="s">
        <v>115</v>
      </c>
      <c r="T129" s="8" t="s">
        <v>256</v>
      </c>
      <c r="U129" s="9" t="s">
        <v>722</v>
      </c>
      <c r="V129" s="8" t="s">
        <v>38</v>
      </c>
    </row>
    <row r="130" spans="1:22" x14ac:dyDescent="0.5">
      <c r="A130" s="3" t="s">
        <v>723</v>
      </c>
      <c r="B130" s="4" t="s">
        <v>100</v>
      </c>
      <c r="C130" s="4" t="s">
        <v>24</v>
      </c>
      <c r="D130" s="4" t="s">
        <v>562</v>
      </c>
      <c r="E130" s="4" t="s">
        <v>724</v>
      </c>
      <c r="F130" s="4" t="s">
        <v>103</v>
      </c>
      <c r="G130" s="4" t="s">
        <v>28</v>
      </c>
      <c r="H130" s="4" t="s">
        <v>725</v>
      </c>
      <c r="I130" s="4" t="s">
        <v>59</v>
      </c>
      <c r="J130" s="4" t="s">
        <v>31</v>
      </c>
      <c r="K130" s="4" t="s">
        <v>32</v>
      </c>
      <c r="L130" s="4" t="s">
        <v>33</v>
      </c>
      <c r="M130" s="4">
        <v>10</v>
      </c>
      <c r="N130" s="4">
        <v>2200</v>
      </c>
      <c r="O130" s="57">
        <v>15</v>
      </c>
      <c r="P130" s="4">
        <v>18700</v>
      </c>
      <c r="Q130" s="4">
        <v>4</v>
      </c>
      <c r="R130" s="4" t="s">
        <v>79</v>
      </c>
      <c r="S130" s="4" t="s">
        <v>49</v>
      </c>
      <c r="T130" s="4" t="s">
        <v>144</v>
      </c>
      <c r="U130" s="6" t="s">
        <v>726</v>
      </c>
      <c r="V130" s="4" t="s">
        <v>64</v>
      </c>
    </row>
    <row r="131" spans="1:22" x14ac:dyDescent="0.5">
      <c r="A131" s="7" t="s">
        <v>727</v>
      </c>
      <c r="B131" s="8" t="s">
        <v>251</v>
      </c>
      <c r="C131" s="8" t="s">
        <v>92</v>
      </c>
      <c r="D131" s="8" t="s">
        <v>260</v>
      </c>
      <c r="E131" s="8" t="s">
        <v>231</v>
      </c>
      <c r="F131" s="8" t="s">
        <v>254</v>
      </c>
      <c r="G131" s="8" t="s">
        <v>28</v>
      </c>
      <c r="H131" s="8" t="s">
        <v>728</v>
      </c>
      <c r="I131" s="8" t="s">
        <v>114</v>
      </c>
      <c r="J131" s="8" t="s">
        <v>106</v>
      </c>
      <c r="K131" s="8" t="s">
        <v>32</v>
      </c>
      <c r="L131" s="8" t="s">
        <v>97</v>
      </c>
      <c r="M131" s="8">
        <v>11</v>
      </c>
      <c r="N131" s="8">
        <v>3500</v>
      </c>
      <c r="O131" s="58">
        <v>5</v>
      </c>
      <c r="P131" s="8">
        <v>36575</v>
      </c>
      <c r="Q131" s="8">
        <v>5</v>
      </c>
      <c r="R131" s="8" t="s">
        <v>34</v>
      </c>
      <c r="S131" s="8" t="s">
        <v>35</v>
      </c>
      <c r="T131" s="8" t="s">
        <v>256</v>
      </c>
      <c r="U131" s="9" t="s">
        <v>729</v>
      </c>
      <c r="V131" s="8" t="s">
        <v>69</v>
      </c>
    </row>
    <row r="132" spans="1:22" x14ac:dyDescent="0.5">
      <c r="A132" s="3" t="s">
        <v>730</v>
      </c>
      <c r="B132" s="4" t="s">
        <v>168</v>
      </c>
      <c r="C132" s="4" t="s">
        <v>72</v>
      </c>
      <c r="D132" s="4" t="s">
        <v>731</v>
      </c>
      <c r="E132" s="4" t="s">
        <v>732</v>
      </c>
      <c r="F132" s="4" t="s">
        <v>361</v>
      </c>
      <c r="G132" s="4" t="s">
        <v>28</v>
      </c>
      <c r="H132" s="4" t="s">
        <v>733</v>
      </c>
      <c r="I132" s="4" t="s">
        <v>59</v>
      </c>
      <c r="J132" s="4" t="s">
        <v>31</v>
      </c>
      <c r="K132" s="4" t="s">
        <v>46</v>
      </c>
      <c r="L132" s="4" t="s">
        <v>78</v>
      </c>
      <c r="M132" s="4">
        <v>14</v>
      </c>
      <c r="N132" s="4">
        <v>1200</v>
      </c>
      <c r="O132" s="57">
        <v>0</v>
      </c>
      <c r="P132" s="4">
        <v>16800</v>
      </c>
      <c r="Q132" s="4">
        <v>5</v>
      </c>
      <c r="R132" s="4" t="s">
        <v>34</v>
      </c>
      <c r="S132" s="4" t="s">
        <v>49</v>
      </c>
      <c r="T132" s="4" t="s">
        <v>175</v>
      </c>
      <c r="U132" s="6" t="s">
        <v>734</v>
      </c>
      <c r="V132" s="4" t="s">
        <v>69</v>
      </c>
    </row>
    <row r="133" spans="1:22" x14ac:dyDescent="0.5">
      <c r="A133" s="7" t="s">
        <v>735</v>
      </c>
      <c r="B133" s="8" t="s">
        <v>100</v>
      </c>
      <c r="C133" s="8" t="s">
        <v>222</v>
      </c>
      <c r="D133" s="8" t="s">
        <v>736</v>
      </c>
      <c r="E133" s="8" t="s">
        <v>170</v>
      </c>
      <c r="F133" s="8" t="s">
        <v>103</v>
      </c>
      <c r="G133" s="8" t="s">
        <v>28</v>
      </c>
      <c r="H133" s="8" t="s">
        <v>737</v>
      </c>
      <c r="I133" s="8" t="s">
        <v>44</v>
      </c>
      <c r="J133" s="8" t="s">
        <v>45</v>
      </c>
      <c r="K133" s="8" t="s">
        <v>122</v>
      </c>
      <c r="L133" s="8" t="s">
        <v>227</v>
      </c>
      <c r="M133" s="8">
        <v>11</v>
      </c>
      <c r="N133" s="8">
        <v>20</v>
      </c>
      <c r="O133" s="58">
        <v>20</v>
      </c>
      <c r="P133" s="8">
        <v>176</v>
      </c>
      <c r="Q133" s="8">
        <v>4</v>
      </c>
      <c r="R133" s="8" t="s">
        <v>48</v>
      </c>
      <c r="S133" s="8" t="s">
        <v>35</v>
      </c>
      <c r="T133" s="8" t="s">
        <v>144</v>
      </c>
      <c r="U133" s="9" t="s">
        <v>738</v>
      </c>
      <c r="V133" s="8" t="s">
        <v>38</v>
      </c>
    </row>
    <row r="134" spans="1:22" x14ac:dyDescent="0.5">
      <c r="A134" s="3" t="s">
        <v>739</v>
      </c>
      <c r="B134" s="4" t="s">
        <v>71</v>
      </c>
      <c r="C134" s="4" t="s">
        <v>40</v>
      </c>
      <c r="D134" s="4" t="s">
        <v>740</v>
      </c>
      <c r="E134" s="4" t="s">
        <v>657</v>
      </c>
      <c r="F134" s="4" t="s">
        <v>217</v>
      </c>
      <c r="G134" s="4" t="s">
        <v>76</v>
      </c>
      <c r="H134" s="4" t="s">
        <v>741</v>
      </c>
      <c r="I134" s="4" t="s">
        <v>114</v>
      </c>
      <c r="J134" s="4" t="s">
        <v>106</v>
      </c>
      <c r="K134" s="4" t="s">
        <v>46</v>
      </c>
      <c r="L134" s="4" t="s">
        <v>47</v>
      </c>
      <c r="M134" s="4">
        <v>6</v>
      </c>
      <c r="N134" s="4">
        <v>12000</v>
      </c>
      <c r="O134" s="57">
        <v>10</v>
      </c>
      <c r="P134" s="4">
        <v>64800</v>
      </c>
      <c r="Q134" s="4">
        <v>5</v>
      </c>
      <c r="R134" s="4" t="s">
        <v>88</v>
      </c>
      <c r="S134" s="4" t="s">
        <v>151</v>
      </c>
      <c r="T134" s="4" t="s">
        <v>80</v>
      </c>
      <c r="U134" s="6" t="s">
        <v>742</v>
      </c>
      <c r="V134" s="4" t="s">
        <v>38</v>
      </c>
    </row>
    <row r="135" spans="1:22" x14ac:dyDescent="0.5">
      <c r="A135" s="7" t="s">
        <v>743</v>
      </c>
      <c r="B135" s="8" t="s">
        <v>71</v>
      </c>
      <c r="C135" s="8" t="s">
        <v>24</v>
      </c>
      <c r="D135" s="8" t="s">
        <v>652</v>
      </c>
      <c r="E135" s="8" t="s">
        <v>539</v>
      </c>
      <c r="F135" s="8" t="s">
        <v>217</v>
      </c>
      <c r="G135" s="8" t="s">
        <v>76</v>
      </c>
      <c r="H135" s="8" t="s">
        <v>744</v>
      </c>
      <c r="I135" s="8" t="s">
        <v>30</v>
      </c>
      <c r="J135" s="8" t="s">
        <v>31</v>
      </c>
      <c r="K135" s="8" t="s">
        <v>32</v>
      </c>
      <c r="L135" s="8" t="s">
        <v>33</v>
      </c>
      <c r="M135" s="8">
        <v>6</v>
      </c>
      <c r="N135" s="8">
        <v>2200</v>
      </c>
      <c r="O135" s="58">
        <v>5</v>
      </c>
      <c r="P135" s="8">
        <v>12540</v>
      </c>
      <c r="Q135" s="8">
        <v>4</v>
      </c>
      <c r="R135" s="8" t="s">
        <v>34</v>
      </c>
      <c r="S135" s="8" t="s">
        <v>49</v>
      </c>
      <c r="T135" s="8" t="s">
        <v>80</v>
      </c>
      <c r="U135" s="9" t="s">
        <v>745</v>
      </c>
      <c r="V135" s="8" t="s">
        <v>38</v>
      </c>
    </row>
    <row r="136" spans="1:22" x14ac:dyDescent="0.5">
      <c r="A136" s="3" t="s">
        <v>746</v>
      </c>
      <c r="B136" s="4" t="s">
        <v>53</v>
      </c>
      <c r="C136" s="4" t="s">
        <v>92</v>
      </c>
      <c r="D136" s="4" t="s">
        <v>408</v>
      </c>
      <c r="E136" s="4" t="s">
        <v>488</v>
      </c>
      <c r="F136" s="4" t="s">
        <v>163</v>
      </c>
      <c r="G136" s="4" t="s">
        <v>28</v>
      </c>
      <c r="H136" s="4" t="s">
        <v>747</v>
      </c>
      <c r="I136" s="4" t="s">
        <v>44</v>
      </c>
      <c r="J136" s="4" t="s">
        <v>45</v>
      </c>
      <c r="K136" s="4" t="s">
        <v>32</v>
      </c>
      <c r="L136" s="4" t="s">
        <v>97</v>
      </c>
      <c r="M136" s="4">
        <v>3</v>
      </c>
      <c r="N136" s="4">
        <v>3500</v>
      </c>
      <c r="O136" s="57">
        <v>5</v>
      </c>
      <c r="P136" s="4">
        <v>9975</v>
      </c>
      <c r="Q136" s="4">
        <v>4</v>
      </c>
      <c r="R136" s="4" t="s">
        <v>48</v>
      </c>
      <c r="S136" s="4" t="s">
        <v>49</v>
      </c>
      <c r="T136" s="4" t="s">
        <v>62</v>
      </c>
      <c r="U136" s="6" t="s">
        <v>748</v>
      </c>
      <c r="V136" s="4" t="s">
        <v>64</v>
      </c>
    </row>
    <row r="137" spans="1:22" x14ac:dyDescent="0.5">
      <c r="A137" s="7" t="s">
        <v>749</v>
      </c>
      <c r="B137" s="8" t="s">
        <v>71</v>
      </c>
      <c r="C137" s="8" t="s">
        <v>169</v>
      </c>
      <c r="D137" s="8" t="s">
        <v>750</v>
      </c>
      <c r="E137" s="8" t="s">
        <v>751</v>
      </c>
      <c r="F137" s="8" t="s">
        <v>217</v>
      </c>
      <c r="G137" s="8" t="s">
        <v>76</v>
      </c>
      <c r="H137" s="8" t="s">
        <v>752</v>
      </c>
      <c r="I137" s="8" t="s">
        <v>30</v>
      </c>
      <c r="J137" s="8" t="s">
        <v>31</v>
      </c>
      <c r="K137" s="8" t="s">
        <v>32</v>
      </c>
      <c r="L137" s="8" t="s">
        <v>174</v>
      </c>
      <c r="M137" s="8">
        <v>5</v>
      </c>
      <c r="N137" s="8">
        <v>8500</v>
      </c>
      <c r="O137" s="58">
        <v>20</v>
      </c>
      <c r="P137" s="8">
        <v>34000</v>
      </c>
      <c r="Q137" s="8">
        <v>5</v>
      </c>
      <c r="R137" s="8" t="s">
        <v>34</v>
      </c>
      <c r="S137" s="8" t="s">
        <v>61</v>
      </c>
      <c r="T137" s="8" t="s">
        <v>80</v>
      </c>
      <c r="U137" s="9" t="s">
        <v>753</v>
      </c>
      <c r="V137" s="8" t="s">
        <v>64</v>
      </c>
    </row>
    <row r="138" spans="1:22" x14ac:dyDescent="0.5">
      <c r="A138" s="3" t="s">
        <v>754</v>
      </c>
      <c r="B138" s="4" t="s">
        <v>23</v>
      </c>
      <c r="C138" s="4" t="s">
        <v>92</v>
      </c>
      <c r="D138" s="4" t="s">
        <v>755</v>
      </c>
      <c r="E138" s="4" t="s">
        <v>756</v>
      </c>
      <c r="F138" s="4" t="s">
        <v>27</v>
      </c>
      <c r="G138" s="4" t="s">
        <v>28</v>
      </c>
      <c r="H138" s="4" t="s">
        <v>757</v>
      </c>
      <c r="I138" s="4" t="s">
        <v>59</v>
      </c>
      <c r="J138" s="4" t="s">
        <v>31</v>
      </c>
      <c r="K138" s="4" t="s">
        <v>32</v>
      </c>
      <c r="L138" s="4" t="s">
        <v>97</v>
      </c>
      <c r="M138" s="4">
        <v>14</v>
      </c>
      <c r="N138" s="4">
        <v>3500</v>
      </c>
      <c r="O138" s="57">
        <v>10</v>
      </c>
      <c r="P138" s="4">
        <v>44100</v>
      </c>
      <c r="Q138" s="4">
        <v>4</v>
      </c>
      <c r="R138" s="4" t="s">
        <v>88</v>
      </c>
      <c r="S138" s="4" t="s">
        <v>35</v>
      </c>
      <c r="T138" s="4" t="s">
        <v>50</v>
      </c>
      <c r="U138" s="6" t="s">
        <v>758</v>
      </c>
      <c r="V138" s="4" t="s">
        <v>69</v>
      </c>
    </row>
    <row r="139" spans="1:22" x14ac:dyDescent="0.5">
      <c r="A139" s="7" t="s">
        <v>759</v>
      </c>
      <c r="B139" s="8" t="s">
        <v>327</v>
      </c>
      <c r="C139" s="8" t="s">
        <v>259</v>
      </c>
      <c r="D139" s="8" t="s">
        <v>760</v>
      </c>
      <c r="E139" s="8" t="s">
        <v>761</v>
      </c>
      <c r="F139" s="8" t="s">
        <v>394</v>
      </c>
      <c r="G139" s="8" t="s">
        <v>76</v>
      </c>
      <c r="H139" s="8" t="s">
        <v>762</v>
      </c>
      <c r="I139" s="8" t="s">
        <v>138</v>
      </c>
      <c r="J139" s="8" t="s">
        <v>106</v>
      </c>
      <c r="K139" s="8" t="s">
        <v>122</v>
      </c>
      <c r="L139" s="8" t="s">
        <v>263</v>
      </c>
      <c r="M139" s="8">
        <v>8</v>
      </c>
      <c r="N139" s="8">
        <v>45</v>
      </c>
      <c r="O139" s="58">
        <v>0</v>
      </c>
      <c r="P139" s="8">
        <v>360</v>
      </c>
      <c r="Q139" s="8">
        <v>1</v>
      </c>
      <c r="R139" s="8" t="s">
        <v>79</v>
      </c>
      <c r="S139" s="8" t="s">
        <v>151</v>
      </c>
      <c r="T139" s="8" t="s">
        <v>332</v>
      </c>
      <c r="U139" s="9" t="s">
        <v>763</v>
      </c>
      <c r="V139" s="8" t="s">
        <v>69</v>
      </c>
    </row>
    <row r="140" spans="1:22" x14ac:dyDescent="0.5">
      <c r="A140" s="3" t="s">
        <v>764</v>
      </c>
      <c r="B140" s="4" t="s">
        <v>221</v>
      </c>
      <c r="C140" s="4" t="s">
        <v>259</v>
      </c>
      <c r="D140" s="4" t="s">
        <v>765</v>
      </c>
      <c r="E140" s="4" t="s">
        <v>766</v>
      </c>
      <c r="F140" s="4" t="s">
        <v>225</v>
      </c>
      <c r="G140" s="4" t="s">
        <v>76</v>
      </c>
      <c r="H140" s="4" t="s">
        <v>767</v>
      </c>
      <c r="I140" s="4" t="s">
        <v>44</v>
      </c>
      <c r="J140" s="4" t="s">
        <v>45</v>
      </c>
      <c r="K140" s="4" t="s">
        <v>122</v>
      </c>
      <c r="L140" s="4" t="s">
        <v>263</v>
      </c>
      <c r="M140" s="4">
        <v>11</v>
      </c>
      <c r="N140" s="4">
        <v>45</v>
      </c>
      <c r="O140" s="57">
        <v>5</v>
      </c>
      <c r="P140" s="4">
        <v>470.25</v>
      </c>
      <c r="Q140" s="4">
        <v>3</v>
      </c>
      <c r="R140" s="4" t="s">
        <v>79</v>
      </c>
      <c r="S140" s="4" t="s">
        <v>49</v>
      </c>
      <c r="T140" s="4" t="s">
        <v>228</v>
      </c>
      <c r="U140" s="6" t="s">
        <v>768</v>
      </c>
      <c r="V140" s="4" t="s">
        <v>38</v>
      </c>
    </row>
    <row r="141" spans="1:22" x14ac:dyDescent="0.5">
      <c r="A141" s="7" t="s">
        <v>769</v>
      </c>
      <c r="B141" s="8" t="s">
        <v>83</v>
      </c>
      <c r="C141" s="8" t="s">
        <v>54</v>
      </c>
      <c r="D141" s="8" t="s">
        <v>770</v>
      </c>
      <c r="E141" s="8" t="s">
        <v>771</v>
      </c>
      <c r="F141" s="8" t="s">
        <v>180</v>
      </c>
      <c r="G141" s="8" t="s">
        <v>76</v>
      </c>
      <c r="H141" s="8" t="s">
        <v>772</v>
      </c>
      <c r="I141" s="8" t="s">
        <v>138</v>
      </c>
      <c r="J141" s="8" t="s">
        <v>106</v>
      </c>
      <c r="K141" s="8" t="s">
        <v>46</v>
      </c>
      <c r="L141" s="8" t="s">
        <v>60</v>
      </c>
      <c r="M141" s="8">
        <v>19</v>
      </c>
      <c r="N141" s="8">
        <v>55000</v>
      </c>
      <c r="O141" s="58">
        <v>0</v>
      </c>
      <c r="P141" s="8">
        <v>1045000</v>
      </c>
      <c r="Q141" s="8">
        <v>2</v>
      </c>
      <c r="R141" s="8" t="s">
        <v>79</v>
      </c>
      <c r="S141" s="8" t="s">
        <v>35</v>
      </c>
      <c r="T141" s="8" t="s">
        <v>89</v>
      </c>
      <c r="U141" s="9" t="s">
        <v>773</v>
      </c>
      <c r="V141" s="8" t="s">
        <v>69</v>
      </c>
    </row>
    <row r="142" spans="1:22" x14ac:dyDescent="0.5">
      <c r="A142" s="3" t="s">
        <v>774</v>
      </c>
      <c r="B142" s="4" t="s">
        <v>53</v>
      </c>
      <c r="C142" s="4" t="s">
        <v>92</v>
      </c>
      <c r="D142" s="4" t="s">
        <v>775</v>
      </c>
      <c r="E142" s="4" t="s">
        <v>539</v>
      </c>
      <c r="F142" s="4" t="s">
        <v>163</v>
      </c>
      <c r="G142" s="4" t="s">
        <v>28</v>
      </c>
      <c r="H142" s="4" t="s">
        <v>776</v>
      </c>
      <c r="I142" s="4" t="s">
        <v>114</v>
      </c>
      <c r="J142" s="4" t="s">
        <v>106</v>
      </c>
      <c r="K142" s="4" t="s">
        <v>32</v>
      </c>
      <c r="L142" s="4" t="s">
        <v>97</v>
      </c>
      <c r="M142" s="4">
        <v>20</v>
      </c>
      <c r="N142" s="4">
        <v>3500</v>
      </c>
      <c r="O142" s="57">
        <v>20</v>
      </c>
      <c r="P142" s="4">
        <v>56000</v>
      </c>
      <c r="Q142" s="4">
        <v>4</v>
      </c>
      <c r="R142" s="4" t="s">
        <v>48</v>
      </c>
      <c r="S142" s="4" t="s">
        <v>49</v>
      </c>
      <c r="T142" s="4" t="s">
        <v>62</v>
      </c>
      <c r="U142" s="6" t="s">
        <v>777</v>
      </c>
      <c r="V142" s="4" t="s">
        <v>38</v>
      </c>
    </row>
    <row r="143" spans="1:22" x14ac:dyDescent="0.5">
      <c r="A143" s="7" t="s">
        <v>778</v>
      </c>
      <c r="B143" s="8" t="s">
        <v>83</v>
      </c>
      <c r="C143" s="8" t="s">
        <v>24</v>
      </c>
      <c r="D143" s="8" t="s">
        <v>276</v>
      </c>
      <c r="E143" s="8" t="s">
        <v>779</v>
      </c>
      <c r="F143" s="8" t="s">
        <v>180</v>
      </c>
      <c r="G143" s="8" t="s">
        <v>76</v>
      </c>
      <c r="H143" s="8" t="s">
        <v>780</v>
      </c>
      <c r="I143" s="8" t="s">
        <v>114</v>
      </c>
      <c r="J143" s="8" t="s">
        <v>106</v>
      </c>
      <c r="K143" s="8" t="s">
        <v>32</v>
      </c>
      <c r="L143" s="8" t="s">
        <v>33</v>
      </c>
      <c r="M143" s="8">
        <v>17</v>
      </c>
      <c r="N143" s="8">
        <v>2200</v>
      </c>
      <c r="O143" s="58">
        <v>0</v>
      </c>
      <c r="P143" s="8">
        <v>37400</v>
      </c>
      <c r="Q143" s="8">
        <v>5</v>
      </c>
      <c r="R143" s="8" t="s">
        <v>48</v>
      </c>
      <c r="S143" s="8" t="s">
        <v>35</v>
      </c>
      <c r="T143" s="8" t="s">
        <v>89</v>
      </c>
      <c r="U143" s="9" t="s">
        <v>781</v>
      </c>
      <c r="V143" s="8" t="s">
        <v>64</v>
      </c>
    </row>
    <row r="144" spans="1:22" x14ac:dyDescent="0.5">
      <c r="A144" s="3" t="s">
        <v>782</v>
      </c>
      <c r="B144" s="4" t="s">
        <v>83</v>
      </c>
      <c r="C144" s="4" t="s">
        <v>72</v>
      </c>
      <c r="D144" s="4" t="s">
        <v>770</v>
      </c>
      <c r="E144" s="4" t="s">
        <v>783</v>
      </c>
      <c r="F144" s="4" t="s">
        <v>180</v>
      </c>
      <c r="G144" s="4" t="s">
        <v>76</v>
      </c>
      <c r="H144" s="4" t="s">
        <v>784</v>
      </c>
      <c r="I144" s="4" t="s">
        <v>114</v>
      </c>
      <c r="J144" s="4" t="s">
        <v>106</v>
      </c>
      <c r="K144" s="4" t="s">
        <v>46</v>
      </c>
      <c r="L144" s="4" t="s">
        <v>78</v>
      </c>
      <c r="M144" s="4">
        <v>10</v>
      </c>
      <c r="N144" s="4">
        <v>1200</v>
      </c>
      <c r="O144" s="57">
        <v>5</v>
      </c>
      <c r="P144" s="4">
        <v>11400</v>
      </c>
      <c r="Q144" s="4">
        <v>2</v>
      </c>
      <c r="R144" s="4" t="s">
        <v>34</v>
      </c>
      <c r="S144" s="4" t="s">
        <v>49</v>
      </c>
      <c r="T144" s="4" t="s">
        <v>89</v>
      </c>
      <c r="U144" s="6" t="s">
        <v>785</v>
      </c>
      <c r="V144" s="4" t="s">
        <v>69</v>
      </c>
    </row>
    <row r="145" spans="1:22" x14ac:dyDescent="0.5">
      <c r="A145" s="7" t="s">
        <v>786</v>
      </c>
      <c r="B145" s="8" t="s">
        <v>221</v>
      </c>
      <c r="C145" s="8" t="s">
        <v>118</v>
      </c>
      <c r="D145" s="8" t="s">
        <v>787</v>
      </c>
      <c r="E145" s="8" t="s">
        <v>788</v>
      </c>
      <c r="F145" s="8" t="s">
        <v>225</v>
      </c>
      <c r="G145" s="8" t="s">
        <v>76</v>
      </c>
      <c r="H145" s="8" t="s">
        <v>789</v>
      </c>
      <c r="I145" s="8" t="s">
        <v>30</v>
      </c>
      <c r="J145" s="8" t="s">
        <v>31</v>
      </c>
      <c r="K145" s="8" t="s">
        <v>122</v>
      </c>
      <c r="L145" s="8" t="s">
        <v>123</v>
      </c>
      <c r="M145" s="8">
        <v>3</v>
      </c>
      <c r="N145" s="8">
        <v>60</v>
      </c>
      <c r="O145" s="58">
        <v>0</v>
      </c>
      <c r="P145" s="8">
        <v>180</v>
      </c>
      <c r="Q145" s="8">
        <v>4</v>
      </c>
      <c r="R145" s="8" t="s">
        <v>48</v>
      </c>
      <c r="S145" s="8" t="s">
        <v>151</v>
      </c>
      <c r="T145" s="8" t="s">
        <v>228</v>
      </c>
      <c r="U145" s="9" t="s">
        <v>790</v>
      </c>
      <c r="V145" s="8" t="s">
        <v>38</v>
      </c>
    </row>
    <row r="146" spans="1:22" x14ac:dyDescent="0.5">
      <c r="A146" s="3" t="s">
        <v>791</v>
      </c>
      <c r="B146" s="4" t="s">
        <v>53</v>
      </c>
      <c r="C146" s="4" t="s">
        <v>24</v>
      </c>
      <c r="D146" s="4" t="s">
        <v>792</v>
      </c>
      <c r="E146" s="4" t="s">
        <v>793</v>
      </c>
      <c r="F146" s="4" t="s">
        <v>163</v>
      </c>
      <c r="G146" s="4" t="s">
        <v>28</v>
      </c>
      <c r="H146" s="4" t="s">
        <v>794</v>
      </c>
      <c r="I146" s="4" t="s">
        <v>105</v>
      </c>
      <c r="J146" s="4" t="s">
        <v>106</v>
      </c>
      <c r="K146" s="4" t="s">
        <v>32</v>
      </c>
      <c r="L146" s="4" t="s">
        <v>33</v>
      </c>
      <c r="M146" s="4">
        <v>18</v>
      </c>
      <c r="N146" s="4">
        <v>2200</v>
      </c>
      <c r="O146" s="57">
        <v>10</v>
      </c>
      <c r="P146" s="4">
        <v>35640</v>
      </c>
      <c r="Q146" s="4">
        <v>1</v>
      </c>
      <c r="R146" s="4" t="s">
        <v>79</v>
      </c>
      <c r="S146" s="4" t="s">
        <v>151</v>
      </c>
      <c r="T146" s="4" t="s">
        <v>62</v>
      </c>
      <c r="U146" s="6" t="s">
        <v>795</v>
      </c>
      <c r="V146" s="4" t="s">
        <v>69</v>
      </c>
    </row>
    <row r="147" spans="1:22" x14ac:dyDescent="0.5">
      <c r="A147" s="7" t="s">
        <v>796</v>
      </c>
      <c r="B147" s="8" t="s">
        <v>71</v>
      </c>
      <c r="C147" s="8" t="s">
        <v>118</v>
      </c>
      <c r="D147" s="8" t="s">
        <v>797</v>
      </c>
      <c r="E147" s="8" t="s">
        <v>798</v>
      </c>
      <c r="F147" s="8" t="s">
        <v>217</v>
      </c>
      <c r="G147" s="8" t="s">
        <v>76</v>
      </c>
      <c r="H147" s="8" t="s">
        <v>799</v>
      </c>
      <c r="I147" s="8" t="s">
        <v>44</v>
      </c>
      <c r="J147" s="8" t="s">
        <v>45</v>
      </c>
      <c r="K147" s="8" t="s">
        <v>122</v>
      </c>
      <c r="L147" s="8" t="s">
        <v>123</v>
      </c>
      <c r="M147" s="8">
        <v>18</v>
      </c>
      <c r="N147" s="8">
        <v>60</v>
      </c>
      <c r="O147" s="58">
        <v>5</v>
      </c>
      <c r="P147" s="8">
        <v>1026</v>
      </c>
      <c r="Q147" s="8">
        <v>3</v>
      </c>
      <c r="R147" s="8" t="s">
        <v>79</v>
      </c>
      <c r="S147" s="8" t="s">
        <v>49</v>
      </c>
      <c r="T147" s="8" t="s">
        <v>80</v>
      </c>
      <c r="U147" s="9" t="s">
        <v>800</v>
      </c>
      <c r="V147" s="8" t="s">
        <v>64</v>
      </c>
    </row>
    <row r="148" spans="1:22" x14ac:dyDescent="0.5">
      <c r="A148" s="3" t="s">
        <v>801</v>
      </c>
      <c r="B148" s="4" t="s">
        <v>127</v>
      </c>
      <c r="C148" s="4" t="s">
        <v>54</v>
      </c>
      <c r="D148" s="4" t="s">
        <v>422</v>
      </c>
      <c r="E148" s="4" t="s">
        <v>377</v>
      </c>
      <c r="F148" s="4" t="s">
        <v>200</v>
      </c>
      <c r="G148" s="4" t="s">
        <v>76</v>
      </c>
      <c r="H148" s="4" t="s">
        <v>802</v>
      </c>
      <c r="I148" s="4" t="s">
        <v>114</v>
      </c>
      <c r="J148" s="4" t="s">
        <v>106</v>
      </c>
      <c r="K148" s="4" t="s">
        <v>46</v>
      </c>
      <c r="L148" s="4" t="s">
        <v>60</v>
      </c>
      <c r="M148" s="4">
        <v>11</v>
      </c>
      <c r="N148" s="4">
        <v>55000</v>
      </c>
      <c r="O148" s="57">
        <v>15</v>
      </c>
      <c r="P148" s="4">
        <v>514250</v>
      </c>
      <c r="Q148" s="4">
        <v>4</v>
      </c>
      <c r="R148" s="4" t="s">
        <v>88</v>
      </c>
      <c r="S148" s="4" t="s">
        <v>115</v>
      </c>
      <c r="T148" s="4" t="s">
        <v>132</v>
      </c>
      <c r="U148" s="6" t="s">
        <v>803</v>
      </c>
      <c r="V148" s="4" t="s">
        <v>69</v>
      </c>
    </row>
    <row r="149" spans="1:22" x14ac:dyDescent="0.5">
      <c r="A149" s="7" t="s">
        <v>804</v>
      </c>
      <c r="B149" s="8" t="s">
        <v>251</v>
      </c>
      <c r="C149" s="8" t="s">
        <v>169</v>
      </c>
      <c r="D149" s="8" t="s">
        <v>474</v>
      </c>
      <c r="E149" s="8" t="s">
        <v>464</v>
      </c>
      <c r="F149" s="8" t="s">
        <v>254</v>
      </c>
      <c r="G149" s="8" t="s">
        <v>28</v>
      </c>
      <c r="H149" s="8" t="s">
        <v>805</v>
      </c>
      <c r="I149" s="8" t="s">
        <v>294</v>
      </c>
      <c r="J149" s="8" t="s">
        <v>295</v>
      </c>
      <c r="K149" s="8" t="s">
        <v>32</v>
      </c>
      <c r="L149" s="8" t="s">
        <v>174</v>
      </c>
      <c r="M149" s="8">
        <v>5</v>
      </c>
      <c r="N149" s="8">
        <v>8500</v>
      </c>
      <c r="O149" s="58">
        <v>5</v>
      </c>
      <c r="P149" s="8">
        <v>40375</v>
      </c>
      <c r="Q149" s="8">
        <v>4</v>
      </c>
      <c r="R149" s="8" t="s">
        <v>34</v>
      </c>
      <c r="S149" s="8" t="s">
        <v>151</v>
      </c>
      <c r="T149" s="8" t="s">
        <v>256</v>
      </c>
      <c r="U149" s="9" t="s">
        <v>806</v>
      </c>
      <c r="V149" s="8" t="s">
        <v>38</v>
      </c>
    </row>
    <row r="150" spans="1:22" x14ac:dyDescent="0.5">
      <c r="A150" s="3" t="s">
        <v>192</v>
      </c>
      <c r="B150" s="4" t="s">
        <v>100</v>
      </c>
      <c r="C150" s="4" t="s">
        <v>184</v>
      </c>
      <c r="D150" s="4" t="s">
        <v>246</v>
      </c>
      <c r="E150" s="4" t="s">
        <v>128</v>
      </c>
      <c r="F150" s="4" t="s">
        <v>103</v>
      </c>
      <c r="G150" s="4" t="s">
        <v>28</v>
      </c>
      <c r="H150" s="4" t="s">
        <v>807</v>
      </c>
      <c r="I150" s="4" t="s">
        <v>212</v>
      </c>
      <c r="J150" s="4" t="s">
        <v>45</v>
      </c>
      <c r="K150" s="4" t="s">
        <v>46</v>
      </c>
      <c r="L150" s="4" t="s">
        <v>189</v>
      </c>
      <c r="M150" s="4">
        <v>16</v>
      </c>
      <c r="N150" s="4">
        <v>700</v>
      </c>
      <c r="O150" s="57">
        <v>15</v>
      </c>
      <c r="P150" s="4">
        <v>9520</v>
      </c>
      <c r="Q150" s="4">
        <v>4</v>
      </c>
      <c r="R150" s="4" t="s">
        <v>79</v>
      </c>
      <c r="S150" s="4" t="s">
        <v>61</v>
      </c>
      <c r="T150" s="4" t="s">
        <v>144</v>
      </c>
      <c r="U150" s="6" t="s">
        <v>808</v>
      </c>
      <c r="V150" s="4" t="s">
        <v>38</v>
      </c>
    </row>
    <row r="151" spans="1:22" x14ac:dyDescent="0.5">
      <c r="A151" s="7" t="s">
        <v>809</v>
      </c>
      <c r="B151" s="8" t="s">
        <v>127</v>
      </c>
      <c r="C151" s="8" t="s">
        <v>184</v>
      </c>
      <c r="D151" s="8" t="s">
        <v>489</v>
      </c>
      <c r="E151" s="8" t="s">
        <v>267</v>
      </c>
      <c r="F151" s="8" t="s">
        <v>200</v>
      </c>
      <c r="G151" s="8" t="s">
        <v>76</v>
      </c>
      <c r="H151" s="8" t="s">
        <v>810</v>
      </c>
      <c r="I151" s="8" t="s">
        <v>114</v>
      </c>
      <c r="J151" s="8" t="s">
        <v>106</v>
      </c>
      <c r="K151" s="8" t="s">
        <v>46</v>
      </c>
      <c r="L151" s="8" t="s">
        <v>189</v>
      </c>
      <c r="M151" s="8">
        <v>6</v>
      </c>
      <c r="N151" s="8">
        <v>700</v>
      </c>
      <c r="O151" s="58">
        <v>10</v>
      </c>
      <c r="P151" s="8">
        <v>3780</v>
      </c>
      <c r="Q151" s="8">
        <v>4</v>
      </c>
      <c r="R151" s="8" t="s">
        <v>34</v>
      </c>
      <c r="S151" s="8" t="s">
        <v>49</v>
      </c>
      <c r="T151" s="8" t="s">
        <v>132</v>
      </c>
      <c r="U151" s="9" t="s">
        <v>811</v>
      </c>
      <c r="V151" s="8" t="s">
        <v>69</v>
      </c>
    </row>
    <row r="152" spans="1:22" x14ac:dyDescent="0.5">
      <c r="A152" s="3" t="s">
        <v>812</v>
      </c>
      <c r="B152" s="4" t="s">
        <v>53</v>
      </c>
      <c r="C152" s="4" t="s">
        <v>92</v>
      </c>
      <c r="D152" s="4" t="s">
        <v>518</v>
      </c>
      <c r="E152" s="4" t="s">
        <v>615</v>
      </c>
      <c r="F152" s="4" t="s">
        <v>163</v>
      </c>
      <c r="G152" s="4" t="s">
        <v>28</v>
      </c>
      <c r="H152" s="4" t="s">
        <v>813</v>
      </c>
      <c r="I152" s="4" t="s">
        <v>44</v>
      </c>
      <c r="J152" s="4" t="s">
        <v>45</v>
      </c>
      <c r="K152" s="4" t="s">
        <v>32</v>
      </c>
      <c r="L152" s="4" t="s">
        <v>97</v>
      </c>
      <c r="M152" s="4">
        <v>20</v>
      </c>
      <c r="N152" s="4">
        <v>3500</v>
      </c>
      <c r="O152" s="57">
        <v>10</v>
      </c>
      <c r="P152" s="4">
        <v>63000</v>
      </c>
      <c r="Q152" s="4">
        <v>4</v>
      </c>
      <c r="R152" s="4" t="s">
        <v>88</v>
      </c>
      <c r="S152" s="4" t="s">
        <v>49</v>
      </c>
      <c r="T152" s="4" t="s">
        <v>62</v>
      </c>
      <c r="U152" s="6" t="s">
        <v>814</v>
      </c>
      <c r="V152" s="4" t="s">
        <v>64</v>
      </c>
    </row>
    <row r="153" spans="1:22" x14ac:dyDescent="0.5">
      <c r="A153" s="7" t="s">
        <v>815</v>
      </c>
      <c r="B153" s="8" t="s">
        <v>23</v>
      </c>
      <c r="C153" s="8" t="s">
        <v>222</v>
      </c>
      <c r="D153" s="8" t="s">
        <v>816</v>
      </c>
      <c r="E153" s="8" t="s">
        <v>817</v>
      </c>
      <c r="F153" s="8" t="s">
        <v>27</v>
      </c>
      <c r="G153" s="8" t="s">
        <v>28</v>
      </c>
      <c r="H153" s="8" t="s">
        <v>818</v>
      </c>
      <c r="I153" s="8" t="s">
        <v>59</v>
      </c>
      <c r="J153" s="8" t="s">
        <v>31</v>
      </c>
      <c r="K153" s="8" t="s">
        <v>122</v>
      </c>
      <c r="L153" s="8" t="s">
        <v>227</v>
      </c>
      <c r="M153" s="8">
        <v>2</v>
      </c>
      <c r="N153" s="8">
        <v>20</v>
      </c>
      <c r="O153" s="58">
        <v>10</v>
      </c>
      <c r="P153" s="8">
        <v>36</v>
      </c>
      <c r="Q153" s="8">
        <v>1</v>
      </c>
      <c r="R153" s="8" t="s">
        <v>48</v>
      </c>
      <c r="S153" s="8" t="s">
        <v>115</v>
      </c>
      <c r="T153" s="8" t="s">
        <v>50</v>
      </c>
      <c r="U153" s="9" t="s">
        <v>819</v>
      </c>
      <c r="V153" s="8" t="s">
        <v>64</v>
      </c>
    </row>
    <row r="154" spans="1:22" x14ac:dyDescent="0.5">
      <c r="A154" s="3" t="s">
        <v>820</v>
      </c>
      <c r="B154" s="4" t="s">
        <v>100</v>
      </c>
      <c r="C154" s="4" t="s">
        <v>24</v>
      </c>
      <c r="D154" s="4" t="s">
        <v>779</v>
      </c>
      <c r="E154" s="4" t="s">
        <v>821</v>
      </c>
      <c r="F154" s="4" t="s">
        <v>103</v>
      </c>
      <c r="G154" s="4" t="s">
        <v>28</v>
      </c>
      <c r="H154" s="4" t="s">
        <v>822</v>
      </c>
      <c r="I154" s="4" t="s">
        <v>114</v>
      </c>
      <c r="J154" s="4" t="s">
        <v>106</v>
      </c>
      <c r="K154" s="4" t="s">
        <v>32</v>
      </c>
      <c r="L154" s="4" t="s">
        <v>33</v>
      </c>
      <c r="M154" s="4">
        <v>16</v>
      </c>
      <c r="N154" s="4">
        <v>2200</v>
      </c>
      <c r="O154" s="57">
        <v>20</v>
      </c>
      <c r="P154" s="4">
        <v>28160</v>
      </c>
      <c r="Q154" s="4">
        <v>2</v>
      </c>
      <c r="R154" s="4" t="s">
        <v>88</v>
      </c>
      <c r="S154" s="4" t="s">
        <v>151</v>
      </c>
      <c r="T154" s="4" t="s">
        <v>144</v>
      </c>
      <c r="U154" s="6" t="s">
        <v>823</v>
      </c>
      <c r="V154" s="4" t="s">
        <v>64</v>
      </c>
    </row>
    <row r="155" spans="1:22" x14ac:dyDescent="0.5">
      <c r="A155" s="7" t="s">
        <v>824</v>
      </c>
      <c r="B155" s="8" t="s">
        <v>221</v>
      </c>
      <c r="C155" s="8" t="s">
        <v>40</v>
      </c>
      <c r="D155" s="8" t="s">
        <v>148</v>
      </c>
      <c r="E155" s="8" t="s">
        <v>825</v>
      </c>
      <c r="F155" s="8" t="s">
        <v>225</v>
      </c>
      <c r="G155" s="8" t="s">
        <v>76</v>
      </c>
      <c r="H155" s="8" t="s">
        <v>826</v>
      </c>
      <c r="I155" s="8" t="s">
        <v>114</v>
      </c>
      <c r="J155" s="8" t="s">
        <v>106</v>
      </c>
      <c r="K155" s="8" t="s">
        <v>46</v>
      </c>
      <c r="L155" s="8" t="s">
        <v>47</v>
      </c>
      <c r="M155" s="8">
        <v>15</v>
      </c>
      <c r="N155" s="8">
        <v>12000</v>
      </c>
      <c r="O155" s="58">
        <v>0</v>
      </c>
      <c r="P155" s="8">
        <v>180000</v>
      </c>
      <c r="Q155" s="8">
        <v>1</v>
      </c>
      <c r="R155" s="8" t="s">
        <v>79</v>
      </c>
      <c r="S155" s="8" t="s">
        <v>61</v>
      </c>
      <c r="T155" s="8" t="s">
        <v>228</v>
      </c>
      <c r="U155" s="9" t="s">
        <v>827</v>
      </c>
      <c r="V155" s="8" t="s">
        <v>64</v>
      </c>
    </row>
    <row r="156" spans="1:22" x14ac:dyDescent="0.5">
      <c r="A156" s="3" t="s">
        <v>828</v>
      </c>
      <c r="B156" s="4" t="s">
        <v>23</v>
      </c>
      <c r="C156" s="4" t="s">
        <v>118</v>
      </c>
      <c r="D156" s="4" t="s">
        <v>829</v>
      </c>
      <c r="E156" s="4" t="s">
        <v>830</v>
      </c>
      <c r="F156" s="4" t="s">
        <v>27</v>
      </c>
      <c r="G156" s="4" t="s">
        <v>28</v>
      </c>
      <c r="H156" s="4" t="s">
        <v>831</v>
      </c>
      <c r="I156" s="4" t="s">
        <v>44</v>
      </c>
      <c r="J156" s="4" t="s">
        <v>45</v>
      </c>
      <c r="K156" s="4" t="s">
        <v>122</v>
      </c>
      <c r="L156" s="4" t="s">
        <v>123</v>
      </c>
      <c r="M156" s="4">
        <v>14</v>
      </c>
      <c r="N156" s="4">
        <v>60</v>
      </c>
      <c r="O156" s="57">
        <v>15</v>
      </c>
      <c r="P156" s="4">
        <v>714</v>
      </c>
      <c r="Q156" s="4">
        <v>4</v>
      </c>
      <c r="R156" s="4" t="s">
        <v>88</v>
      </c>
      <c r="S156" s="4" t="s">
        <v>49</v>
      </c>
      <c r="T156" s="4" t="s">
        <v>50</v>
      </c>
      <c r="U156" s="6" t="s">
        <v>832</v>
      </c>
      <c r="V156" s="4" t="s">
        <v>38</v>
      </c>
    </row>
    <row r="157" spans="1:22" x14ac:dyDescent="0.5">
      <c r="A157" s="7" t="s">
        <v>833</v>
      </c>
      <c r="B157" s="8" t="s">
        <v>53</v>
      </c>
      <c r="C157" s="8" t="s">
        <v>72</v>
      </c>
      <c r="D157" s="8" t="s">
        <v>834</v>
      </c>
      <c r="E157" s="8" t="s">
        <v>835</v>
      </c>
      <c r="F157" s="8" t="s">
        <v>163</v>
      </c>
      <c r="G157" s="8" t="s">
        <v>28</v>
      </c>
      <c r="H157" s="8" t="s">
        <v>836</v>
      </c>
      <c r="I157" s="8" t="s">
        <v>30</v>
      </c>
      <c r="J157" s="8" t="s">
        <v>31</v>
      </c>
      <c r="K157" s="8" t="s">
        <v>46</v>
      </c>
      <c r="L157" s="8" t="s">
        <v>78</v>
      </c>
      <c r="M157" s="8">
        <v>9</v>
      </c>
      <c r="N157" s="8">
        <v>1200</v>
      </c>
      <c r="O157" s="58">
        <v>5</v>
      </c>
      <c r="P157" s="8">
        <v>10260</v>
      </c>
      <c r="Q157" s="8">
        <v>5</v>
      </c>
      <c r="R157" s="8" t="s">
        <v>48</v>
      </c>
      <c r="S157" s="8" t="s">
        <v>61</v>
      </c>
      <c r="T157" s="8" t="s">
        <v>62</v>
      </c>
      <c r="U157" s="9" t="s">
        <v>837</v>
      </c>
      <c r="V157" s="8" t="s">
        <v>64</v>
      </c>
    </row>
    <row r="158" spans="1:22" x14ac:dyDescent="0.5">
      <c r="A158" s="3" t="s">
        <v>838</v>
      </c>
      <c r="B158" s="4" t="s">
        <v>221</v>
      </c>
      <c r="C158" s="4" t="s">
        <v>72</v>
      </c>
      <c r="D158" s="4" t="s">
        <v>821</v>
      </c>
      <c r="E158" s="4" t="s">
        <v>839</v>
      </c>
      <c r="F158" s="4" t="s">
        <v>225</v>
      </c>
      <c r="G158" s="4" t="s">
        <v>76</v>
      </c>
      <c r="H158" s="4" t="s">
        <v>840</v>
      </c>
      <c r="I158" s="4" t="s">
        <v>294</v>
      </c>
      <c r="J158" s="4" t="s">
        <v>295</v>
      </c>
      <c r="K158" s="4" t="s">
        <v>46</v>
      </c>
      <c r="L158" s="4" t="s">
        <v>78</v>
      </c>
      <c r="M158" s="4">
        <v>3</v>
      </c>
      <c r="N158" s="4">
        <v>1200</v>
      </c>
      <c r="O158" s="57">
        <v>10</v>
      </c>
      <c r="P158" s="4">
        <v>3240</v>
      </c>
      <c r="Q158" s="4">
        <v>2</v>
      </c>
      <c r="R158" s="4" t="s">
        <v>79</v>
      </c>
      <c r="S158" s="4" t="s">
        <v>151</v>
      </c>
      <c r="T158" s="4" t="s">
        <v>228</v>
      </c>
      <c r="U158" s="6" t="s">
        <v>841</v>
      </c>
      <c r="V158" s="4" t="s">
        <v>69</v>
      </c>
    </row>
    <row r="159" spans="1:22" x14ac:dyDescent="0.5">
      <c r="A159" s="7" t="s">
        <v>842</v>
      </c>
      <c r="B159" s="8" t="s">
        <v>327</v>
      </c>
      <c r="C159" s="8" t="s">
        <v>118</v>
      </c>
      <c r="D159" s="8" t="s">
        <v>459</v>
      </c>
      <c r="E159" s="8" t="s">
        <v>577</v>
      </c>
      <c r="F159" s="8" t="s">
        <v>394</v>
      </c>
      <c r="G159" s="8" t="s">
        <v>76</v>
      </c>
      <c r="H159" s="8" t="s">
        <v>843</v>
      </c>
      <c r="I159" s="8" t="s">
        <v>30</v>
      </c>
      <c r="J159" s="8" t="s">
        <v>31</v>
      </c>
      <c r="K159" s="8" t="s">
        <v>122</v>
      </c>
      <c r="L159" s="8" t="s">
        <v>123</v>
      </c>
      <c r="M159" s="8">
        <v>2</v>
      </c>
      <c r="N159" s="8">
        <v>60</v>
      </c>
      <c r="O159" s="58">
        <v>10</v>
      </c>
      <c r="P159" s="8">
        <v>108</v>
      </c>
      <c r="Q159" s="8">
        <v>2</v>
      </c>
      <c r="R159" s="8" t="s">
        <v>88</v>
      </c>
      <c r="S159" s="8" t="s">
        <v>61</v>
      </c>
      <c r="T159" s="8" t="s">
        <v>332</v>
      </c>
      <c r="U159" s="9" t="s">
        <v>844</v>
      </c>
      <c r="V159" s="8" t="s">
        <v>38</v>
      </c>
    </row>
    <row r="160" spans="1:22" x14ac:dyDescent="0.5">
      <c r="A160" s="3" t="s">
        <v>845</v>
      </c>
      <c r="B160" s="4" t="s">
        <v>71</v>
      </c>
      <c r="C160" s="4" t="s">
        <v>92</v>
      </c>
      <c r="D160" s="4" t="s">
        <v>426</v>
      </c>
      <c r="E160" s="4" t="s">
        <v>846</v>
      </c>
      <c r="F160" s="4" t="s">
        <v>217</v>
      </c>
      <c r="G160" s="4" t="s">
        <v>76</v>
      </c>
      <c r="H160" s="4" t="s">
        <v>847</v>
      </c>
      <c r="I160" s="4" t="s">
        <v>44</v>
      </c>
      <c r="J160" s="4" t="s">
        <v>45</v>
      </c>
      <c r="K160" s="4" t="s">
        <v>32</v>
      </c>
      <c r="L160" s="4" t="s">
        <v>97</v>
      </c>
      <c r="M160" s="4">
        <v>9</v>
      </c>
      <c r="N160" s="4">
        <v>3500</v>
      </c>
      <c r="O160" s="57">
        <v>20</v>
      </c>
      <c r="P160" s="4">
        <v>25200</v>
      </c>
      <c r="Q160" s="4">
        <v>1</v>
      </c>
      <c r="R160" s="4" t="s">
        <v>48</v>
      </c>
      <c r="S160" s="4" t="s">
        <v>35</v>
      </c>
      <c r="T160" s="4" t="s">
        <v>80</v>
      </c>
      <c r="U160" s="6" t="s">
        <v>848</v>
      </c>
      <c r="V160" s="4" t="s">
        <v>38</v>
      </c>
    </row>
    <row r="161" spans="1:22" x14ac:dyDescent="0.5">
      <c r="A161" s="7" t="s">
        <v>849</v>
      </c>
      <c r="B161" s="8" t="s">
        <v>221</v>
      </c>
      <c r="C161" s="8" t="s">
        <v>54</v>
      </c>
      <c r="D161" s="8" t="s">
        <v>241</v>
      </c>
      <c r="E161" s="8" t="s">
        <v>543</v>
      </c>
      <c r="F161" s="8" t="s">
        <v>225</v>
      </c>
      <c r="G161" s="8" t="s">
        <v>76</v>
      </c>
      <c r="H161" s="8" t="s">
        <v>850</v>
      </c>
      <c r="I161" s="8" t="s">
        <v>212</v>
      </c>
      <c r="J161" s="8" t="s">
        <v>45</v>
      </c>
      <c r="K161" s="8" t="s">
        <v>46</v>
      </c>
      <c r="L161" s="8" t="s">
        <v>60</v>
      </c>
      <c r="M161" s="8">
        <v>4</v>
      </c>
      <c r="N161" s="8">
        <v>55000</v>
      </c>
      <c r="O161" s="58">
        <v>5</v>
      </c>
      <c r="P161" s="8">
        <v>209000</v>
      </c>
      <c r="Q161" s="8">
        <v>2</v>
      </c>
      <c r="R161" s="8" t="s">
        <v>34</v>
      </c>
      <c r="S161" s="8" t="s">
        <v>151</v>
      </c>
      <c r="T161" s="8" t="s">
        <v>228</v>
      </c>
      <c r="U161" s="9" t="s">
        <v>851</v>
      </c>
      <c r="V161" s="8" t="s">
        <v>64</v>
      </c>
    </row>
    <row r="162" spans="1:22" x14ac:dyDescent="0.5">
      <c r="A162" s="3" t="s">
        <v>852</v>
      </c>
      <c r="B162" s="4" t="s">
        <v>327</v>
      </c>
      <c r="C162" s="4" t="s">
        <v>184</v>
      </c>
      <c r="D162" s="4" t="s">
        <v>488</v>
      </c>
      <c r="E162" s="4" t="s">
        <v>266</v>
      </c>
      <c r="F162" s="4" t="s">
        <v>853</v>
      </c>
      <c r="G162" s="4" t="s">
        <v>76</v>
      </c>
      <c r="H162" s="4" t="s">
        <v>854</v>
      </c>
      <c r="I162" s="4" t="s">
        <v>44</v>
      </c>
      <c r="J162" s="4" t="s">
        <v>45</v>
      </c>
      <c r="K162" s="4" t="s">
        <v>46</v>
      </c>
      <c r="L162" s="4" t="s">
        <v>189</v>
      </c>
      <c r="M162" s="4">
        <v>11</v>
      </c>
      <c r="N162" s="4">
        <v>700</v>
      </c>
      <c r="O162" s="57">
        <v>20</v>
      </c>
      <c r="P162" s="4">
        <v>6160</v>
      </c>
      <c r="Q162" s="4">
        <v>4</v>
      </c>
      <c r="R162" s="4" t="s">
        <v>34</v>
      </c>
      <c r="S162" s="4" t="s">
        <v>151</v>
      </c>
      <c r="T162" s="4" t="s">
        <v>332</v>
      </c>
      <c r="U162" s="6" t="s">
        <v>855</v>
      </c>
      <c r="V162" s="4" t="s">
        <v>69</v>
      </c>
    </row>
    <row r="163" spans="1:22" x14ac:dyDescent="0.5">
      <c r="A163" s="7" t="s">
        <v>856</v>
      </c>
      <c r="B163" s="8" t="s">
        <v>168</v>
      </c>
      <c r="C163" s="8" t="s">
        <v>72</v>
      </c>
      <c r="D163" s="8" t="s">
        <v>286</v>
      </c>
      <c r="E163" s="8" t="s">
        <v>816</v>
      </c>
      <c r="F163" s="8" t="s">
        <v>361</v>
      </c>
      <c r="G163" s="8" t="s">
        <v>28</v>
      </c>
      <c r="H163" s="8" t="s">
        <v>857</v>
      </c>
      <c r="I163" s="8" t="s">
        <v>294</v>
      </c>
      <c r="J163" s="8" t="s">
        <v>295</v>
      </c>
      <c r="K163" s="8" t="s">
        <v>46</v>
      </c>
      <c r="L163" s="8" t="s">
        <v>78</v>
      </c>
      <c r="M163" s="8">
        <v>16</v>
      </c>
      <c r="N163" s="8">
        <v>1200</v>
      </c>
      <c r="O163" s="58">
        <v>5</v>
      </c>
      <c r="P163" s="8">
        <v>18240</v>
      </c>
      <c r="Q163" s="8">
        <v>1</v>
      </c>
      <c r="R163" s="8" t="s">
        <v>79</v>
      </c>
      <c r="S163" s="8" t="s">
        <v>35</v>
      </c>
      <c r="T163" s="8" t="s">
        <v>175</v>
      </c>
      <c r="U163" s="9" t="s">
        <v>858</v>
      </c>
      <c r="V163" s="8" t="s">
        <v>64</v>
      </c>
    </row>
    <row r="164" spans="1:22" x14ac:dyDescent="0.5">
      <c r="A164" s="3" t="s">
        <v>859</v>
      </c>
      <c r="B164" s="4" t="s">
        <v>168</v>
      </c>
      <c r="C164" s="4" t="s">
        <v>72</v>
      </c>
      <c r="D164" s="4" t="s">
        <v>548</v>
      </c>
      <c r="E164" s="4" t="s">
        <v>860</v>
      </c>
      <c r="F164" s="4" t="s">
        <v>361</v>
      </c>
      <c r="G164" s="4" t="s">
        <v>28</v>
      </c>
      <c r="H164" s="4" t="s">
        <v>861</v>
      </c>
      <c r="I164" s="4" t="s">
        <v>114</v>
      </c>
      <c r="J164" s="4" t="s">
        <v>106</v>
      </c>
      <c r="K164" s="4" t="s">
        <v>46</v>
      </c>
      <c r="L164" s="4" t="s">
        <v>78</v>
      </c>
      <c r="M164" s="4">
        <v>1</v>
      </c>
      <c r="N164" s="4">
        <v>1200</v>
      </c>
      <c r="O164" s="57">
        <v>5</v>
      </c>
      <c r="P164" s="4">
        <v>1140</v>
      </c>
      <c r="Q164" s="4">
        <v>4</v>
      </c>
      <c r="R164" s="4" t="s">
        <v>79</v>
      </c>
      <c r="S164" s="4" t="s">
        <v>35</v>
      </c>
      <c r="T164" s="4" t="s">
        <v>175</v>
      </c>
      <c r="U164" s="6" t="s">
        <v>862</v>
      </c>
      <c r="V164" s="4" t="s">
        <v>38</v>
      </c>
    </row>
    <row r="165" spans="1:22" x14ac:dyDescent="0.5">
      <c r="A165" s="7" t="s">
        <v>863</v>
      </c>
      <c r="B165" s="8" t="s">
        <v>327</v>
      </c>
      <c r="C165" s="8" t="s">
        <v>118</v>
      </c>
      <c r="D165" s="8" t="s">
        <v>864</v>
      </c>
      <c r="E165" s="8" t="s">
        <v>865</v>
      </c>
      <c r="F165" s="8" t="s">
        <v>853</v>
      </c>
      <c r="G165" s="8" t="s">
        <v>76</v>
      </c>
      <c r="H165" s="8" t="s">
        <v>866</v>
      </c>
      <c r="I165" s="8" t="s">
        <v>212</v>
      </c>
      <c r="J165" s="8" t="s">
        <v>45</v>
      </c>
      <c r="K165" s="8" t="s">
        <v>122</v>
      </c>
      <c r="L165" s="8" t="s">
        <v>123</v>
      </c>
      <c r="M165" s="8">
        <v>7</v>
      </c>
      <c r="N165" s="8">
        <v>60</v>
      </c>
      <c r="O165" s="58">
        <v>0</v>
      </c>
      <c r="P165" s="8">
        <v>420</v>
      </c>
      <c r="Q165" s="8">
        <v>2</v>
      </c>
      <c r="R165" s="8" t="s">
        <v>88</v>
      </c>
      <c r="S165" s="8" t="s">
        <v>151</v>
      </c>
      <c r="T165" s="8" t="s">
        <v>332</v>
      </c>
      <c r="U165" s="9" t="s">
        <v>867</v>
      </c>
      <c r="V165" s="8" t="s">
        <v>38</v>
      </c>
    </row>
    <row r="166" spans="1:22" x14ac:dyDescent="0.5">
      <c r="A166" s="3" t="s">
        <v>868</v>
      </c>
      <c r="B166" s="4" t="s">
        <v>168</v>
      </c>
      <c r="C166" s="4" t="s">
        <v>24</v>
      </c>
      <c r="D166" s="4" t="s">
        <v>205</v>
      </c>
      <c r="E166" s="4" t="s">
        <v>513</v>
      </c>
      <c r="F166" s="4" t="s">
        <v>361</v>
      </c>
      <c r="G166" s="4" t="s">
        <v>28</v>
      </c>
      <c r="H166" s="4" t="s">
        <v>869</v>
      </c>
      <c r="I166" s="4" t="s">
        <v>114</v>
      </c>
      <c r="J166" s="4" t="s">
        <v>106</v>
      </c>
      <c r="K166" s="4" t="s">
        <v>32</v>
      </c>
      <c r="L166" s="4" t="s">
        <v>33</v>
      </c>
      <c r="M166" s="4">
        <v>14</v>
      </c>
      <c r="N166" s="4">
        <v>2200</v>
      </c>
      <c r="O166" s="57">
        <v>0</v>
      </c>
      <c r="P166" s="4">
        <v>30800</v>
      </c>
      <c r="Q166" s="4">
        <v>2</v>
      </c>
      <c r="R166" s="4" t="s">
        <v>88</v>
      </c>
      <c r="S166" s="4" t="s">
        <v>35</v>
      </c>
      <c r="T166" s="4" t="s">
        <v>175</v>
      </c>
      <c r="U166" s="6" t="s">
        <v>870</v>
      </c>
      <c r="V166" s="4" t="s">
        <v>69</v>
      </c>
    </row>
    <row r="167" spans="1:22" x14ac:dyDescent="0.5">
      <c r="A167" s="7" t="s">
        <v>871</v>
      </c>
      <c r="B167" s="8" t="s">
        <v>168</v>
      </c>
      <c r="C167" s="8" t="s">
        <v>92</v>
      </c>
      <c r="D167" s="8" t="s">
        <v>872</v>
      </c>
      <c r="E167" s="8" t="s">
        <v>488</v>
      </c>
      <c r="F167" s="8" t="s">
        <v>361</v>
      </c>
      <c r="G167" s="8" t="s">
        <v>28</v>
      </c>
      <c r="H167" s="8" t="s">
        <v>873</v>
      </c>
      <c r="I167" s="8" t="s">
        <v>138</v>
      </c>
      <c r="J167" s="8" t="s">
        <v>106</v>
      </c>
      <c r="K167" s="8" t="s">
        <v>32</v>
      </c>
      <c r="L167" s="8" t="s">
        <v>97</v>
      </c>
      <c r="M167" s="8">
        <v>15</v>
      </c>
      <c r="N167" s="8">
        <v>3500</v>
      </c>
      <c r="O167" s="58">
        <v>15</v>
      </c>
      <c r="P167" s="8">
        <v>44625</v>
      </c>
      <c r="Q167" s="8">
        <v>2</v>
      </c>
      <c r="R167" s="8" t="s">
        <v>88</v>
      </c>
      <c r="S167" s="8" t="s">
        <v>61</v>
      </c>
      <c r="T167" s="8" t="s">
        <v>175</v>
      </c>
      <c r="U167" s="9" t="s">
        <v>874</v>
      </c>
      <c r="V167" s="8" t="s">
        <v>64</v>
      </c>
    </row>
    <row r="168" spans="1:22" x14ac:dyDescent="0.5">
      <c r="A168" s="3" t="s">
        <v>875</v>
      </c>
      <c r="B168" s="4" t="s">
        <v>127</v>
      </c>
      <c r="C168" s="4" t="s">
        <v>92</v>
      </c>
      <c r="D168" s="4" t="s">
        <v>876</v>
      </c>
      <c r="E168" s="4" t="s">
        <v>877</v>
      </c>
      <c r="F168" s="4" t="s">
        <v>200</v>
      </c>
      <c r="G168" s="4" t="s">
        <v>76</v>
      </c>
      <c r="H168" s="4" t="s">
        <v>878</v>
      </c>
      <c r="I168" s="4" t="s">
        <v>294</v>
      </c>
      <c r="J168" s="4" t="s">
        <v>295</v>
      </c>
      <c r="K168" s="4" t="s">
        <v>32</v>
      </c>
      <c r="L168" s="4" t="s">
        <v>97</v>
      </c>
      <c r="M168" s="4">
        <v>19</v>
      </c>
      <c r="N168" s="4">
        <v>3500</v>
      </c>
      <c r="O168" s="57">
        <v>5</v>
      </c>
      <c r="P168" s="4">
        <v>63175</v>
      </c>
      <c r="Q168" s="4">
        <v>2</v>
      </c>
      <c r="R168" s="4" t="s">
        <v>34</v>
      </c>
      <c r="S168" s="4" t="s">
        <v>115</v>
      </c>
      <c r="T168" s="4" t="s">
        <v>132</v>
      </c>
      <c r="U168" s="6" t="s">
        <v>879</v>
      </c>
      <c r="V168" s="4" t="s">
        <v>69</v>
      </c>
    </row>
    <row r="169" spans="1:22" x14ac:dyDescent="0.5">
      <c r="A169" s="7" t="s">
        <v>880</v>
      </c>
      <c r="B169" s="8" t="s">
        <v>327</v>
      </c>
      <c r="C169" s="8" t="s">
        <v>54</v>
      </c>
      <c r="D169" s="8" t="s">
        <v>881</v>
      </c>
      <c r="E169" s="8" t="s">
        <v>640</v>
      </c>
      <c r="F169" s="8" t="s">
        <v>394</v>
      </c>
      <c r="G169" s="8" t="s">
        <v>76</v>
      </c>
      <c r="H169" s="8" t="s">
        <v>882</v>
      </c>
      <c r="I169" s="8" t="s">
        <v>59</v>
      </c>
      <c r="J169" s="8" t="s">
        <v>31</v>
      </c>
      <c r="K169" s="8" t="s">
        <v>46</v>
      </c>
      <c r="L169" s="8" t="s">
        <v>60</v>
      </c>
      <c r="M169" s="8">
        <v>12</v>
      </c>
      <c r="N169" s="8">
        <v>55000</v>
      </c>
      <c r="O169" s="58">
        <v>5</v>
      </c>
      <c r="P169" s="8">
        <v>627000</v>
      </c>
      <c r="Q169" s="8">
        <v>4</v>
      </c>
      <c r="R169" s="8" t="s">
        <v>79</v>
      </c>
      <c r="S169" s="8" t="s">
        <v>61</v>
      </c>
      <c r="T169" s="8" t="s">
        <v>332</v>
      </c>
      <c r="U169" s="9" t="s">
        <v>883</v>
      </c>
      <c r="V169" s="8" t="s">
        <v>69</v>
      </c>
    </row>
    <row r="170" spans="1:22" x14ac:dyDescent="0.5">
      <c r="A170" s="3" t="s">
        <v>884</v>
      </c>
      <c r="B170" s="4" t="s">
        <v>53</v>
      </c>
      <c r="C170" s="4" t="s">
        <v>72</v>
      </c>
      <c r="D170" s="4" t="s">
        <v>587</v>
      </c>
      <c r="E170" s="4" t="s">
        <v>483</v>
      </c>
      <c r="F170" s="4" t="s">
        <v>163</v>
      </c>
      <c r="G170" s="4" t="s">
        <v>28</v>
      </c>
      <c r="H170" s="4" t="s">
        <v>885</v>
      </c>
      <c r="I170" s="4" t="s">
        <v>105</v>
      </c>
      <c r="J170" s="4" t="s">
        <v>106</v>
      </c>
      <c r="K170" s="4" t="s">
        <v>46</v>
      </c>
      <c r="L170" s="4" t="s">
        <v>78</v>
      </c>
      <c r="M170" s="4">
        <v>6</v>
      </c>
      <c r="N170" s="4">
        <v>1200</v>
      </c>
      <c r="O170" s="57">
        <v>10</v>
      </c>
      <c r="P170" s="4">
        <v>6480</v>
      </c>
      <c r="Q170" s="4">
        <v>5</v>
      </c>
      <c r="R170" s="4" t="s">
        <v>48</v>
      </c>
      <c r="S170" s="4" t="s">
        <v>115</v>
      </c>
      <c r="T170" s="4" t="s">
        <v>62</v>
      </c>
      <c r="U170" s="6" t="s">
        <v>886</v>
      </c>
      <c r="V170" s="4" t="s">
        <v>69</v>
      </c>
    </row>
    <row r="171" spans="1:22" x14ac:dyDescent="0.5">
      <c r="A171" s="7" t="s">
        <v>887</v>
      </c>
      <c r="B171" s="8" t="s">
        <v>251</v>
      </c>
      <c r="C171" s="8" t="s">
        <v>169</v>
      </c>
      <c r="D171" s="8" t="s">
        <v>128</v>
      </c>
      <c r="E171" s="8" t="s">
        <v>247</v>
      </c>
      <c r="F171" s="8" t="s">
        <v>254</v>
      </c>
      <c r="G171" s="8" t="s">
        <v>28</v>
      </c>
      <c r="H171" s="8" t="s">
        <v>888</v>
      </c>
      <c r="I171" s="8" t="s">
        <v>30</v>
      </c>
      <c r="J171" s="8" t="s">
        <v>31</v>
      </c>
      <c r="K171" s="8" t="s">
        <v>32</v>
      </c>
      <c r="L171" s="8" t="s">
        <v>174</v>
      </c>
      <c r="M171" s="8">
        <v>1</v>
      </c>
      <c r="N171" s="8">
        <v>8500</v>
      </c>
      <c r="O171" s="58">
        <v>0</v>
      </c>
      <c r="P171" s="8">
        <v>8500</v>
      </c>
      <c r="Q171" s="8">
        <v>1</v>
      </c>
      <c r="R171" s="8" t="s">
        <v>88</v>
      </c>
      <c r="S171" s="8" t="s">
        <v>151</v>
      </c>
      <c r="T171" s="8" t="s">
        <v>256</v>
      </c>
      <c r="U171" s="9" t="s">
        <v>889</v>
      </c>
      <c r="V171" s="8" t="s">
        <v>69</v>
      </c>
    </row>
    <row r="172" spans="1:22" x14ac:dyDescent="0.5">
      <c r="A172" s="3" t="s">
        <v>890</v>
      </c>
      <c r="B172" s="4" t="s">
        <v>127</v>
      </c>
      <c r="C172" s="4" t="s">
        <v>54</v>
      </c>
      <c r="D172" s="4" t="s">
        <v>891</v>
      </c>
      <c r="E172" s="4" t="s">
        <v>892</v>
      </c>
      <c r="F172" s="4" t="s">
        <v>200</v>
      </c>
      <c r="G172" s="4" t="s">
        <v>76</v>
      </c>
      <c r="H172" s="4" t="s">
        <v>893</v>
      </c>
      <c r="I172" s="4" t="s">
        <v>138</v>
      </c>
      <c r="J172" s="4" t="s">
        <v>106</v>
      </c>
      <c r="K172" s="4" t="s">
        <v>46</v>
      </c>
      <c r="L172" s="4" t="s">
        <v>60</v>
      </c>
      <c r="M172" s="4">
        <v>20</v>
      </c>
      <c r="N172" s="4">
        <v>55000</v>
      </c>
      <c r="O172" s="57">
        <v>10</v>
      </c>
      <c r="P172" s="4">
        <v>990000</v>
      </c>
      <c r="Q172" s="4">
        <v>5</v>
      </c>
      <c r="R172" s="4" t="s">
        <v>48</v>
      </c>
      <c r="S172" s="4" t="s">
        <v>151</v>
      </c>
      <c r="T172" s="4" t="s">
        <v>132</v>
      </c>
      <c r="U172" s="6" t="s">
        <v>894</v>
      </c>
      <c r="V172" s="4" t="s">
        <v>38</v>
      </c>
    </row>
    <row r="173" spans="1:22" x14ac:dyDescent="0.5">
      <c r="A173" s="7" t="s">
        <v>895</v>
      </c>
      <c r="B173" s="8" t="s">
        <v>221</v>
      </c>
      <c r="C173" s="8" t="s">
        <v>72</v>
      </c>
      <c r="D173" s="8" t="s">
        <v>661</v>
      </c>
      <c r="E173" s="8" t="s">
        <v>896</v>
      </c>
      <c r="F173" s="8" t="s">
        <v>225</v>
      </c>
      <c r="G173" s="8" t="s">
        <v>76</v>
      </c>
      <c r="H173" s="8" t="s">
        <v>897</v>
      </c>
      <c r="I173" s="8" t="s">
        <v>138</v>
      </c>
      <c r="J173" s="8" t="s">
        <v>106</v>
      </c>
      <c r="K173" s="8" t="s">
        <v>46</v>
      </c>
      <c r="L173" s="8" t="s">
        <v>78</v>
      </c>
      <c r="M173" s="8">
        <v>8</v>
      </c>
      <c r="N173" s="8">
        <v>1200</v>
      </c>
      <c r="O173" s="58">
        <v>15</v>
      </c>
      <c r="P173" s="8">
        <v>8160</v>
      </c>
      <c r="Q173" s="8">
        <v>2</v>
      </c>
      <c r="R173" s="8" t="s">
        <v>88</v>
      </c>
      <c r="S173" s="8" t="s">
        <v>115</v>
      </c>
      <c r="T173" s="8" t="s">
        <v>228</v>
      </c>
      <c r="U173" s="9" t="s">
        <v>898</v>
      </c>
      <c r="V173" s="8" t="s">
        <v>69</v>
      </c>
    </row>
    <row r="174" spans="1:22" x14ac:dyDescent="0.5">
      <c r="A174" s="3" t="s">
        <v>899</v>
      </c>
      <c r="B174" s="4" t="s">
        <v>23</v>
      </c>
      <c r="C174" s="4" t="s">
        <v>92</v>
      </c>
      <c r="D174" s="4" t="s">
        <v>900</v>
      </c>
      <c r="E174" s="4" t="s">
        <v>901</v>
      </c>
      <c r="F174" s="4" t="s">
        <v>27</v>
      </c>
      <c r="G174" s="4" t="s">
        <v>28</v>
      </c>
      <c r="H174" s="4" t="s">
        <v>902</v>
      </c>
      <c r="I174" s="4" t="s">
        <v>212</v>
      </c>
      <c r="J174" s="4" t="s">
        <v>45</v>
      </c>
      <c r="K174" s="4" t="s">
        <v>32</v>
      </c>
      <c r="L174" s="4" t="s">
        <v>97</v>
      </c>
      <c r="M174" s="4">
        <v>19</v>
      </c>
      <c r="N174" s="4">
        <v>3500</v>
      </c>
      <c r="O174" s="57">
        <v>5</v>
      </c>
      <c r="P174" s="4">
        <v>63175</v>
      </c>
      <c r="Q174" s="4">
        <v>4</v>
      </c>
      <c r="R174" s="4" t="s">
        <v>88</v>
      </c>
      <c r="S174" s="4" t="s">
        <v>49</v>
      </c>
      <c r="T174" s="4" t="s">
        <v>50</v>
      </c>
      <c r="U174" s="6" t="s">
        <v>903</v>
      </c>
      <c r="V174" s="4" t="s">
        <v>64</v>
      </c>
    </row>
    <row r="175" spans="1:22" x14ac:dyDescent="0.5">
      <c r="A175" s="7" t="s">
        <v>904</v>
      </c>
      <c r="B175" s="8" t="s">
        <v>221</v>
      </c>
      <c r="C175" s="8" t="s">
        <v>259</v>
      </c>
      <c r="D175" s="8" t="s">
        <v>41</v>
      </c>
      <c r="E175" s="8" t="s">
        <v>606</v>
      </c>
      <c r="F175" s="8" t="s">
        <v>905</v>
      </c>
      <c r="G175" s="8" t="s">
        <v>76</v>
      </c>
      <c r="H175" s="8" t="s">
        <v>906</v>
      </c>
      <c r="I175" s="8" t="s">
        <v>212</v>
      </c>
      <c r="J175" s="8" t="s">
        <v>45</v>
      </c>
      <c r="K175" s="8" t="s">
        <v>122</v>
      </c>
      <c r="L175" s="8" t="s">
        <v>263</v>
      </c>
      <c r="M175" s="8">
        <v>6</v>
      </c>
      <c r="N175" s="8">
        <v>45</v>
      </c>
      <c r="O175" s="58">
        <v>20</v>
      </c>
      <c r="P175" s="8">
        <v>216</v>
      </c>
      <c r="Q175" s="8">
        <v>1</v>
      </c>
      <c r="R175" s="8" t="s">
        <v>79</v>
      </c>
      <c r="S175" s="8" t="s">
        <v>49</v>
      </c>
      <c r="T175" s="8" t="s">
        <v>907</v>
      </c>
      <c r="U175" s="9" t="s">
        <v>908</v>
      </c>
      <c r="V175" s="8" t="s">
        <v>64</v>
      </c>
    </row>
    <row r="176" spans="1:22" x14ac:dyDescent="0.5">
      <c r="A176" s="3" t="s">
        <v>909</v>
      </c>
      <c r="B176" s="4" t="s">
        <v>251</v>
      </c>
      <c r="C176" s="4" t="s">
        <v>259</v>
      </c>
      <c r="D176" s="4" t="s">
        <v>910</v>
      </c>
      <c r="E176" s="4" t="s">
        <v>119</v>
      </c>
      <c r="F176" s="4" t="s">
        <v>254</v>
      </c>
      <c r="G176" s="4" t="s">
        <v>28</v>
      </c>
      <c r="H176" s="4" t="s">
        <v>911</v>
      </c>
      <c r="I176" s="4" t="s">
        <v>114</v>
      </c>
      <c r="J176" s="4" t="s">
        <v>106</v>
      </c>
      <c r="K176" s="4" t="s">
        <v>122</v>
      </c>
      <c r="L176" s="4" t="s">
        <v>263</v>
      </c>
      <c r="M176" s="4">
        <v>17</v>
      </c>
      <c r="N176" s="4">
        <v>45</v>
      </c>
      <c r="O176" s="57">
        <v>15</v>
      </c>
      <c r="P176" s="4">
        <v>650.25</v>
      </c>
      <c r="Q176" s="4">
        <v>5</v>
      </c>
      <c r="R176" s="4" t="s">
        <v>34</v>
      </c>
      <c r="S176" s="4" t="s">
        <v>115</v>
      </c>
      <c r="T176" s="4" t="s">
        <v>256</v>
      </c>
      <c r="U176" s="6" t="s">
        <v>912</v>
      </c>
      <c r="V176" s="4" t="s">
        <v>64</v>
      </c>
    </row>
    <row r="177" spans="1:22" x14ac:dyDescent="0.5">
      <c r="A177" s="7" t="s">
        <v>913</v>
      </c>
      <c r="B177" s="8" t="s">
        <v>23</v>
      </c>
      <c r="C177" s="8" t="s">
        <v>222</v>
      </c>
      <c r="D177" s="8" t="s">
        <v>276</v>
      </c>
      <c r="E177" s="8" t="s">
        <v>914</v>
      </c>
      <c r="F177" s="8" t="s">
        <v>27</v>
      </c>
      <c r="G177" s="8" t="s">
        <v>28</v>
      </c>
      <c r="H177" s="8" t="s">
        <v>915</v>
      </c>
      <c r="I177" s="8" t="s">
        <v>114</v>
      </c>
      <c r="J177" s="8" t="s">
        <v>106</v>
      </c>
      <c r="K177" s="8" t="s">
        <v>122</v>
      </c>
      <c r="L177" s="8" t="s">
        <v>227</v>
      </c>
      <c r="M177" s="8">
        <v>19</v>
      </c>
      <c r="N177" s="8">
        <v>20</v>
      </c>
      <c r="O177" s="58">
        <v>5</v>
      </c>
      <c r="P177" s="8">
        <v>361</v>
      </c>
      <c r="Q177" s="8">
        <v>4</v>
      </c>
      <c r="R177" s="8" t="s">
        <v>34</v>
      </c>
      <c r="S177" s="8" t="s">
        <v>35</v>
      </c>
      <c r="T177" s="8" t="s">
        <v>50</v>
      </c>
      <c r="U177" s="9" t="s">
        <v>916</v>
      </c>
      <c r="V177" s="8" t="s">
        <v>64</v>
      </c>
    </row>
    <row r="178" spans="1:22" x14ac:dyDescent="0.5">
      <c r="A178" s="3" t="s">
        <v>917</v>
      </c>
      <c r="B178" s="4" t="s">
        <v>251</v>
      </c>
      <c r="C178" s="4" t="s">
        <v>222</v>
      </c>
      <c r="D178" s="4" t="s">
        <v>918</v>
      </c>
      <c r="E178" s="4" t="s">
        <v>352</v>
      </c>
      <c r="F178" s="4" t="s">
        <v>919</v>
      </c>
      <c r="G178" s="4" t="s">
        <v>28</v>
      </c>
      <c r="H178" s="4" t="s">
        <v>920</v>
      </c>
      <c r="I178" s="4" t="s">
        <v>138</v>
      </c>
      <c r="J178" s="4" t="s">
        <v>106</v>
      </c>
      <c r="K178" s="4" t="s">
        <v>122</v>
      </c>
      <c r="L178" s="4" t="s">
        <v>227</v>
      </c>
      <c r="M178" s="4">
        <v>11</v>
      </c>
      <c r="N178" s="4">
        <v>20</v>
      </c>
      <c r="O178" s="57">
        <v>0</v>
      </c>
      <c r="P178" s="4">
        <v>220</v>
      </c>
      <c r="Q178" s="4">
        <v>3</v>
      </c>
      <c r="R178" s="4" t="s">
        <v>48</v>
      </c>
      <c r="S178" s="4" t="s">
        <v>49</v>
      </c>
      <c r="T178" s="4" t="s">
        <v>256</v>
      </c>
      <c r="U178" s="6" t="s">
        <v>921</v>
      </c>
      <c r="V178" s="4" t="s">
        <v>38</v>
      </c>
    </row>
    <row r="179" spans="1:22" x14ac:dyDescent="0.5">
      <c r="A179" s="7" t="s">
        <v>922</v>
      </c>
      <c r="B179" s="8" t="s">
        <v>168</v>
      </c>
      <c r="C179" s="8" t="s">
        <v>118</v>
      </c>
      <c r="D179" s="8" t="s">
        <v>323</v>
      </c>
      <c r="E179" s="8" t="s">
        <v>923</v>
      </c>
      <c r="F179" s="8" t="s">
        <v>361</v>
      </c>
      <c r="G179" s="8" t="s">
        <v>28</v>
      </c>
      <c r="H179" s="8" t="s">
        <v>924</v>
      </c>
      <c r="I179" s="8" t="s">
        <v>44</v>
      </c>
      <c r="J179" s="8" t="s">
        <v>45</v>
      </c>
      <c r="K179" s="8" t="s">
        <v>122</v>
      </c>
      <c r="L179" s="8" t="s">
        <v>123</v>
      </c>
      <c r="M179" s="8">
        <v>12</v>
      </c>
      <c r="N179" s="8">
        <v>60</v>
      </c>
      <c r="O179" s="58">
        <v>0</v>
      </c>
      <c r="P179" s="8">
        <v>720</v>
      </c>
      <c r="Q179" s="8">
        <v>2</v>
      </c>
      <c r="R179" s="8" t="s">
        <v>48</v>
      </c>
      <c r="S179" s="8" t="s">
        <v>49</v>
      </c>
      <c r="T179" s="8" t="s">
        <v>175</v>
      </c>
      <c r="U179" s="9" t="s">
        <v>925</v>
      </c>
      <c r="V179" s="8" t="s">
        <v>38</v>
      </c>
    </row>
    <row r="180" spans="1:22" x14ac:dyDescent="0.5">
      <c r="A180" s="3" t="s">
        <v>926</v>
      </c>
      <c r="B180" s="4" t="s">
        <v>221</v>
      </c>
      <c r="C180" s="4" t="s">
        <v>259</v>
      </c>
      <c r="D180" s="4" t="s">
        <v>927</v>
      </c>
      <c r="E180" s="4" t="s">
        <v>865</v>
      </c>
      <c r="F180" s="4" t="s">
        <v>928</v>
      </c>
      <c r="G180" s="4" t="s">
        <v>76</v>
      </c>
      <c r="H180" s="4" t="s">
        <v>929</v>
      </c>
      <c r="I180" s="4" t="s">
        <v>294</v>
      </c>
      <c r="J180" s="4" t="s">
        <v>295</v>
      </c>
      <c r="K180" s="4" t="s">
        <v>122</v>
      </c>
      <c r="L180" s="4" t="s">
        <v>263</v>
      </c>
      <c r="M180" s="4">
        <v>14</v>
      </c>
      <c r="N180" s="4">
        <v>45</v>
      </c>
      <c r="O180" s="57">
        <v>15</v>
      </c>
      <c r="P180" s="4">
        <v>535.5</v>
      </c>
      <c r="Q180" s="4">
        <v>5</v>
      </c>
      <c r="R180" s="4" t="s">
        <v>88</v>
      </c>
      <c r="S180" s="4" t="s">
        <v>115</v>
      </c>
      <c r="T180" s="4" t="s">
        <v>228</v>
      </c>
      <c r="U180" s="6" t="s">
        <v>930</v>
      </c>
      <c r="V180" s="4" t="s">
        <v>64</v>
      </c>
    </row>
    <row r="181" spans="1:22" x14ac:dyDescent="0.5">
      <c r="A181" s="7" t="s">
        <v>931</v>
      </c>
      <c r="B181" s="8" t="s">
        <v>23</v>
      </c>
      <c r="C181" s="8" t="s">
        <v>184</v>
      </c>
      <c r="D181" s="8" t="s">
        <v>932</v>
      </c>
      <c r="E181" s="8" t="s">
        <v>303</v>
      </c>
      <c r="F181" s="8" t="s">
        <v>27</v>
      </c>
      <c r="G181" s="8" t="s">
        <v>28</v>
      </c>
      <c r="H181" s="8" t="s">
        <v>933</v>
      </c>
      <c r="I181" s="8" t="s">
        <v>30</v>
      </c>
      <c r="J181" s="8" t="s">
        <v>31</v>
      </c>
      <c r="K181" s="8" t="s">
        <v>46</v>
      </c>
      <c r="L181" s="8" t="s">
        <v>189</v>
      </c>
      <c r="M181" s="8">
        <v>15</v>
      </c>
      <c r="N181" s="8">
        <v>700</v>
      </c>
      <c r="O181" s="58">
        <v>10</v>
      </c>
      <c r="P181" s="8">
        <v>9450</v>
      </c>
      <c r="Q181" s="8">
        <v>3</v>
      </c>
      <c r="R181" s="8" t="s">
        <v>48</v>
      </c>
      <c r="S181" s="8" t="s">
        <v>49</v>
      </c>
      <c r="T181" s="8" t="s">
        <v>50</v>
      </c>
      <c r="U181" s="9" t="s">
        <v>934</v>
      </c>
      <c r="V181" s="8" t="s">
        <v>64</v>
      </c>
    </row>
    <row r="182" spans="1:22" x14ac:dyDescent="0.5">
      <c r="A182" s="3" t="s">
        <v>935</v>
      </c>
      <c r="B182" s="4" t="s">
        <v>100</v>
      </c>
      <c r="C182" s="4" t="s">
        <v>169</v>
      </c>
      <c r="D182" s="4" t="s">
        <v>936</v>
      </c>
      <c r="E182" s="4" t="s">
        <v>683</v>
      </c>
      <c r="F182" s="4" t="s">
        <v>103</v>
      </c>
      <c r="G182" s="4" t="s">
        <v>28</v>
      </c>
      <c r="H182" s="4" t="s">
        <v>937</v>
      </c>
      <c r="I182" s="4" t="s">
        <v>138</v>
      </c>
      <c r="J182" s="4" t="s">
        <v>106</v>
      </c>
      <c r="K182" s="4" t="s">
        <v>32</v>
      </c>
      <c r="L182" s="4" t="s">
        <v>174</v>
      </c>
      <c r="M182" s="4">
        <v>19</v>
      </c>
      <c r="N182" s="4">
        <v>8500</v>
      </c>
      <c r="O182" s="57">
        <v>15</v>
      </c>
      <c r="P182" s="4">
        <v>137275</v>
      </c>
      <c r="Q182" s="4">
        <v>2</v>
      </c>
      <c r="R182" s="4" t="s">
        <v>34</v>
      </c>
      <c r="S182" s="4" t="s">
        <v>35</v>
      </c>
      <c r="T182" s="4" t="s">
        <v>144</v>
      </c>
      <c r="U182" s="6" t="s">
        <v>938</v>
      </c>
      <c r="V182" s="4" t="s">
        <v>69</v>
      </c>
    </row>
    <row r="183" spans="1:22" x14ac:dyDescent="0.5">
      <c r="A183" s="7" t="s">
        <v>939</v>
      </c>
      <c r="B183" s="8" t="s">
        <v>251</v>
      </c>
      <c r="C183" s="8" t="s">
        <v>118</v>
      </c>
      <c r="D183" s="8" t="s">
        <v>940</v>
      </c>
      <c r="E183" s="8" t="s">
        <v>941</v>
      </c>
      <c r="F183" s="8" t="s">
        <v>254</v>
      </c>
      <c r="G183" s="8" t="s">
        <v>28</v>
      </c>
      <c r="H183" s="8" t="s">
        <v>911</v>
      </c>
      <c r="I183" s="8" t="s">
        <v>212</v>
      </c>
      <c r="J183" s="8" t="s">
        <v>45</v>
      </c>
      <c r="K183" s="8" t="s">
        <v>122</v>
      </c>
      <c r="L183" s="8" t="s">
        <v>123</v>
      </c>
      <c r="M183" s="8">
        <v>19</v>
      </c>
      <c r="N183" s="8">
        <v>60</v>
      </c>
      <c r="O183" s="58">
        <v>20</v>
      </c>
      <c r="P183" s="8">
        <v>912</v>
      </c>
      <c r="Q183" s="8">
        <v>4</v>
      </c>
      <c r="R183" s="8" t="s">
        <v>79</v>
      </c>
      <c r="S183" s="8" t="s">
        <v>49</v>
      </c>
      <c r="T183" s="8" t="s">
        <v>256</v>
      </c>
      <c r="U183" s="9" t="s">
        <v>942</v>
      </c>
      <c r="V183" s="8" t="s">
        <v>64</v>
      </c>
    </row>
    <row r="184" spans="1:22" x14ac:dyDescent="0.5">
      <c r="A184" s="3" t="s">
        <v>943</v>
      </c>
      <c r="B184" s="4" t="s">
        <v>100</v>
      </c>
      <c r="C184" s="4" t="s">
        <v>259</v>
      </c>
      <c r="D184" s="4" t="s">
        <v>944</v>
      </c>
      <c r="E184" s="4" t="s">
        <v>936</v>
      </c>
      <c r="F184" s="4" t="s">
        <v>103</v>
      </c>
      <c r="G184" s="4" t="s">
        <v>28</v>
      </c>
      <c r="H184" s="4" t="s">
        <v>945</v>
      </c>
      <c r="I184" s="4" t="s">
        <v>59</v>
      </c>
      <c r="J184" s="4" t="s">
        <v>31</v>
      </c>
      <c r="K184" s="4" t="s">
        <v>122</v>
      </c>
      <c r="L184" s="4" t="s">
        <v>263</v>
      </c>
      <c r="M184" s="4">
        <v>10</v>
      </c>
      <c r="N184" s="4">
        <v>45</v>
      </c>
      <c r="O184" s="57">
        <v>15</v>
      </c>
      <c r="P184" s="4">
        <v>382.5</v>
      </c>
      <c r="Q184" s="4">
        <v>4</v>
      </c>
      <c r="R184" s="4" t="s">
        <v>34</v>
      </c>
      <c r="S184" s="4" t="s">
        <v>151</v>
      </c>
      <c r="T184" s="4" t="s">
        <v>144</v>
      </c>
      <c r="U184" s="6" t="s">
        <v>946</v>
      </c>
      <c r="V184" s="4" t="s">
        <v>38</v>
      </c>
    </row>
    <row r="185" spans="1:22" x14ac:dyDescent="0.5">
      <c r="A185" s="7" t="s">
        <v>947</v>
      </c>
      <c r="B185" s="8" t="s">
        <v>71</v>
      </c>
      <c r="C185" s="8" t="s">
        <v>24</v>
      </c>
      <c r="D185" s="8" t="s">
        <v>948</v>
      </c>
      <c r="E185" s="8" t="s">
        <v>949</v>
      </c>
      <c r="F185" s="8" t="s">
        <v>217</v>
      </c>
      <c r="G185" s="8" t="s">
        <v>76</v>
      </c>
      <c r="H185" s="8" t="s">
        <v>950</v>
      </c>
      <c r="I185" s="8" t="s">
        <v>44</v>
      </c>
      <c r="J185" s="8" t="s">
        <v>45</v>
      </c>
      <c r="K185" s="8" t="s">
        <v>32</v>
      </c>
      <c r="L185" s="8" t="s">
        <v>33</v>
      </c>
      <c r="M185" s="8">
        <v>7</v>
      </c>
      <c r="N185" s="8">
        <v>2200</v>
      </c>
      <c r="O185" s="58">
        <v>20</v>
      </c>
      <c r="P185" s="8">
        <v>12320</v>
      </c>
      <c r="Q185" s="8">
        <v>5</v>
      </c>
      <c r="R185" s="8" t="s">
        <v>88</v>
      </c>
      <c r="S185" s="8" t="s">
        <v>49</v>
      </c>
      <c r="T185" s="8" t="s">
        <v>80</v>
      </c>
      <c r="U185" s="9" t="s">
        <v>951</v>
      </c>
      <c r="V185" s="8" t="s">
        <v>64</v>
      </c>
    </row>
    <row r="186" spans="1:22" x14ac:dyDescent="0.5">
      <c r="A186" s="3" t="s">
        <v>952</v>
      </c>
      <c r="B186" s="4" t="s">
        <v>100</v>
      </c>
      <c r="C186" s="4" t="s">
        <v>169</v>
      </c>
      <c r="D186" s="4" t="s">
        <v>953</v>
      </c>
      <c r="E186" s="4" t="s">
        <v>42</v>
      </c>
      <c r="F186" s="4" t="s">
        <v>103</v>
      </c>
      <c r="G186" s="4" t="s">
        <v>28</v>
      </c>
      <c r="H186" s="4" t="s">
        <v>954</v>
      </c>
      <c r="I186" s="4" t="s">
        <v>294</v>
      </c>
      <c r="J186" s="4" t="s">
        <v>295</v>
      </c>
      <c r="K186" s="4" t="s">
        <v>32</v>
      </c>
      <c r="L186" s="4" t="s">
        <v>174</v>
      </c>
      <c r="M186" s="4">
        <v>20</v>
      </c>
      <c r="N186" s="4">
        <v>8500</v>
      </c>
      <c r="O186" s="57">
        <v>20</v>
      </c>
      <c r="P186" s="4">
        <v>136000</v>
      </c>
      <c r="Q186" s="4">
        <v>4</v>
      </c>
      <c r="R186" s="4" t="s">
        <v>48</v>
      </c>
      <c r="S186" s="4" t="s">
        <v>35</v>
      </c>
      <c r="T186" s="4" t="s">
        <v>144</v>
      </c>
      <c r="U186" s="6" t="s">
        <v>955</v>
      </c>
      <c r="V186" s="4" t="s">
        <v>38</v>
      </c>
    </row>
    <row r="187" spans="1:22" x14ac:dyDescent="0.5">
      <c r="A187" s="7" t="s">
        <v>956</v>
      </c>
      <c r="B187" s="8" t="s">
        <v>251</v>
      </c>
      <c r="C187" s="8" t="s">
        <v>24</v>
      </c>
      <c r="D187" s="8" t="s">
        <v>770</v>
      </c>
      <c r="E187" s="8" t="s">
        <v>957</v>
      </c>
      <c r="F187" s="8" t="s">
        <v>254</v>
      </c>
      <c r="G187" s="8" t="s">
        <v>28</v>
      </c>
      <c r="H187" s="8" t="s">
        <v>958</v>
      </c>
      <c r="I187" s="8" t="s">
        <v>30</v>
      </c>
      <c r="J187" s="8" t="s">
        <v>31</v>
      </c>
      <c r="K187" s="8" t="s">
        <v>32</v>
      </c>
      <c r="L187" s="8" t="s">
        <v>33</v>
      </c>
      <c r="M187" s="8">
        <v>10</v>
      </c>
      <c r="N187" s="8">
        <v>2200</v>
      </c>
      <c r="O187" s="58">
        <v>5</v>
      </c>
      <c r="P187" s="8">
        <v>20900</v>
      </c>
      <c r="Q187" s="8">
        <v>2</v>
      </c>
      <c r="R187" s="8" t="s">
        <v>48</v>
      </c>
      <c r="S187" s="8" t="s">
        <v>49</v>
      </c>
      <c r="T187" s="8" t="s">
        <v>256</v>
      </c>
      <c r="U187" s="9" t="s">
        <v>959</v>
      </c>
      <c r="V187" s="8" t="s">
        <v>38</v>
      </c>
    </row>
    <row r="188" spans="1:22" x14ac:dyDescent="0.5">
      <c r="A188" s="3" t="s">
        <v>960</v>
      </c>
      <c r="B188" s="4" t="s">
        <v>127</v>
      </c>
      <c r="C188" s="4" t="s">
        <v>118</v>
      </c>
      <c r="D188" s="4" t="s">
        <v>692</v>
      </c>
      <c r="E188" s="4" t="s">
        <v>961</v>
      </c>
      <c r="F188" s="4" t="s">
        <v>200</v>
      </c>
      <c r="G188" s="4" t="s">
        <v>76</v>
      </c>
      <c r="H188" s="4" t="s">
        <v>962</v>
      </c>
      <c r="I188" s="4" t="s">
        <v>114</v>
      </c>
      <c r="J188" s="4" t="s">
        <v>106</v>
      </c>
      <c r="K188" s="4" t="s">
        <v>122</v>
      </c>
      <c r="L188" s="4" t="s">
        <v>123</v>
      </c>
      <c r="M188" s="4">
        <v>15</v>
      </c>
      <c r="N188" s="4">
        <v>60</v>
      </c>
      <c r="O188" s="57">
        <v>20</v>
      </c>
      <c r="P188" s="4">
        <v>720</v>
      </c>
      <c r="Q188" s="4">
        <v>1</v>
      </c>
      <c r="R188" s="4" t="s">
        <v>79</v>
      </c>
      <c r="S188" s="4" t="s">
        <v>35</v>
      </c>
      <c r="T188" s="4" t="s">
        <v>132</v>
      </c>
      <c r="U188" s="6" t="s">
        <v>963</v>
      </c>
      <c r="V188" s="4" t="s">
        <v>38</v>
      </c>
    </row>
    <row r="189" spans="1:22" x14ac:dyDescent="0.5">
      <c r="A189" s="7" t="s">
        <v>964</v>
      </c>
      <c r="B189" s="8" t="s">
        <v>221</v>
      </c>
      <c r="C189" s="8" t="s">
        <v>92</v>
      </c>
      <c r="D189" s="8" t="s">
        <v>231</v>
      </c>
      <c r="E189" s="8" t="s">
        <v>965</v>
      </c>
      <c r="F189" s="8" t="s">
        <v>225</v>
      </c>
      <c r="G189" s="8" t="s">
        <v>76</v>
      </c>
      <c r="H189" s="8" t="s">
        <v>966</v>
      </c>
      <c r="I189" s="8" t="s">
        <v>30</v>
      </c>
      <c r="J189" s="8" t="s">
        <v>31</v>
      </c>
      <c r="K189" s="8" t="s">
        <v>32</v>
      </c>
      <c r="L189" s="8" t="s">
        <v>97</v>
      </c>
      <c r="M189" s="8">
        <v>18</v>
      </c>
      <c r="N189" s="8">
        <v>3500</v>
      </c>
      <c r="O189" s="58">
        <v>5</v>
      </c>
      <c r="P189" s="8">
        <v>59850</v>
      </c>
      <c r="Q189" s="8">
        <v>1</v>
      </c>
      <c r="R189" s="8" t="s">
        <v>79</v>
      </c>
      <c r="S189" s="8" t="s">
        <v>49</v>
      </c>
      <c r="T189" s="8" t="s">
        <v>228</v>
      </c>
      <c r="U189" s="9" t="s">
        <v>967</v>
      </c>
      <c r="V189" s="8" t="s">
        <v>69</v>
      </c>
    </row>
    <row r="190" spans="1:22" x14ac:dyDescent="0.5">
      <c r="A190" s="3" t="s">
        <v>968</v>
      </c>
      <c r="B190" s="4" t="s">
        <v>327</v>
      </c>
      <c r="C190" s="4" t="s">
        <v>40</v>
      </c>
      <c r="D190" s="4" t="s">
        <v>969</v>
      </c>
      <c r="E190" s="4" t="s">
        <v>970</v>
      </c>
      <c r="F190" s="4" t="s">
        <v>394</v>
      </c>
      <c r="G190" s="4" t="s">
        <v>76</v>
      </c>
      <c r="H190" s="4" t="s">
        <v>971</v>
      </c>
      <c r="I190" s="4" t="s">
        <v>114</v>
      </c>
      <c r="J190" s="4" t="s">
        <v>106</v>
      </c>
      <c r="K190" s="4" t="s">
        <v>46</v>
      </c>
      <c r="L190" s="4" t="s">
        <v>47</v>
      </c>
      <c r="M190" s="4">
        <v>6</v>
      </c>
      <c r="N190" s="4">
        <v>12000</v>
      </c>
      <c r="O190" s="57">
        <v>5</v>
      </c>
      <c r="P190" s="4">
        <v>68400</v>
      </c>
      <c r="Q190" s="4">
        <v>1</v>
      </c>
      <c r="R190" s="4" t="s">
        <v>48</v>
      </c>
      <c r="S190" s="4" t="s">
        <v>49</v>
      </c>
      <c r="T190" s="4" t="s">
        <v>332</v>
      </c>
      <c r="U190" s="6" t="s">
        <v>972</v>
      </c>
      <c r="V190" s="4" t="s">
        <v>69</v>
      </c>
    </row>
    <row r="191" spans="1:22" x14ac:dyDescent="0.5">
      <c r="A191" s="7" t="s">
        <v>973</v>
      </c>
      <c r="B191" s="8" t="s">
        <v>327</v>
      </c>
      <c r="C191" s="8" t="s">
        <v>222</v>
      </c>
      <c r="D191" s="8" t="s">
        <v>323</v>
      </c>
      <c r="E191" s="8" t="s">
        <v>479</v>
      </c>
      <c r="F191" s="8" t="s">
        <v>394</v>
      </c>
      <c r="G191" s="8" t="s">
        <v>76</v>
      </c>
      <c r="H191" s="8" t="s">
        <v>974</v>
      </c>
      <c r="I191" s="8" t="s">
        <v>59</v>
      </c>
      <c r="J191" s="8" t="s">
        <v>31</v>
      </c>
      <c r="K191" s="8" t="s">
        <v>122</v>
      </c>
      <c r="L191" s="8" t="s">
        <v>227</v>
      </c>
      <c r="M191" s="8">
        <v>19</v>
      </c>
      <c r="N191" s="8">
        <v>20</v>
      </c>
      <c r="O191" s="58">
        <v>10</v>
      </c>
      <c r="P191" s="8">
        <v>342</v>
      </c>
      <c r="Q191" s="8">
        <v>2</v>
      </c>
      <c r="R191" s="8" t="s">
        <v>48</v>
      </c>
      <c r="S191" s="8" t="s">
        <v>35</v>
      </c>
      <c r="T191" s="8" t="s">
        <v>332</v>
      </c>
      <c r="U191" s="9" t="s">
        <v>975</v>
      </c>
      <c r="V191" s="8" t="s">
        <v>64</v>
      </c>
    </row>
    <row r="192" spans="1:22" x14ac:dyDescent="0.5">
      <c r="A192" s="3" t="s">
        <v>976</v>
      </c>
      <c r="B192" s="4" t="s">
        <v>221</v>
      </c>
      <c r="C192" s="4" t="s">
        <v>24</v>
      </c>
      <c r="D192" s="4" t="s">
        <v>426</v>
      </c>
      <c r="E192" s="4" t="s">
        <v>427</v>
      </c>
      <c r="F192" s="4" t="s">
        <v>225</v>
      </c>
      <c r="G192" s="4" t="s">
        <v>76</v>
      </c>
      <c r="H192" s="4" t="s">
        <v>977</v>
      </c>
      <c r="I192" s="4" t="s">
        <v>114</v>
      </c>
      <c r="J192" s="4" t="s">
        <v>106</v>
      </c>
      <c r="K192" s="4" t="s">
        <v>32</v>
      </c>
      <c r="L192" s="4" t="s">
        <v>33</v>
      </c>
      <c r="M192" s="4">
        <v>7</v>
      </c>
      <c r="N192" s="4">
        <v>2200</v>
      </c>
      <c r="O192" s="57">
        <v>0</v>
      </c>
      <c r="P192" s="4">
        <v>15400</v>
      </c>
      <c r="Q192" s="4">
        <v>1</v>
      </c>
      <c r="R192" s="4" t="s">
        <v>79</v>
      </c>
      <c r="S192" s="4" t="s">
        <v>115</v>
      </c>
      <c r="T192" s="4" t="s">
        <v>228</v>
      </c>
      <c r="U192" s="6" t="s">
        <v>978</v>
      </c>
      <c r="V192" s="4" t="s">
        <v>69</v>
      </c>
    </row>
    <row r="193" spans="1:22" x14ac:dyDescent="0.5">
      <c r="A193" s="7" t="s">
        <v>979</v>
      </c>
      <c r="B193" s="8" t="s">
        <v>327</v>
      </c>
      <c r="C193" s="8" t="s">
        <v>40</v>
      </c>
      <c r="D193" s="8" t="s">
        <v>503</v>
      </c>
      <c r="E193" s="8" t="s">
        <v>980</v>
      </c>
      <c r="F193" s="8" t="s">
        <v>394</v>
      </c>
      <c r="G193" s="8" t="s">
        <v>76</v>
      </c>
      <c r="H193" s="8" t="s">
        <v>981</v>
      </c>
      <c r="I193" s="8" t="s">
        <v>212</v>
      </c>
      <c r="J193" s="8" t="s">
        <v>45</v>
      </c>
      <c r="K193" s="8" t="s">
        <v>46</v>
      </c>
      <c r="L193" s="8" t="s">
        <v>47</v>
      </c>
      <c r="M193" s="8">
        <v>3</v>
      </c>
      <c r="N193" s="8">
        <v>12000</v>
      </c>
      <c r="O193" s="58">
        <v>5</v>
      </c>
      <c r="P193" s="8">
        <v>34200</v>
      </c>
      <c r="Q193" s="8">
        <v>3</v>
      </c>
      <c r="R193" s="8" t="s">
        <v>79</v>
      </c>
      <c r="S193" s="8" t="s">
        <v>61</v>
      </c>
      <c r="T193" s="8" t="s">
        <v>332</v>
      </c>
      <c r="U193" s="9" t="s">
        <v>982</v>
      </c>
      <c r="V193" s="8" t="s">
        <v>69</v>
      </c>
    </row>
    <row r="194" spans="1:22" x14ac:dyDescent="0.5">
      <c r="A194" s="3" t="s">
        <v>983</v>
      </c>
      <c r="B194" s="4" t="s">
        <v>168</v>
      </c>
      <c r="C194" s="4" t="s">
        <v>24</v>
      </c>
      <c r="D194" s="4" t="s">
        <v>341</v>
      </c>
      <c r="E194" s="4" t="s">
        <v>864</v>
      </c>
      <c r="F194" s="4" t="s">
        <v>361</v>
      </c>
      <c r="G194" s="4" t="s">
        <v>28</v>
      </c>
      <c r="H194" s="4" t="s">
        <v>984</v>
      </c>
      <c r="I194" s="4" t="s">
        <v>212</v>
      </c>
      <c r="J194" s="4" t="s">
        <v>45</v>
      </c>
      <c r="K194" s="4" t="s">
        <v>32</v>
      </c>
      <c r="L194" s="4" t="s">
        <v>33</v>
      </c>
      <c r="M194" s="4">
        <v>16</v>
      </c>
      <c r="N194" s="4">
        <v>2200</v>
      </c>
      <c r="O194" s="57">
        <v>0</v>
      </c>
      <c r="P194" s="4">
        <v>35200</v>
      </c>
      <c r="Q194" s="4">
        <v>5</v>
      </c>
      <c r="R194" s="4" t="s">
        <v>79</v>
      </c>
      <c r="S194" s="4" t="s">
        <v>35</v>
      </c>
      <c r="T194" s="4" t="s">
        <v>175</v>
      </c>
      <c r="U194" s="6" t="s">
        <v>985</v>
      </c>
      <c r="V194" s="4" t="s">
        <v>64</v>
      </c>
    </row>
    <row r="195" spans="1:22" x14ac:dyDescent="0.5">
      <c r="A195" s="7" t="s">
        <v>986</v>
      </c>
      <c r="B195" s="8" t="s">
        <v>251</v>
      </c>
      <c r="C195" s="8" t="s">
        <v>24</v>
      </c>
      <c r="D195" s="8" t="s">
        <v>987</v>
      </c>
      <c r="E195" s="8" t="s">
        <v>988</v>
      </c>
      <c r="F195" s="8" t="s">
        <v>254</v>
      </c>
      <c r="G195" s="8" t="s">
        <v>28</v>
      </c>
      <c r="H195" s="8" t="s">
        <v>989</v>
      </c>
      <c r="I195" s="8" t="s">
        <v>44</v>
      </c>
      <c r="J195" s="8" t="s">
        <v>45</v>
      </c>
      <c r="K195" s="8" t="s">
        <v>32</v>
      </c>
      <c r="L195" s="8" t="s">
        <v>33</v>
      </c>
      <c r="M195" s="8">
        <v>8</v>
      </c>
      <c r="N195" s="8">
        <v>2200</v>
      </c>
      <c r="O195" s="58">
        <v>5</v>
      </c>
      <c r="P195" s="8">
        <v>16720</v>
      </c>
      <c r="Q195" s="8">
        <v>2</v>
      </c>
      <c r="R195" s="8" t="s">
        <v>88</v>
      </c>
      <c r="S195" s="8" t="s">
        <v>151</v>
      </c>
      <c r="T195" s="8" t="s">
        <v>256</v>
      </c>
      <c r="U195" s="9" t="s">
        <v>990</v>
      </c>
      <c r="V195" s="8" t="s">
        <v>38</v>
      </c>
    </row>
    <row r="196" spans="1:22" x14ac:dyDescent="0.5">
      <c r="A196" s="3" t="s">
        <v>991</v>
      </c>
      <c r="B196" s="4" t="s">
        <v>251</v>
      </c>
      <c r="C196" s="4" t="s">
        <v>24</v>
      </c>
      <c r="D196" s="4" t="s">
        <v>610</v>
      </c>
      <c r="E196" s="4" t="s">
        <v>454</v>
      </c>
      <c r="F196" s="4" t="s">
        <v>254</v>
      </c>
      <c r="G196" s="4" t="s">
        <v>28</v>
      </c>
      <c r="H196" s="4" t="s">
        <v>992</v>
      </c>
      <c r="I196" s="4" t="s">
        <v>138</v>
      </c>
      <c r="J196" s="4" t="s">
        <v>106</v>
      </c>
      <c r="K196" s="4" t="s">
        <v>32</v>
      </c>
      <c r="L196" s="4" t="s">
        <v>33</v>
      </c>
      <c r="M196" s="4">
        <v>10</v>
      </c>
      <c r="N196" s="4">
        <v>2200</v>
      </c>
      <c r="O196" s="57">
        <v>10</v>
      </c>
      <c r="P196" s="4">
        <v>19800</v>
      </c>
      <c r="Q196" s="4">
        <v>5</v>
      </c>
      <c r="R196" s="4" t="s">
        <v>48</v>
      </c>
      <c r="S196" s="4" t="s">
        <v>115</v>
      </c>
      <c r="T196" s="4" t="s">
        <v>256</v>
      </c>
      <c r="U196" s="6" t="s">
        <v>993</v>
      </c>
      <c r="V196" s="4" t="s">
        <v>64</v>
      </c>
    </row>
    <row r="197" spans="1:22" x14ac:dyDescent="0.5">
      <c r="A197" s="7" t="s">
        <v>994</v>
      </c>
      <c r="B197" s="8" t="s">
        <v>83</v>
      </c>
      <c r="C197" s="8" t="s">
        <v>222</v>
      </c>
      <c r="D197" s="8" t="s">
        <v>336</v>
      </c>
      <c r="E197" s="8" t="s">
        <v>596</v>
      </c>
      <c r="F197" s="8" t="s">
        <v>180</v>
      </c>
      <c r="G197" s="8" t="s">
        <v>76</v>
      </c>
      <c r="H197" s="8" t="s">
        <v>995</v>
      </c>
      <c r="I197" s="8" t="s">
        <v>44</v>
      </c>
      <c r="J197" s="8" t="s">
        <v>45</v>
      </c>
      <c r="K197" s="8" t="s">
        <v>122</v>
      </c>
      <c r="L197" s="8" t="s">
        <v>227</v>
      </c>
      <c r="M197" s="8">
        <v>7</v>
      </c>
      <c r="N197" s="8">
        <v>20</v>
      </c>
      <c r="O197" s="58">
        <v>10</v>
      </c>
      <c r="P197" s="8">
        <v>126</v>
      </c>
      <c r="Q197" s="8">
        <v>4</v>
      </c>
      <c r="R197" s="8" t="s">
        <v>79</v>
      </c>
      <c r="S197" s="8" t="s">
        <v>61</v>
      </c>
      <c r="T197" s="8" t="s">
        <v>89</v>
      </c>
      <c r="U197" s="9" t="s">
        <v>996</v>
      </c>
      <c r="V197" s="8" t="s">
        <v>38</v>
      </c>
    </row>
    <row r="198" spans="1:22" x14ac:dyDescent="0.5">
      <c r="A198" s="3" t="s">
        <v>997</v>
      </c>
      <c r="B198" s="4" t="s">
        <v>221</v>
      </c>
      <c r="C198" s="4" t="s">
        <v>169</v>
      </c>
      <c r="D198" s="4" t="s">
        <v>252</v>
      </c>
      <c r="E198" s="4" t="s">
        <v>998</v>
      </c>
      <c r="F198" s="4" t="s">
        <v>225</v>
      </c>
      <c r="G198" s="4" t="s">
        <v>76</v>
      </c>
      <c r="H198" s="4" t="s">
        <v>999</v>
      </c>
      <c r="I198" s="4" t="s">
        <v>30</v>
      </c>
      <c r="J198" s="4" t="s">
        <v>31</v>
      </c>
      <c r="K198" s="4" t="s">
        <v>32</v>
      </c>
      <c r="L198" s="4" t="s">
        <v>174</v>
      </c>
      <c r="M198" s="4">
        <v>19</v>
      </c>
      <c r="N198" s="4">
        <v>8500</v>
      </c>
      <c r="O198" s="57">
        <v>20</v>
      </c>
      <c r="P198" s="4">
        <v>129200</v>
      </c>
      <c r="Q198" s="4">
        <v>3</v>
      </c>
      <c r="R198" s="4" t="s">
        <v>48</v>
      </c>
      <c r="S198" s="4" t="s">
        <v>61</v>
      </c>
      <c r="T198" s="4" t="s">
        <v>228</v>
      </c>
      <c r="U198" s="6" t="s">
        <v>1000</v>
      </c>
      <c r="V198" s="4" t="s">
        <v>64</v>
      </c>
    </row>
    <row r="199" spans="1:22" x14ac:dyDescent="0.5">
      <c r="A199" s="7" t="s">
        <v>1001</v>
      </c>
      <c r="B199" s="8" t="s">
        <v>100</v>
      </c>
      <c r="C199" s="8" t="s">
        <v>118</v>
      </c>
      <c r="D199" s="8" t="s">
        <v>431</v>
      </c>
      <c r="E199" s="8" t="s">
        <v>414</v>
      </c>
      <c r="F199" s="8" t="s">
        <v>103</v>
      </c>
      <c r="G199" s="8" t="s">
        <v>28</v>
      </c>
      <c r="H199" s="8" t="s">
        <v>1002</v>
      </c>
      <c r="I199" s="8" t="s">
        <v>114</v>
      </c>
      <c r="J199" s="8" t="s">
        <v>106</v>
      </c>
      <c r="K199" s="8" t="s">
        <v>122</v>
      </c>
      <c r="L199" s="8" t="s">
        <v>123</v>
      </c>
      <c r="M199" s="8">
        <v>16</v>
      </c>
      <c r="N199" s="8">
        <v>60</v>
      </c>
      <c r="O199" s="58">
        <v>0</v>
      </c>
      <c r="P199" s="8">
        <v>960</v>
      </c>
      <c r="Q199" s="8">
        <v>2</v>
      </c>
      <c r="R199" s="8" t="s">
        <v>48</v>
      </c>
      <c r="S199" s="8" t="s">
        <v>115</v>
      </c>
      <c r="T199" s="8" t="s">
        <v>144</v>
      </c>
      <c r="U199" s="9" t="s">
        <v>1003</v>
      </c>
      <c r="V199" s="8" t="s">
        <v>38</v>
      </c>
    </row>
    <row r="200" spans="1:22" x14ac:dyDescent="0.5">
      <c r="A200" s="3" t="s">
        <v>1004</v>
      </c>
      <c r="B200" s="4" t="s">
        <v>221</v>
      </c>
      <c r="C200" s="4" t="s">
        <v>92</v>
      </c>
      <c r="D200" s="4" t="s">
        <v>1005</v>
      </c>
      <c r="E200" s="4" t="s">
        <v>731</v>
      </c>
      <c r="F200" s="4" t="s">
        <v>225</v>
      </c>
      <c r="G200" s="4" t="s">
        <v>76</v>
      </c>
      <c r="H200" s="4" t="s">
        <v>1006</v>
      </c>
      <c r="I200" s="4" t="s">
        <v>59</v>
      </c>
      <c r="J200" s="4" t="s">
        <v>31</v>
      </c>
      <c r="K200" s="4" t="s">
        <v>1007</v>
      </c>
      <c r="L200" s="4" t="s">
        <v>97</v>
      </c>
      <c r="M200" s="4">
        <v>18</v>
      </c>
      <c r="N200" s="4">
        <v>3500</v>
      </c>
      <c r="O200" s="57">
        <v>5</v>
      </c>
      <c r="P200" s="4">
        <v>59850</v>
      </c>
      <c r="Q200" s="4">
        <v>1</v>
      </c>
      <c r="R200" s="4" t="s">
        <v>88</v>
      </c>
      <c r="S200" s="4" t="s">
        <v>115</v>
      </c>
      <c r="T200" s="4" t="s">
        <v>228</v>
      </c>
      <c r="U200" s="6" t="s">
        <v>1008</v>
      </c>
      <c r="V200" s="4" t="s">
        <v>64</v>
      </c>
    </row>
    <row r="201" spans="1:22" x14ac:dyDescent="0.5">
      <c r="A201" s="7" t="s">
        <v>1009</v>
      </c>
      <c r="B201" s="8" t="s">
        <v>100</v>
      </c>
      <c r="C201" s="8" t="s">
        <v>54</v>
      </c>
      <c r="D201" s="8" t="s">
        <v>1010</v>
      </c>
      <c r="E201" s="8" t="s">
        <v>431</v>
      </c>
      <c r="F201" s="8" t="s">
        <v>103</v>
      </c>
      <c r="G201" s="8" t="s">
        <v>28</v>
      </c>
      <c r="H201" s="8" t="s">
        <v>1011</v>
      </c>
      <c r="I201" s="8" t="s">
        <v>212</v>
      </c>
      <c r="J201" s="8" t="s">
        <v>45</v>
      </c>
      <c r="K201" s="8" t="s">
        <v>46</v>
      </c>
      <c r="L201" s="8" t="s">
        <v>60</v>
      </c>
      <c r="M201" s="8">
        <v>16</v>
      </c>
      <c r="N201" s="8">
        <v>55000</v>
      </c>
      <c r="O201" s="58">
        <v>0</v>
      </c>
      <c r="P201" s="8">
        <v>880000</v>
      </c>
      <c r="Q201" s="8">
        <v>1</v>
      </c>
      <c r="R201" s="8" t="s">
        <v>79</v>
      </c>
      <c r="S201" s="8" t="s">
        <v>61</v>
      </c>
      <c r="T201" s="8" t="s">
        <v>144</v>
      </c>
      <c r="U201" s="9" t="s">
        <v>1012</v>
      </c>
      <c r="V201" s="8" t="s">
        <v>69</v>
      </c>
    </row>
    <row r="202" spans="1:22" x14ac:dyDescent="0.5">
      <c r="A202" s="3" t="s">
        <v>1013</v>
      </c>
      <c r="B202" s="4" t="s">
        <v>221</v>
      </c>
      <c r="C202" s="4" t="s">
        <v>72</v>
      </c>
      <c r="D202" s="4" t="s">
        <v>900</v>
      </c>
      <c r="E202" s="4" t="s">
        <v>435</v>
      </c>
      <c r="F202" s="4" t="s">
        <v>225</v>
      </c>
      <c r="G202" s="4" t="s">
        <v>76</v>
      </c>
      <c r="H202" s="4" t="s">
        <v>1014</v>
      </c>
      <c r="I202" s="4" t="s">
        <v>138</v>
      </c>
      <c r="J202" s="4" t="s">
        <v>106</v>
      </c>
      <c r="K202" s="4" t="s">
        <v>46</v>
      </c>
      <c r="L202" s="4" t="s">
        <v>78</v>
      </c>
      <c r="M202" s="4">
        <v>18</v>
      </c>
      <c r="N202" s="4">
        <v>1200</v>
      </c>
      <c r="O202" s="57">
        <v>15</v>
      </c>
      <c r="P202" s="4">
        <v>18360</v>
      </c>
      <c r="Q202" s="4">
        <v>2</v>
      </c>
      <c r="R202" s="4" t="s">
        <v>48</v>
      </c>
      <c r="S202" s="4" t="s">
        <v>35</v>
      </c>
      <c r="T202" s="4" t="s">
        <v>228</v>
      </c>
      <c r="U202" s="6" t="s">
        <v>1015</v>
      </c>
      <c r="V202" s="4" t="s">
        <v>69</v>
      </c>
    </row>
    <row r="203" spans="1:22" x14ac:dyDescent="0.5">
      <c r="A203" s="7" t="s">
        <v>1016</v>
      </c>
      <c r="B203" s="8" t="s">
        <v>71</v>
      </c>
      <c r="C203" s="8" t="s">
        <v>259</v>
      </c>
      <c r="D203" s="8" t="s">
        <v>1017</v>
      </c>
      <c r="E203" s="8" t="s">
        <v>1018</v>
      </c>
      <c r="F203" s="8" t="s">
        <v>217</v>
      </c>
      <c r="G203" s="8" t="s">
        <v>76</v>
      </c>
      <c r="H203" s="8" t="s">
        <v>1019</v>
      </c>
      <c r="I203" s="8" t="s">
        <v>30</v>
      </c>
      <c r="J203" s="8" t="s">
        <v>31</v>
      </c>
      <c r="K203" s="8" t="s">
        <v>122</v>
      </c>
      <c r="L203" s="8" t="s">
        <v>263</v>
      </c>
      <c r="M203" s="8">
        <v>2</v>
      </c>
      <c r="N203" s="8">
        <v>45</v>
      </c>
      <c r="O203" s="58">
        <v>15</v>
      </c>
      <c r="P203" s="8">
        <v>76.5</v>
      </c>
      <c r="Q203" s="8">
        <v>5</v>
      </c>
      <c r="R203" s="8" t="s">
        <v>34</v>
      </c>
      <c r="S203" s="8" t="s">
        <v>61</v>
      </c>
      <c r="T203" s="8" t="s">
        <v>80</v>
      </c>
      <c r="U203" s="9" t="s">
        <v>1020</v>
      </c>
      <c r="V203" s="8" t="s">
        <v>69</v>
      </c>
    </row>
    <row r="204" spans="1:22" x14ac:dyDescent="0.5">
      <c r="A204" s="3" t="s">
        <v>1021</v>
      </c>
      <c r="B204" s="4" t="s">
        <v>53</v>
      </c>
      <c r="C204" s="4" t="s">
        <v>169</v>
      </c>
      <c r="D204" s="4" t="s">
        <v>712</v>
      </c>
      <c r="E204" s="4" t="s">
        <v>85</v>
      </c>
      <c r="F204" s="4" t="s">
        <v>163</v>
      </c>
      <c r="G204" s="4" t="s">
        <v>28</v>
      </c>
      <c r="H204" s="4" t="s">
        <v>1022</v>
      </c>
      <c r="I204" s="4" t="s">
        <v>59</v>
      </c>
      <c r="J204" s="4" t="s">
        <v>31</v>
      </c>
      <c r="K204" s="4" t="s">
        <v>32</v>
      </c>
      <c r="L204" s="4" t="s">
        <v>174</v>
      </c>
      <c r="M204" s="4">
        <v>20</v>
      </c>
      <c r="N204" s="4">
        <v>8500</v>
      </c>
      <c r="O204" s="57">
        <v>0</v>
      </c>
      <c r="P204" s="4">
        <v>170000</v>
      </c>
      <c r="Q204" s="4">
        <v>4</v>
      </c>
      <c r="R204" s="4" t="s">
        <v>48</v>
      </c>
      <c r="S204" s="4" t="s">
        <v>61</v>
      </c>
      <c r="T204" s="4" t="s">
        <v>62</v>
      </c>
      <c r="U204" s="6" t="s">
        <v>1023</v>
      </c>
      <c r="V204" s="4" t="s">
        <v>69</v>
      </c>
    </row>
    <row r="205" spans="1:22" x14ac:dyDescent="0.5">
      <c r="A205" s="7" t="s">
        <v>1024</v>
      </c>
      <c r="B205" s="8" t="s">
        <v>127</v>
      </c>
      <c r="C205" s="8" t="s">
        <v>92</v>
      </c>
      <c r="D205" s="8" t="s">
        <v>298</v>
      </c>
      <c r="E205" s="8" t="s">
        <v>1025</v>
      </c>
      <c r="F205" s="8" t="s">
        <v>200</v>
      </c>
      <c r="G205" s="8" t="s">
        <v>76</v>
      </c>
      <c r="H205" s="8" t="s">
        <v>494</v>
      </c>
      <c r="I205" s="8" t="s">
        <v>212</v>
      </c>
      <c r="J205" s="8" t="s">
        <v>45</v>
      </c>
      <c r="K205" s="8" t="s">
        <v>32</v>
      </c>
      <c r="L205" s="8" t="s">
        <v>97</v>
      </c>
      <c r="M205" s="8">
        <v>6</v>
      </c>
      <c r="N205" s="8">
        <v>3500</v>
      </c>
      <c r="O205" s="58">
        <v>5</v>
      </c>
      <c r="P205" s="8">
        <v>19950</v>
      </c>
      <c r="Q205" s="8">
        <v>1</v>
      </c>
      <c r="R205" s="8" t="s">
        <v>34</v>
      </c>
      <c r="S205" s="8" t="s">
        <v>151</v>
      </c>
      <c r="T205" s="8" t="s">
        <v>132</v>
      </c>
      <c r="U205" s="9" t="s">
        <v>1026</v>
      </c>
      <c r="V205" s="8" t="s">
        <v>38</v>
      </c>
    </row>
    <row r="206" spans="1:22" x14ac:dyDescent="0.5">
      <c r="A206" s="3" t="s">
        <v>1027</v>
      </c>
      <c r="B206" s="4" t="s">
        <v>168</v>
      </c>
      <c r="C206" s="4" t="s">
        <v>259</v>
      </c>
      <c r="D206" s="4" t="s">
        <v>308</v>
      </c>
      <c r="E206" s="4" t="s">
        <v>281</v>
      </c>
      <c r="F206" s="4" t="s">
        <v>361</v>
      </c>
      <c r="G206" s="4" t="s">
        <v>28</v>
      </c>
      <c r="H206" s="4" t="s">
        <v>1028</v>
      </c>
      <c r="I206" s="4" t="s">
        <v>114</v>
      </c>
      <c r="J206" s="4" t="s">
        <v>106</v>
      </c>
      <c r="K206" s="4" t="s">
        <v>122</v>
      </c>
      <c r="L206" s="4" t="s">
        <v>263</v>
      </c>
      <c r="M206" s="4">
        <v>8</v>
      </c>
      <c r="N206" s="4">
        <v>45</v>
      </c>
      <c r="O206" s="57">
        <v>5</v>
      </c>
      <c r="P206" s="4">
        <v>342</v>
      </c>
      <c r="Q206" s="4">
        <v>2</v>
      </c>
      <c r="R206" s="4" t="s">
        <v>34</v>
      </c>
      <c r="S206" s="4" t="s">
        <v>49</v>
      </c>
      <c r="T206" s="4" t="s">
        <v>175</v>
      </c>
      <c r="U206" s="6" t="s">
        <v>1029</v>
      </c>
      <c r="V206" s="4" t="s">
        <v>64</v>
      </c>
    </row>
    <row r="207" spans="1:22" x14ac:dyDescent="0.5">
      <c r="A207" s="7" t="s">
        <v>1030</v>
      </c>
      <c r="B207" s="8" t="s">
        <v>327</v>
      </c>
      <c r="C207" s="8" t="s">
        <v>24</v>
      </c>
      <c r="D207" s="8" t="s">
        <v>414</v>
      </c>
      <c r="E207" s="8" t="s">
        <v>1031</v>
      </c>
      <c r="F207" s="8" t="s">
        <v>394</v>
      </c>
      <c r="G207" s="8" t="s">
        <v>76</v>
      </c>
      <c r="H207" s="8" t="s">
        <v>1032</v>
      </c>
      <c r="I207" s="8" t="s">
        <v>105</v>
      </c>
      <c r="J207" s="8" t="s">
        <v>106</v>
      </c>
      <c r="K207" s="8" t="s">
        <v>32</v>
      </c>
      <c r="L207" s="8" t="s">
        <v>33</v>
      </c>
      <c r="M207" s="8">
        <v>18</v>
      </c>
      <c r="N207" s="8">
        <v>2200</v>
      </c>
      <c r="O207" s="58">
        <v>15</v>
      </c>
      <c r="P207" s="8">
        <v>33660</v>
      </c>
      <c r="Q207" s="8">
        <v>4</v>
      </c>
      <c r="R207" s="8" t="s">
        <v>79</v>
      </c>
      <c r="S207" s="8" t="s">
        <v>61</v>
      </c>
      <c r="T207" s="8" t="s">
        <v>332</v>
      </c>
      <c r="U207" s="9" t="s">
        <v>1033</v>
      </c>
      <c r="V207" s="8" t="s">
        <v>64</v>
      </c>
    </row>
    <row r="208" spans="1:22" x14ac:dyDescent="0.5">
      <c r="A208" s="3" t="s">
        <v>1034</v>
      </c>
      <c r="B208" s="4" t="s">
        <v>221</v>
      </c>
      <c r="C208" s="4" t="s">
        <v>184</v>
      </c>
      <c r="D208" s="4" t="s">
        <v>1035</v>
      </c>
      <c r="E208" s="4" t="s">
        <v>1005</v>
      </c>
      <c r="F208" s="4" t="s">
        <v>225</v>
      </c>
      <c r="G208" s="4" t="s">
        <v>76</v>
      </c>
      <c r="H208" s="4" t="s">
        <v>1036</v>
      </c>
      <c r="I208" s="4" t="s">
        <v>30</v>
      </c>
      <c r="J208" s="4" t="s">
        <v>31</v>
      </c>
      <c r="K208" s="4" t="s">
        <v>46</v>
      </c>
      <c r="L208" s="4" t="s">
        <v>189</v>
      </c>
      <c r="M208" s="4">
        <v>18</v>
      </c>
      <c r="N208" s="4">
        <v>700</v>
      </c>
      <c r="O208" s="57">
        <v>15</v>
      </c>
      <c r="P208" s="4">
        <v>10710</v>
      </c>
      <c r="Q208" s="4">
        <v>3</v>
      </c>
      <c r="R208" s="4" t="s">
        <v>79</v>
      </c>
      <c r="S208" s="4" t="s">
        <v>151</v>
      </c>
      <c r="T208" s="4" t="s">
        <v>228</v>
      </c>
      <c r="U208" s="6" t="s">
        <v>1037</v>
      </c>
      <c r="V208" s="4" t="s">
        <v>69</v>
      </c>
    </row>
    <row r="209" spans="1:22" x14ac:dyDescent="0.5">
      <c r="A209" s="7" t="s">
        <v>1038</v>
      </c>
      <c r="B209" s="8" t="s">
        <v>327</v>
      </c>
      <c r="C209" s="8" t="s">
        <v>54</v>
      </c>
      <c r="D209" s="8" t="s">
        <v>1039</v>
      </c>
      <c r="E209" s="8" t="s">
        <v>1040</v>
      </c>
      <c r="F209" s="8" t="s">
        <v>394</v>
      </c>
      <c r="G209" s="8" t="s">
        <v>76</v>
      </c>
      <c r="H209" s="8" t="s">
        <v>1041</v>
      </c>
      <c r="I209" s="8" t="s">
        <v>114</v>
      </c>
      <c r="J209" s="8" t="s">
        <v>106</v>
      </c>
      <c r="K209" s="8" t="s">
        <v>46</v>
      </c>
      <c r="L209" s="8" t="s">
        <v>60</v>
      </c>
      <c r="M209" s="8">
        <v>12</v>
      </c>
      <c r="N209" s="8">
        <v>55000</v>
      </c>
      <c r="O209" s="58">
        <v>0</v>
      </c>
      <c r="P209" s="8">
        <v>660000</v>
      </c>
      <c r="Q209" s="8">
        <v>2</v>
      </c>
      <c r="R209" s="8" t="s">
        <v>88</v>
      </c>
      <c r="S209" s="8" t="s">
        <v>49</v>
      </c>
      <c r="T209" s="8" t="s">
        <v>332</v>
      </c>
      <c r="U209" s="9" t="s">
        <v>1042</v>
      </c>
      <c r="V209" s="8" t="s">
        <v>69</v>
      </c>
    </row>
    <row r="210" spans="1:22" x14ac:dyDescent="0.5">
      <c r="A210" s="3" t="s">
        <v>1043</v>
      </c>
      <c r="B210" s="4" t="s">
        <v>23</v>
      </c>
      <c r="C210" s="4" t="s">
        <v>40</v>
      </c>
      <c r="D210" s="4" t="s">
        <v>502</v>
      </c>
      <c r="E210" s="4" t="s">
        <v>1044</v>
      </c>
      <c r="F210" s="4" t="s">
        <v>27</v>
      </c>
      <c r="G210" s="4" t="s">
        <v>28</v>
      </c>
      <c r="H210" s="4" t="s">
        <v>1045</v>
      </c>
      <c r="I210" s="4" t="s">
        <v>105</v>
      </c>
      <c r="J210" s="4" t="s">
        <v>106</v>
      </c>
      <c r="K210" s="4" t="s">
        <v>46</v>
      </c>
      <c r="L210" s="4" t="s">
        <v>47</v>
      </c>
      <c r="M210" s="4">
        <v>7</v>
      </c>
      <c r="N210" s="4">
        <v>12000</v>
      </c>
      <c r="O210" s="57">
        <v>5</v>
      </c>
      <c r="P210" s="4">
        <v>79800</v>
      </c>
      <c r="Q210" s="4">
        <v>3</v>
      </c>
      <c r="R210" s="4" t="s">
        <v>79</v>
      </c>
      <c r="S210" s="4" t="s">
        <v>151</v>
      </c>
      <c r="T210" s="4" t="s">
        <v>50</v>
      </c>
      <c r="U210" s="6" t="s">
        <v>1046</v>
      </c>
      <c r="V210" s="4" t="s">
        <v>64</v>
      </c>
    </row>
    <row r="211" spans="1:22" x14ac:dyDescent="0.5">
      <c r="A211" s="7" t="s">
        <v>1047</v>
      </c>
      <c r="B211" s="8" t="s">
        <v>251</v>
      </c>
      <c r="C211" s="8" t="s">
        <v>40</v>
      </c>
      <c r="D211" s="8" t="s">
        <v>1048</v>
      </c>
      <c r="E211" s="8" t="s">
        <v>129</v>
      </c>
      <c r="F211" s="8" t="s">
        <v>254</v>
      </c>
      <c r="G211" s="8" t="s">
        <v>28</v>
      </c>
      <c r="H211" s="8" t="s">
        <v>1049</v>
      </c>
      <c r="I211" s="8" t="s">
        <v>105</v>
      </c>
      <c r="J211" s="8" t="s">
        <v>106</v>
      </c>
      <c r="K211" s="8" t="s">
        <v>46</v>
      </c>
      <c r="L211" s="8" t="s">
        <v>47</v>
      </c>
      <c r="M211" s="8">
        <v>8</v>
      </c>
      <c r="N211" s="8">
        <v>12000</v>
      </c>
      <c r="O211" s="58">
        <v>15</v>
      </c>
      <c r="P211" s="8">
        <v>81600</v>
      </c>
      <c r="Q211" s="8">
        <v>4</v>
      </c>
      <c r="R211" s="8" t="s">
        <v>79</v>
      </c>
      <c r="S211" s="8" t="s">
        <v>49</v>
      </c>
      <c r="T211" s="8" t="s">
        <v>256</v>
      </c>
      <c r="U211" s="9" t="s">
        <v>1050</v>
      </c>
      <c r="V211" s="8" t="s">
        <v>38</v>
      </c>
    </row>
    <row r="212" spans="1:22" x14ac:dyDescent="0.5">
      <c r="A212" s="3" t="s">
        <v>1051</v>
      </c>
      <c r="B212" s="4" t="s">
        <v>327</v>
      </c>
      <c r="C212" s="4" t="s">
        <v>92</v>
      </c>
      <c r="D212" s="4" t="s">
        <v>788</v>
      </c>
      <c r="E212" s="4" t="s">
        <v>1052</v>
      </c>
      <c r="F212" s="4" t="s">
        <v>394</v>
      </c>
      <c r="G212" s="4" t="s">
        <v>76</v>
      </c>
      <c r="H212" s="4" t="s">
        <v>1053</v>
      </c>
      <c r="I212" s="4" t="s">
        <v>105</v>
      </c>
      <c r="J212" s="4" t="s">
        <v>106</v>
      </c>
      <c r="K212" s="4" t="s">
        <v>32</v>
      </c>
      <c r="L212" s="4" t="s">
        <v>97</v>
      </c>
      <c r="M212" s="4">
        <v>19</v>
      </c>
      <c r="N212" s="4">
        <v>3500</v>
      </c>
      <c r="O212" s="57">
        <v>5</v>
      </c>
      <c r="P212" s="4">
        <v>63175</v>
      </c>
      <c r="Q212" s="4">
        <v>3</v>
      </c>
      <c r="R212" s="4" t="s">
        <v>79</v>
      </c>
      <c r="S212" s="4" t="s">
        <v>61</v>
      </c>
      <c r="T212" s="4" t="s">
        <v>332</v>
      </c>
      <c r="U212" s="6" t="s">
        <v>1054</v>
      </c>
      <c r="V212" s="4" t="s">
        <v>64</v>
      </c>
    </row>
    <row r="213" spans="1:22" x14ac:dyDescent="0.5">
      <c r="A213" s="7" t="s">
        <v>1055</v>
      </c>
      <c r="B213" s="8" t="s">
        <v>251</v>
      </c>
      <c r="C213" s="8" t="s">
        <v>259</v>
      </c>
      <c r="D213" s="8" t="s">
        <v>900</v>
      </c>
      <c r="E213" s="8" t="s">
        <v>987</v>
      </c>
      <c r="F213" s="8" t="s">
        <v>254</v>
      </c>
      <c r="G213" s="8" t="s">
        <v>28</v>
      </c>
      <c r="H213" s="8" t="s">
        <v>1056</v>
      </c>
      <c r="I213" s="8" t="s">
        <v>138</v>
      </c>
      <c r="J213" s="8" t="s">
        <v>106</v>
      </c>
      <c r="K213" s="8" t="s">
        <v>122</v>
      </c>
      <c r="L213" s="8" t="s">
        <v>263</v>
      </c>
      <c r="M213" s="8">
        <v>7</v>
      </c>
      <c r="N213" s="8">
        <v>45</v>
      </c>
      <c r="O213" s="58">
        <v>5</v>
      </c>
      <c r="P213" s="8">
        <v>299.25</v>
      </c>
      <c r="Q213" s="8">
        <v>3</v>
      </c>
      <c r="R213" s="8" t="s">
        <v>79</v>
      </c>
      <c r="S213" s="8" t="s">
        <v>35</v>
      </c>
      <c r="T213" s="8" t="s">
        <v>256</v>
      </c>
      <c r="U213" s="9" t="s">
        <v>1057</v>
      </c>
      <c r="V213" s="8" t="s">
        <v>69</v>
      </c>
    </row>
    <row r="214" spans="1:22" x14ac:dyDescent="0.5">
      <c r="A214" s="3" t="s">
        <v>1058</v>
      </c>
      <c r="B214" s="4" t="s">
        <v>23</v>
      </c>
      <c r="C214" s="4" t="s">
        <v>118</v>
      </c>
      <c r="D214" s="4" t="s">
        <v>684</v>
      </c>
      <c r="E214" s="4" t="s">
        <v>750</v>
      </c>
      <c r="F214" s="4" t="s">
        <v>27</v>
      </c>
      <c r="G214" s="4" t="s">
        <v>28</v>
      </c>
      <c r="H214" s="4" t="s">
        <v>331</v>
      </c>
      <c r="I214" s="4" t="s">
        <v>30</v>
      </c>
      <c r="J214" s="4" t="s">
        <v>31</v>
      </c>
      <c r="K214" s="4" t="s">
        <v>122</v>
      </c>
      <c r="L214" s="4" t="s">
        <v>123</v>
      </c>
      <c r="M214" s="4">
        <v>3</v>
      </c>
      <c r="N214" s="4">
        <v>60</v>
      </c>
      <c r="O214" s="57">
        <v>15</v>
      </c>
      <c r="P214" s="4">
        <v>153</v>
      </c>
      <c r="Q214" s="4">
        <v>3</v>
      </c>
      <c r="R214" s="4" t="s">
        <v>48</v>
      </c>
      <c r="S214" s="4" t="s">
        <v>49</v>
      </c>
      <c r="T214" s="4" t="s">
        <v>50</v>
      </c>
      <c r="U214" s="6" t="s">
        <v>1059</v>
      </c>
      <c r="V214" s="4" t="s">
        <v>69</v>
      </c>
    </row>
    <row r="215" spans="1:22" x14ac:dyDescent="0.5">
      <c r="A215" s="7" t="s">
        <v>1060</v>
      </c>
      <c r="B215" s="8" t="s">
        <v>53</v>
      </c>
      <c r="C215" s="8" t="s">
        <v>259</v>
      </c>
      <c r="D215" s="8" t="s">
        <v>1061</v>
      </c>
      <c r="E215" s="8" t="s">
        <v>582</v>
      </c>
      <c r="F215" s="8" t="s">
        <v>163</v>
      </c>
      <c r="G215" s="8" t="s">
        <v>28</v>
      </c>
      <c r="H215" s="8" t="s">
        <v>1062</v>
      </c>
      <c r="I215" s="8" t="s">
        <v>114</v>
      </c>
      <c r="J215" s="8" t="s">
        <v>106</v>
      </c>
      <c r="K215" s="8" t="s">
        <v>122</v>
      </c>
      <c r="L215" s="8" t="s">
        <v>263</v>
      </c>
      <c r="M215" s="8">
        <v>19</v>
      </c>
      <c r="N215" s="8">
        <v>45</v>
      </c>
      <c r="O215" s="58">
        <v>0</v>
      </c>
      <c r="P215" s="8">
        <v>855</v>
      </c>
      <c r="Q215" s="8">
        <v>2</v>
      </c>
      <c r="R215" s="8" t="s">
        <v>34</v>
      </c>
      <c r="S215" s="8" t="s">
        <v>61</v>
      </c>
      <c r="T215" s="8" t="s">
        <v>62</v>
      </c>
      <c r="U215" s="9" t="s">
        <v>1063</v>
      </c>
      <c r="V215" s="8" t="s">
        <v>38</v>
      </c>
    </row>
    <row r="216" spans="1:22" x14ac:dyDescent="0.5">
      <c r="A216" s="3" t="s">
        <v>1064</v>
      </c>
      <c r="B216" s="4" t="s">
        <v>100</v>
      </c>
      <c r="C216" s="4" t="s">
        <v>40</v>
      </c>
      <c r="D216" s="4" t="s">
        <v>1065</v>
      </c>
      <c r="E216" s="4" t="s">
        <v>543</v>
      </c>
      <c r="F216" s="4" t="s">
        <v>103</v>
      </c>
      <c r="G216" s="4" t="s">
        <v>28</v>
      </c>
      <c r="H216" s="4" t="s">
        <v>1066</v>
      </c>
      <c r="I216" s="4" t="s">
        <v>59</v>
      </c>
      <c r="J216" s="4" t="s">
        <v>31</v>
      </c>
      <c r="K216" s="4" t="s">
        <v>46</v>
      </c>
      <c r="L216" s="4" t="s">
        <v>47</v>
      </c>
      <c r="M216" s="4">
        <v>10</v>
      </c>
      <c r="N216" s="4">
        <v>12000</v>
      </c>
      <c r="O216" s="57">
        <v>5</v>
      </c>
      <c r="P216" s="4">
        <v>114000</v>
      </c>
      <c r="Q216" s="4">
        <v>1</v>
      </c>
      <c r="R216" s="4" t="s">
        <v>79</v>
      </c>
      <c r="S216" s="4" t="s">
        <v>115</v>
      </c>
      <c r="T216" s="4" t="s">
        <v>144</v>
      </c>
      <c r="U216" s="6" t="s">
        <v>1067</v>
      </c>
      <c r="V216" s="4" t="s">
        <v>69</v>
      </c>
    </row>
    <row r="217" spans="1:22" x14ac:dyDescent="0.5">
      <c r="A217" s="7" t="s">
        <v>1068</v>
      </c>
      <c r="B217" s="8" t="s">
        <v>23</v>
      </c>
      <c r="C217" s="8" t="s">
        <v>72</v>
      </c>
      <c r="D217" s="8" t="s">
        <v>1069</v>
      </c>
      <c r="E217" s="8" t="s">
        <v>1031</v>
      </c>
      <c r="F217" s="8" t="s">
        <v>27</v>
      </c>
      <c r="G217" s="8" t="s">
        <v>28</v>
      </c>
      <c r="H217" s="8" t="s">
        <v>1070</v>
      </c>
      <c r="I217" s="8" t="s">
        <v>294</v>
      </c>
      <c r="J217" s="8" t="s">
        <v>295</v>
      </c>
      <c r="K217" s="8" t="s">
        <v>46</v>
      </c>
      <c r="L217" s="8" t="s">
        <v>78</v>
      </c>
      <c r="M217" s="8">
        <v>4</v>
      </c>
      <c r="N217" s="8">
        <v>1200</v>
      </c>
      <c r="O217" s="58">
        <v>0</v>
      </c>
      <c r="P217" s="8">
        <v>4800</v>
      </c>
      <c r="Q217" s="8">
        <v>4</v>
      </c>
      <c r="R217" s="8" t="s">
        <v>34</v>
      </c>
      <c r="S217" s="8" t="s">
        <v>61</v>
      </c>
      <c r="T217" s="8" t="s">
        <v>50</v>
      </c>
      <c r="U217" s="9" t="s">
        <v>1071</v>
      </c>
      <c r="V217" s="8" t="s">
        <v>38</v>
      </c>
    </row>
    <row r="218" spans="1:22" x14ac:dyDescent="0.5">
      <c r="A218" s="3" t="s">
        <v>1072</v>
      </c>
      <c r="B218" s="4" t="s">
        <v>221</v>
      </c>
      <c r="C218" s="4" t="s">
        <v>169</v>
      </c>
      <c r="D218" s="4" t="s">
        <v>531</v>
      </c>
      <c r="E218" s="4" t="s">
        <v>1073</v>
      </c>
      <c r="F218" s="4" t="s">
        <v>225</v>
      </c>
      <c r="G218" s="4" t="s">
        <v>76</v>
      </c>
      <c r="H218" s="4" t="s">
        <v>1074</v>
      </c>
      <c r="I218" s="4" t="s">
        <v>59</v>
      </c>
      <c r="J218" s="4" t="s">
        <v>31</v>
      </c>
      <c r="K218" s="4" t="s">
        <v>32</v>
      </c>
      <c r="L218" s="4" t="s">
        <v>174</v>
      </c>
      <c r="M218" s="4">
        <v>2</v>
      </c>
      <c r="N218" s="4">
        <v>8500</v>
      </c>
      <c r="O218" s="57">
        <v>20</v>
      </c>
      <c r="P218" s="4">
        <v>13600</v>
      </c>
      <c r="Q218" s="4">
        <v>3</v>
      </c>
      <c r="R218" s="4" t="s">
        <v>79</v>
      </c>
      <c r="S218" s="4" t="s">
        <v>151</v>
      </c>
      <c r="T218" s="4" t="s">
        <v>228</v>
      </c>
      <c r="U218" s="6" t="s">
        <v>1075</v>
      </c>
      <c r="V218" s="4" t="s">
        <v>38</v>
      </c>
    </row>
    <row r="219" spans="1:22" x14ac:dyDescent="0.5">
      <c r="A219" s="7" t="s">
        <v>1076</v>
      </c>
      <c r="B219" s="8" t="s">
        <v>83</v>
      </c>
      <c r="C219" s="8" t="s">
        <v>184</v>
      </c>
      <c r="D219" s="8" t="s">
        <v>1077</v>
      </c>
      <c r="E219" s="8" t="s">
        <v>322</v>
      </c>
      <c r="F219" s="8" t="s">
        <v>180</v>
      </c>
      <c r="G219" s="8" t="s">
        <v>76</v>
      </c>
      <c r="H219" s="8" t="s">
        <v>1078</v>
      </c>
      <c r="I219" s="8" t="s">
        <v>294</v>
      </c>
      <c r="J219" s="8" t="s">
        <v>295</v>
      </c>
      <c r="K219" s="8" t="s">
        <v>46</v>
      </c>
      <c r="L219" s="8" t="s">
        <v>189</v>
      </c>
      <c r="M219" s="8">
        <v>7</v>
      </c>
      <c r="N219" s="8">
        <v>700</v>
      </c>
      <c r="O219" s="58">
        <v>20</v>
      </c>
      <c r="P219" s="8">
        <v>3920</v>
      </c>
      <c r="Q219" s="8">
        <v>2</v>
      </c>
      <c r="R219" s="8" t="s">
        <v>79</v>
      </c>
      <c r="S219" s="8" t="s">
        <v>151</v>
      </c>
      <c r="T219" s="8" t="s">
        <v>89</v>
      </c>
      <c r="U219" s="9" t="s">
        <v>1079</v>
      </c>
      <c r="V219" s="8" t="s">
        <v>64</v>
      </c>
    </row>
    <row r="220" spans="1:22" x14ac:dyDescent="0.5">
      <c r="A220" s="3" t="s">
        <v>1080</v>
      </c>
      <c r="B220" s="4" t="s">
        <v>53</v>
      </c>
      <c r="C220" s="4" t="s">
        <v>222</v>
      </c>
      <c r="D220" s="4" t="s">
        <v>1081</v>
      </c>
      <c r="E220" s="4" t="s">
        <v>518</v>
      </c>
      <c r="F220" s="4" t="s">
        <v>163</v>
      </c>
      <c r="G220" s="4" t="s">
        <v>28</v>
      </c>
      <c r="H220" s="4" t="s">
        <v>1082</v>
      </c>
      <c r="I220" s="4" t="s">
        <v>114</v>
      </c>
      <c r="J220" s="4" t="s">
        <v>106</v>
      </c>
      <c r="K220" s="4" t="s">
        <v>122</v>
      </c>
      <c r="L220" s="4" t="s">
        <v>227</v>
      </c>
      <c r="M220" s="4">
        <v>9</v>
      </c>
      <c r="N220" s="4">
        <v>20</v>
      </c>
      <c r="O220" s="57">
        <v>15</v>
      </c>
      <c r="P220" s="4">
        <v>153</v>
      </c>
      <c r="Q220" s="4">
        <v>3</v>
      </c>
      <c r="R220" s="4" t="s">
        <v>48</v>
      </c>
      <c r="S220" s="4" t="s">
        <v>115</v>
      </c>
      <c r="T220" s="4" t="s">
        <v>62</v>
      </c>
      <c r="U220" s="6" t="s">
        <v>1083</v>
      </c>
      <c r="V220" s="4" t="s">
        <v>38</v>
      </c>
    </row>
    <row r="221" spans="1:22" x14ac:dyDescent="0.5">
      <c r="A221" s="7" t="s">
        <v>1084</v>
      </c>
      <c r="B221" s="8" t="s">
        <v>100</v>
      </c>
      <c r="C221" s="8" t="s">
        <v>169</v>
      </c>
      <c r="D221" s="8" t="s">
        <v>1085</v>
      </c>
      <c r="E221" s="8" t="s">
        <v>1086</v>
      </c>
      <c r="F221" s="8" t="s">
        <v>103</v>
      </c>
      <c r="G221" s="8" t="s">
        <v>28</v>
      </c>
      <c r="H221" s="8" t="s">
        <v>1087</v>
      </c>
      <c r="I221" s="8" t="s">
        <v>294</v>
      </c>
      <c r="J221" s="8" t="s">
        <v>295</v>
      </c>
      <c r="K221" s="8" t="s">
        <v>32</v>
      </c>
      <c r="L221" s="8" t="s">
        <v>174</v>
      </c>
      <c r="M221" s="8">
        <v>16</v>
      </c>
      <c r="N221" s="8">
        <v>8500</v>
      </c>
      <c r="O221" s="58">
        <v>0</v>
      </c>
      <c r="P221" s="8">
        <v>136000</v>
      </c>
      <c r="Q221" s="8">
        <v>4</v>
      </c>
      <c r="R221" s="8" t="s">
        <v>48</v>
      </c>
      <c r="S221" s="8" t="s">
        <v>35</v>
      </c>
      <c r="T221" s="8" t="s">
        <v>144</v>
      </c>
      <c r="U221" s="9" t="s">
        <v>1088</v>
      </c>
      <c r="V221" s="8" t="s">
        <v>38</v>
      </c>
    </row>
    <row r="222" spans="1:22" x14ac:dyDescent="0.5">
      <c r="A222" s="3" t="s">
        <v>1089</v>
      </c>
      <c r="B222" s="4" t="s">
        <v>251</v>
      </c>
      <c r="C222" s="4" t="s">
        <v>92</v>
      </c>
      <c r="D222" s="4" t="s">
        <v>544</v>
      </c>
      <c r="E222" s="4" t="s">
        <v>1090</v>
      </c>
      <c r="F222" s="4" t="s">
        <v>254</v>
      </c>
      <c r="G222" s="4" t="s">
        <v>28</v>
      </c>
      <c r="H222" s="4" t="s">
        <v>1091</v>
      </c>
      <c r="I222" s="4" t="s">
        <v>44</v>
      </c>
      <c r="J222" s="4" t="s">
        <v>45</v>
      </c>
      <c r="K222" s="4" t="s">
        <v>32</v>
      </c>
      <c r="L222" s="4" t="s">
        <v>97</v>
      </c>
      <c r="M222" s="4">
        <v>10</v>
      </c>
      <c r="N222" s="4">
        <v>3500</v>
      </c>
      <c r="O222" s="57">
        <v>5</v>
      </c>
      <c r="P222" s="4">
        <v>33250</v>
      </c>
      <c r="Q222" s="4">
        <v>3</v>
      </c>
      <c r="R222" s="4" t="s">
        <v>48</v>
      </c>
      <c r="S222" s="4" t="s">
        <v>115</v>
      </c>
      <c r="T222" s="4" t="s">
        <v>256</v>
      </c>
      <c r="U222" s="6" t="s">
        <v>1092</v>
      </c>
      <c r="V222" s="4" t="s">
        <v>38</v>
      </c>
    </row>
    <row r="223" spans="1:22" x14ac:dyDescent="0.5">
      <c r="A223" s="7" t="s">
        <v>1093</v>
      </c>
      <c r="B223" s="8" t="s">
        <v>53</v>
      </c>
      <c r="C223" s="8" t="s">
        <v>40</v>
      </c>
      <c r="D223" s="8" t="s">
        <v>1094</v>
      </c>
      <c r="E223" s="8" t="s">
        <v>588</v>
      </c>
      <c r="F223" s="8" t="s">
        <v>163</v>
      </c>
      <c r="G223" s="8" t="s">
        <v>28</v>
      </c>
      <c r="H223" s="8" t="s">
        <v>1095</v>
      </c>
      <c r="I223" s="8" t="s">
        <v>294</v>
      </c>
      <c r="J223" s="8" t="s">
        <v>295</v>
      </c>
      <c r="K223" s="8" t="s">
        <v>46</v>
      </c>
      <c r="L223" s="8" t="s">
        <v>47</v>
      </c>
      <c r="M223" s="8">
        <v>1</v>
      </c>
      <c r="N223" s="8">
        <v>12000</v>
      </c>
      <c r="O223" s="58">
        <v>0</v>
      </c>
      <c r="P223" s="8">
        <v>12000</v>
      </c>
      <c r="Q223" s="8">
        <v>5</v>
      </c>
      <c r="R223" s="8" t="s">
        <v>88</v>
      </c>
      <c r="S223" s="8" t="s">
        <v>115</v>
      </c>
      <c r="T223" s="8" t="s">
        <v>62</v>
      </c>
      <c r="U223" s="9" t="s">
        <v>1096</v>
      </c>
      <c r="V223" s="8" t="s">
        <v>64</v>
      </c>
    </row>
    <row r="224" spans="1:22" x14ac:dyDescent="0.5">
      <c r="A224" s="3" t="s">
        <v>1097</v>
      </c>
      <c r="B224" s="4" t="s">
        <v>327</v>
      </c>
      <c r="C224" s="4" t="s">
        <v>259</v>
      </c>
      <c r="D224" s="4" t="s">
        <v>1098</v>
      </c>
      <c r="E224" s="4" t="s">
        <v>601</v>
      </c>
      <c r="F224" s="4" t="s">
        <v>394</v>
      </c>
      <c r="G224" s="4" t="s">
        <v>76</v>
      </c>
      <c r="H224" s="4" t="s">
        <v>1099</v>
      </c>
      <c r="I224" s="4" t="s">
        <v>294</v>
      </c>
      <c r="J224" s="4" t="s">
        <v>295</v>
      </c>
      <c r="K224" s="4" t="s">
        <v>122</v>
      </c>
      <c r="L224" s="4" t="s">
        <v>263</v>
      </c>
      <c r="M224" s="4">
        <v>19</v>
      </c>
      <c r="N224" s="4">
        <v>45</v>
      </c>
      <c r="O224" s="57">
        <v>15</v>
      </c>
      <c r="P224" s="4">
        <v>726.75</v>
      </c>
      <c r="Q224" s="4">
        <v>2</v>
      </c>
      <c r="R224" s="4" t="s">
        <v>88</v>
      </c>
      <c r="S224" s="4" t="s">
        <v>151</v>
      </c>
      <c r="T224" s="4" t="s">
        <v>332</v>
      </c>
      <c r="U224" s="6" t="s">
        <v>1100</v>
      </c>
      <c r="V224" s="4" t="s">
        <v>64</v>
      </c>
    </row>
    <row r="225" spans="1:22" x14ac:dyDescent="0.5">
      <c r="A225" s="7" t="s">
        <v>1101</v>
      </c>
      <c r="B225" s="8" t="s">
        <v>23</v>
      </c>
      <c r="C225" s="8" t="s">
        <v>54</v>
      </c>
      <c r="D225" s="8" t="s">
        <v>531</v>
      </c>
      <c r="E225" s="8" t="s">
        <v>1102</v>
      </c>
      <c r="F225" s="8" t="s">
        <v>27</v>
      </c>
      <c r="G225" s="8" t="s">
        <v>28</v>
      </c>
      <c r="H225" s="8" t="s">
        <v>1103</v>
      </c>
      <c r="I225" s="8" t="s">
        <v>44</v>
      </c>
      <c r="J225" s="8" t="s">
        <v>45</v>
      </c>
      <c r="K225" s="8" t="s">
        <v>46</v>
      </c>
      <c r="L225" s="8" t="s">
        <v>60</v>
      </c>
      <c r="M225" s="8">
        <v>13</v>
      </c>
      <c r="N225" s="8">
        <v>55000</v>
      </c>
      <c r="O225" s="58">
        <v>5</v>
      </c>
      <c r="P225" s="8">
        <v>679250</v>
      </c>
      <c r="Q225" s="8">
        <v>4</v>
      </c>
      <c r="R225" s="8" t="s">
        <v>79</v>
      </c>
      <c r="S225" s="8" t="s">
        <v>49</v>
      </c>
      <c r="T225" s="8" t="s">
        <v>50</v>
      </c>
      <c r="U225" s="9" t="s">
        <v>1104</v>
      </c>
      <c r="V225" s="8" t="s">
        <v>69</v>
      </c>
    </row>
    <row r="226" spans="1:22" x14ac:dyDescent="0.5">
      <c r="A226" s="3" t="s">
        <v>1105</v>
      </c>
      <c r="B226" s="4" t="s">
        <v>83</v>
      </c>
      <c r="C226" s="4" t="s">
        <v>259</v>
      </c>
      <c r="D226" s="4" t="s">
        <v>1106</v>
      </c>
      <c r="E226" s="4" t="s">
        <v>155</v>
      </c>
      <c r="F226" s="4" t="s">
        <v>180</v>
      </c>
      <c r="G226" s="4" t="s">
        <v>76</v>
      </c>
      <c r="H226" s="4" t="s">
        <v>1107</v>
      </c>
      <c r="I226" s="4" t="s">
        <v>105</v>
      </c>
      <c r="J226" s="4" t="s">
        <v>106</v>
      </c>
      <c r="K226" s="4" t="s">
        <v>122</v>
      </c>
      <c r="L226" s="4" t="s">
        <v>263</v>
      </c>
      <c r="M226" s="4">
        <v>2</v>
      </c>
      <c r="N226" s="4">
        <v>45</v>
      </c>
      <c r="O226" s="57">
        <v>15</v>
      </c>
      <c r="P226" s="4">
        <v>76.5</v>
      </c>
      <c r="Q226" s="4">
        <v>1</v>
      </c>
      <c r="R226" s="4" t="s">
        <v>48</v>
      </c>
      <c r="S226" s="4" t="s">
        <v>115</v>
      </c>
      <c r="T226" s="4" t="s">
        <v>89</v>
      </c>
      <c r="U226" s="6" t="s">
        <v>1108</v>
      </c>
      <c r="V226" s="4" t="s">
        <v>38</v>
      </c>
    </row>
    <row r="227" spans="1:22" x14ac:dyDescent="0.5">
      <c r="A227" s="7" t="s">
        <v>1109</v>
      </c>
      <c r="B227" s="8" t="s">
        <v>100</v>
      </c>
      <c r="C227" s="8" t="s">
        <v>222</v>
      </c>
      <c r="D227" s="8" t="s">
        <v>303</v>
      </c>
      <c r="E227" s="8" t="s">
        <v>1110</v>
      </c>
      <c r="F227" s="8" t="s">
        <v>103</v>
      </c>
      <c r="G227" s="8" t="s">
        <v>28</v>
      </c>
      <c r="H227" s="8" t="s">
        <v>1111</v>
      </c>
      <c r="I227" s="8" t="s">
        <v>30</v>
      </c>
      <c r="J227" s="8" t="s">
        <v>31</v>
      </c>
      <c r="K227" s="8" t="s">
        <v>122</v>
      </c>
      <c r="L227" s="8" t="s">
        <v>227</v>
      </c>
      <c r="M227" s="8">
        <v>8</v>
      </c>
      <c r="N227" s="8">
        <v>20</v>
      </c>
      <c r="O227" s="58">
        <v>15</v>
      </c>
      <c r="P227" s="8">
        <v>136</v>
      </c>
      <c r="Q227" s="8">
        <v>1</v>
      </c>
      <c r="R227" s="8" t="s">
        <v>79</v>
      </c>
      <c r="S227" s="8" t="s">
        <v>35</v>
      </c>
      <c r="T227" s="8" t="s">
        <v>144</v>
      </c>
      <c r="U227" s="9" t="s">
        <v>1112</v>
      </c>
      <c r="V227" s="8" t="s">
        <v>64</v>
      </c>
    </row>
    <row r="228" spans="1:22" x14ac:dyDescent="0.5">
      <c r="A228" s="3" t="s">
        <v>1113</v>
      </c>
      <c r="B228" s="4" t="s">
        <v>168</v>
      </c>
      <c r="C228" s="4" t="s">
        <v>40</v>
      </c>
      <c r="D228" s="4" t="s">
        <v>1114</v>
      </c>
      <c r="E228" s="4" t="s">
        <v>1115</v>
      </c>
      <c r="F228" s="4" t="s">
        <v>361</v>
      </c>
      <c r="G228" s="4" t="s">
        <v>28</v>
      </c>
      <c r="H228" s="4" t="s">
        <v>1116</v>
      </c>
      <c r="I228" s="4" t="s">
        <v>30</v>
      </c>
      <c r="J228" s="4" t="s">
        <v>31</v>
      </c>
      <c r="K228" s="4" t="s">
        <v>46</v>
      </c>
      <c r="L228" s="4" t="s">
        <v>47</v>
      </c>
      <c r="M228" s="4">
        <v>9</v>
      </c>
      <c r="N228" s="4">
        <v>12000</v>
      </c>
      <c r="O228" s="57">
        <v>5</v>
      </c>
      <c r="P228" s="4">
        <v>102600</v>
      </c>
      <c r="Q228" s="4">
        <v>2</v>
      </c>
      <c r="R228" s="4" t="s">
        <v>79</v>
      </c>
      <c r="S228" s="4" t="s">
        <v>35</v>
      </c>
      <c r="T228" s="4" t="s">
        <v>175</v>
      </c>
      <c r="U228" s="6" t="s">
        <v>1117</v>
      </c>
      <c r="V228" s="4" t="s">
        <v>69</v>
      </c>
    </row>
    <row r="229" spans="1:22" x14ac:dyDescent="0.5">
      <c r="A229" s="7" t="s">
        <v>1118</v>
      </c>
      <c r="B229" s="8" t="s">
        <v>71</v>
      </c>
      <c r="C229" s="8" t="s">
        <v>92</v>
      </c>
      <c r="D229" s="8" t="s">
        <v>1119</v>
      </c>
      <c r="E229" s="8" t="s">
        <v>1120</v>
      </c>
      <c r="F229" s="8" t="s">
        <v>217</v>
      </c>
      <c r="G229" s="8" t="s">
        <v>76</v>
      </c>
      <c r="H229" s="8" t="s">
        <v>1121</v>
      </c>
      <c r="I229" s="8" t="s">
        <v>294</v>
      </c>
      <c r="J229" s="8" t="s">
        <v>295</v>
      </c>
      <c r="K229" s="8" t="s">
        <v>32</v>
      </c>
      <c r="L229" s="8" t="s">
        <v>97</v>
      </c>
      <c r="M229" s="8">
        <v>3</v>
      </c>
      <c r="N229" s="8">
        <v>3500</v>
      </c>
      <c r="O229" s="58">
        <v>15</v>
      </c>
      <c r="P229" s="8">
        <v>8925</v>
      </c>
      <c r="Q229" s="8">
        <v>1</v>
      </c>
      <c r="R229" s="8" t="s">
        <v>34</v>
      </c>
      <c r="S229" s="8" t="s">
        <v>49</v>
      </c>
      <c r="T229" s="8" t="s">
        <v>80</v>
      </c>
      <c r="U229" s="9" t="s">
        <v>1122</v>
      </c>
      <c r="V229" s="8" t="s">
        <v>69</v>
      </c>
    </row>
    <row r="230" spans="1:22" x14ac:dyDescent="0.5">
      <c r="A230" s="3" t="s">
        <v>1123</v>
      </c>
      <c r="B230" s="4" t="s">
        <v>100</v>
      </c>
      <c r="C230" s="4" t="s">
        <v>184</v>
      </c>
      <c r="D230" s="4" t="s">
        <v>1086</v>
      </c>
      <c r="E230" s="4" t="s">
        <v>1124</v>
      </c>
      <c r="F230" s="4" t="s">
        <v>103</v>
      </c>
      <c r="G230" s="4" t="s">
        <v>28</v>
      </c>
      <c r="H230" s="4" t="s">
        <v>1125</v>
      </c>
      <c r="I230" s="4" t="s">
        <v>30</v>
      </c>
      <c r="J230" s="4" t="s">
        <v>31</v>
      </c>
      <c r="K230" s="4" t="s">
        <v>46</v>
      </c>
      <c r="L230" s="4" t="s">
        <v>189</v>
      </c>
      <c r="M230" s="4">
        <v>18</v>
      </c>
      <c r="N230" s="4">
        <v>700</v>
      </c>
      <c r="O230" s="57">
        <v>20</v>
      </c>
      <c r="P230" s="4">
        <v>10080</v>
      </c>
      <c r="Q230" s="4">
        <v>1</v>
      </c>
      <c r="R230" s="4" t="s">
        <v>79</v>
      </c>
      <c r="S230" s="4" t="s">
        <v>151</v>
      </c>
      <c r="T230" s="4" t="s">
        <v>144</v>
      </c>
      <c r="U230" s="6" t="s">
        <v>1126</v>
      </c>
      <c r="V230" s="4" t="s">
        <v>38</v>
      </c>
    </row>
    <row r="231" spans="1:22" x14ac:dyDescent="0.5">
      <c r="A231" s="7" t="s">
        <v>1127</v>
      </c>
      <c r="B231" s="8" t="s">
        <v>71</v>
      </c>
      <c r="C231" s="8" t="s">
        <v>92</v>
      </c>
      <c r="D231" s="8" t="s">
        <v>1128</v>
      </c>
      <c r="E231" s="8" t="s">
        <v>110</v>
      </c>
      <c r="F231" s="8" t="s">
        <v>217</v>
      </c>
      <c r="G231" s="8" t="s">
        <v>76</v>
      </c>
      <c r="H231" s="8" t="s">
        <v>1129</v>
      </c>
      <c r="I231" s="8" t="s">
        <v>114</v>
      </c>
      <c r="J231" s="8" t="s">
        <v>106</v>
      </c>
      <c r="K231" s="8" t="s">
        <v>32</v>
      </c>
      <c r="L231" s="8" t="s">
        <v>97</v>
      </c>
      <c r="M231" s="8">
        <v>14</v>
      </c>
      <c r="N231" s="8">
        <v>3500</v>
      </c>
      <c r="O231" s="58">
        <v>5</v>
      </c>
      <c r="P231" s="8">
        <v>46550</v>
      </c>
      <c r="Q231" s="8">
        <v>1</v>
      </c>
      <c r="R231" s="8" t="s">
        <v>34</v>
      </c>
      <c r="S231" s="8" t="s">
        <v>61</v>
      </c>
      <c r="T231" s="8" t="s">
        <v>80</v>
      </c>
      <c r="U231" s="9" t="s">
        <v>1130</v>
      </c>
      <c r="V231" s="8" t="s">
        <v>38</v>
      </c>
    </row>
    <row r="232" spans="1:22" x14ac:dyDescent="0.5">
      <c r="A232" s="3" t="s">
        <v>1131</v>
      </c>
      <c r="B232" s="4" t="s">
        <v>100</v>
      </c>
      <c r="C232" s="4" t="s">
        <v>184</v>
      </c>
      <c r="D232" s="4" t="s">
        <v>684</v>
      </c>
      <c r="E232" s="4" t="s">
        <v>318</v>
      </c>
      <c r="F232" s="4" t="s">
        <v>103</v>
      </c>
      <c r="G232" s="4" t="s">
        <v>28</v>
      </c>
      <c r="H232" s="4" t="s">
        <v>1132</v>
      </c>
      <c r="I232" s="4" t="s">
        <v>294</v>
      </c>
      <c r="J232" s="4" t="s">
        <v>295</v>
      </c>
      <c r="K232" s="4" t="s">
        <v>46</v>
      </c>
      <c r="L232" s="4" t="s">
        <v>189</v>
      </c>
      <c r="M232" s="4">
        <v>6</v>
      </c>
      <c r="N232" s="4">
        <v>700</v>
      </c>
      <c r="O232" s="57">
        <v>5</v>
      </c>
      <c r="P232" s="4">
        <v>3990</v>
      </c>
      <c r="Q232" s="4">
        <v>5</v>
      </c>
      <c r="R232" s="4" t="s">
        <v>34</v>
      </c>
      <c r="S232" s="4" t="s">
        <v>35</v>
      </c>
      <c r="T232" s="4" t="s">
        <v>144</v>
      </c>
      <c r="U232" s="6" t="s">
        <v>1133</v>
      </c>
      <c r="V232" s="4" t="s">
        <v>38</v>
      </c>
    </row>
    <row r="233" spans="1:22" x14ac:dyDescent="0.5">
      <c r="A233" s="7" t="s">
        <v>1134</v>
      </c>
      <c r="B233" s="8" t="s">
        <v>100</v>
      </c>
      <c r="C233" s="8" t="s">
        <v>92</v>
      </c>
      <c r="D233" s="8" t="s">
        <v>679</v>
      </c>
      <c r="E233" s="8" t="s">
        <v>872</v>
      </c>
      <c r="F233" s="8" t="s">
        <v>103</v>
      </c>
      <c r="G233" s="8" t="s">
        <v>28</v>
      </c>
      <c r="H233" s="8" t="s">
        <v>1135</v>
      </c>
      <c r="I233" s="8" t="s">
        <v>105</v>
      </c>
      <c r="J233" s="8" t="s">
        <v>106</v>
      </c>
      <c r="K233" s="8" t="s">
        <v>32</v>
      </c>
      <c r="L233" s="8" t="s">
        <v>97</v>
      </c>
      <c r="M233" s="8">
        <v>17</v>
      </c>
      <c r="N233" s="8">
        <v>3500</v>
      </c>
      <c r="O233" s="58">
        <v>15</v>
      </c>
      <c r="P233" s="8">
        <v>50575</v>
      </c>
      <c r="Q233" s="8">
        <v>3</v>
      </c>
      <c r="R233" s="8" t="s">
        <v>48</v>
      </c>
      <c r="S233" s="8" t="s">
        <v>49</v>
      </c>
      <c r="T233" s="8" t="s">
        <v>144</v>
      </c>
      <c r="U233" s="9" t="s">
        <v>1136</v>
      </c>
      <c r="V233" s="8" t="s">
        <v>64</v>
      </c>
    </row>
    <row r="234" spans="1:22" x14ac:dyDescent="0.5">
      <c r="A234" s="3" t="s">
        <v>1137</v>
      </c>
      <c r="B234" s="4" t="s">
        <v>251</v>
      </c>
      <c r="C234" s="4" t="s">
        <v>222</v>
      </c>
      <c r="D234" s="4" t="s">
        <v>253</v>
      </c>
      <c r="E234" s="4" t="s">
        <v>1128</v>
      </c>
      <c r="F234" s="4" t="s">
        <v>254</v>
      </c>
      <c r="G234" s="4" t="s">
        <v>28</v>
      </c>
      <c r="H234" s="4" t="s">
        <v>1138</v>
      </c>
      <c r="I234" s="4" t="s">
        <v>294</v>
      </c>
      <c r="J234" s="4" t="s">
        <v>295</v>
      </c>
      <c r="K234" s="4" t="s">
        <v>122</v>
      </c>
      <c r="L234" s="4" t="s">
        <v>227</v>
      </c>
      <c r="M234" s="4">
        <v>7</v>
      </c>
      <c r="N234" s="4">
        <v>20</v>
      </c>
      <c r="O234" s="57">
        <v>5</v>
      </c>
      <c r="P234" s="4">
        <v>133</v>
      </c>
      <c r="Q234" s="4">
        <v>2</v>
      </c>
      <c r="R234" s="4" t="s">
        <v>88</v>
      </c>
      <c r="S234" s="4" t="s">
        <v>151</v>
      </c>
      <c r="T234" s="4" t="s">
        <v>256</v>
      </c>
      <c r="U234" s="6" t="s">
        <v>1139</v>
      </c>
      <c r="V234" s="4" t="s">
        <v>38</v>
      </c>
    </row>
    <row r="235" spans="1:22" x14ac:dyDescent="0.5">
      <c r="A235" s="7" t="s">
        <v>1140</v>
      </c>
      <c r="B235" s="8" t="s">
        <v>23</v>
      </c>
      <c r="C235" s="8" t="s">
        <v>24</v>
      </c>
      <c r="D235" s="8" t="s">
        <v>1141</v>
      </c>
      <c r="E235" s="8" t="s">
        <v>1142</v>
      </c>
      <c r="F235" s="8" t="s">
        <v>27</v>
      </c>
      <c r="G235" s="8" t="s">
        <v>28</v>
      </c>
      <c r="H235" s="8" t="s">
        <v>1143</v>
      </c>
      <c r="I235" s="8" t="s">
        <v>59</v>
      </c>
      <c r="J235" s="8" t="s">
        <v>31</v>
      </c>
      <c r="K235" s="8" t="s">
        <v>32</v>
      </c>
      <c r="L235" s="8" t="s">
        <v>33</v>
      </c>
      <c r="M235" s="8">
        <v>15</v>
      </c>
      <c r="N235" s="8">
        <v>2200</v>
      </c>
      <c r="O235" s="58">
        <v>20</v>
      </c>
      <c r="P235" s="8">
        <v>26400</v>
      </c>
      <c r="Q235" s="8">
        <v>2</v>
      </c>
      <c r="R235" s="8" t="s">
        <v>34</v>
      </c>
      <c r="S235" s="8" t="s">
        <v>61</v>
      </c>
      <c r="T235" s="8" t="s">
        <v>50</v>
      </c>
      <c r="U235" s="9" t="s">
        <v>1144</v>
      </c>
      <c r="V235" s="8" t="s">
        <v>38</v>
      </c>
    </row>
    <row r="236" spans="1:22" x14ac:dyDescent="0.5">
      <c r="A236" s="3" t="s">
        <v>1145</v>
      </c>
      <c r="B236" s="4" t="s">
        <v>71</v>
      </c>
      <c r="C236" s="4" t="s">
        <v>222</v>
      </c>
      <c r="D236" s="4" t="s">
        <v>736</v>
      </c>
      <c r="E236" s="4" t="s">
        <v>94</v>
      </c>
      <c r="F236" s="4" t="s">
        <v>217</v>
      </c>
      <c r="G236" s="4" t="s">
        <v>76</v>
      </c>
      <c r="H236" s="4" t="s">
        <v>1146</v>
      </c>
      <c r="I236" s="4" t="s">
        <v>105</v>
      </c>
      <c r="J236" s="4" t="s">
        <v>106</v>
      </c>
      <c r="K236" s="4" t="s">
        <v>122</v>
      </c>
      <c r="L236" s="4" t="s">
        <v>227</v>
      </c>
      <c r="M236" s="4">
        <v>5</v>
      </c>
      <c r="N236" s="4">
        <v>20</v>
      </c>
      <c r="O236" s="57">
        <v>0</v>
      </c>
      <c r="P236" s="4">
        <v>100</v>
      </c>
      <c r="Q236" s="4">
        <v>3</v>
      </c>
      <c r="R236" s="4" t="s">
        <v>34</v>
      </c>
      <c r="S236" s="4" t="s">
        <v>151</v>
      </c>
      <c r="T236" s="4" t="s">
        <v>80</v>
      </c>
      <c r="U236" s="6" t="s">
        <v>1147</v>
      </c>
      <c r="V236" s="4" t="s">
        <v>38</v>
      </c>
    </row>
    <row r="237" spans="1:22" x14ac:dyDescent="0.5">
      <c r="A237" s="7" t="s">
        <v>1148</v>
      </c>
      <c r="B237" s="8" t="s">
        <v>127</v>
      </c>
      <c r="C237" s="8" t="s">
        <v>40</v>
      </c>
      <c r="D237" s="8" t="s">
        <v>1149</v>
      </c>
      <c r="E237" s="8" t="s">
        <v>779</v>
      </c>
      <c r="F237" s="8" t="s">
        <v>200</v>
      </c>
      <c r="G237" s="8" t="s">
        <v>76</v>
      </c>
      <c r="H237" s="8" t="s">
        <v>1150</v>
      </c>
      <c r="I237" s="8" t="s">
        <v>44</v>
      </c>
      <c r="J237" s="8" t="s">
        <v>45</v>
      </c>
      <c r="K237" s="8" t="s">
        <v>46</v>
      </c>
      <c r="L237" s="8" t="s">
        <v>47</v>
      </c>
      <c r="M237" s="8">
        <v>8</v>
      </c>
      <c r="N237" s="8">
        <v>12000</v>
      </c>
      <c r="O237" s="58">
        <v>20</v>
      </c>
      <c r="P237" s="8">
        <v>76800</v>
      </c>
      <c r="Q237" s="8">
        <v>3</v>
      </c>
      <c r="R237" s="8" t="s">
        <v>79</v>
      </c>
      <c r="S237" s="8" t="s">
        <v>61</v>
      </c>
      <c r="T237" s="8" t="s">
        <v>132</v>
      </c>
      <c r="U237" s="9" t="s">
        <v>1151</v>
      </c>
      <c r="V237" s="8" t="s">
        <v>64</v>
      </c>
    </row>
    <row r="238" spans="1:22" x14ac:dyDescent="0.5">
      <c r="A238" s="3" t="s">
        <v>1152</v>
      </c>
      <c r="B238" s="4" t="s">
        <v>127</v>
      </c>
      <c r="C238" s="4" t="s">
        <v>92</v>
      </c>
      <c r="D238" s="4" t="s">
        <v>1153</v>
      </c>
      <c r="E238" s="4" t="s">
        <v>987</v>
      </c>
      <c r="F238" s="4" t="s">
        <v>200</v>
      </c>
      <c r="G238" s="4" t="s">
        <v>76</v>
      </c>
      <c r="H238" s="4" t="s">
        <v>1154</v>
      </c>
      <c r="I238" s="4" t="s">
        <v>105</v>
      </c>
      <c r="J238" s="4" t="s">
        <v>106</v>
      </c>
      <c r="K238" s="4" t="s">
        <v>32</v>
      </c>
      <c r="L238" s="4" t="s">
        <v>97</v>
      </c>
      <c r="M238" s="4">
        <v>4</v>
      </c>
      <c r="N238" s="4">
        <v>3500</v>
      </c>
      <c r="O238" s="57">
        <v>20</v>
      </c>
      <c r="P238" s="4">
        <v>11200</v>
      </c>
      <c r="Q238" s="4">
        <v>1</v>
      </c>
      <c r="R238" s="4" t="s">
        <v>79</v>
      </c>
      <c r="S238" s="4" t="s">
        <v>115</v>
      </c>
      <c r="T238" s="4" t="s">
        <v>132</v>
      </c>
      <c r="U238" s="6" t="s">
        <v>1155</v>
      </c>
      <c r="V238" s="4" t="s">
        <v>38</v>
      </c>
    </row>
    <row r="239" spans="1:22" x14ac:dyDescent="0.5">
      <c r="A239" s="7" t="s">
        <v>1156</v>
      </c>
      <c r="B239" s="8" t="s">
        <v>221</v>
      </c>
      <c r="C239" s="8" t="s">
        <v>259</v>
      </c>
      <c r="D239" s="8" t="s">
        <v>628</v>
      </c>
      <c r="E239" s="8" t="s">
        <v>1157</v>
      </c>
      <c r="F239" s="8" t="s">
        <v>225</v>
      </c>
      <c r="G239" s="8" t="s">
        <v>76</v>
      </c>
      <c r="H239" s="8" t="s">
        <v>1158</v>
      </c>
      <c r="I239" s="8" t="s">
        <v>30</v>
      </c>
      <c r="J239" s="8" t="s">
        <v>31</v>
      </c>
      <c r="K239" s="8" t="s">
        <v>122</v>
      </c>
      <c r="L239" s="8" t="s">
        <v>263</v>
      </c>
      <c r="M239" s="8">
        <v>19</v>
      </c>
      <c r="N239" s="8">
        <v>45</v>
      </c>
      <c r="O239" s="58">
        <v>10</v>
      </c>
      <c r="P239" s="8">
        <v>769.5</v>
      </c>
      <c r="Q239" s="8">
        <v>1</v>
      </c>
      <c r="R239" s="8" t="s">
        <v>34</v>
      </c>
      <c r="S239" s="8" t="s">
        <v>115</v>
      </c>
      <c r="T239" s="8" t="s">
        <v>228</v>
      </c>
      <c r="U239" s="9" t="s">
        <v>1159</v>
      </c>
      <c r="V239" s="8" t="s">
        <v>38</v>
      </c>
    </row>
    <row r="240" spans="1:22" x14ac:dyDescent="0.5">
      <c r="A240" s="3" t="s">
        <v>1160</v>
      </c>
      <c r="B240" s="4" t="s">
        <v>53</v>
      </c>
      <c r="C240" s="4" t="s">
        <v>259</v>
      </c>
      <c r="D240" s="4" t="s">
        <v>588</v>
      </c>
      <c r="E240" s="4" t="s">
        <v>1161</v>
      </c>
      <c r="F240" s="4" t="s">
        <v>163</v>
      </c>
      <c r="G240" s="4" t="s">
        <v>28</v>
      </c>
      <c r="H240" s="4" t="s">
        <v>1162</v>
      </c>
      <c r="I240" s="4" t="s">
        <v>114</v>
      </c>
      <c r="J240" s="4" t="s">
        <v>106</v>
      </c>
      <c r="K240" s="4" t="s">
        <v>122</v>
      </c>
      <c r="L240" s="4" t="s">
        <v>263</v>
      </c>
      <c r="M240" s="4">
        <v>10</v>
      </c>
      <c r="N240" s="4">
        <v>45</v>
      </c>
      <c r="O240" s="57">
        <v>0</v>
      </c>
      <c r="P240" s="4">
        <v>450</v>
      </c>
      <c r="Q240" s="4">
        <v>4</v>
      </c>
      <c r="R240" s="4" t="s">
        <v>88</v>
      </c>
      <c r="S240" s="4" t="s">
        <v>61</v>
      </c>
      <c r="T240" s="4" t="s">
        <v>62</v>
      </c>
      <c r="U240" s="6" t="s">
        <v>1163</v>
      </c>
      <c r="V240" s="4" t="s">
        <v>38</v>
      </c>
    </row>
    <row r="241" spans="1:22" x14ac:dyDescent="0.5">
      <c r="A241" s="7" t="s">
        <v>1164</v>
      </c>
      <c r="B241" s="8" t="s">
        <v>53</v>
      </c>
      <c r="C241" s="8" t="s">
        <v>259</v>
      </c>
      <c r="D241" s="8" t="s">
        <v>1165</v>
      </c>
      <c r="E241" s="8" t="s">
        <v>1039</v>
      </c>
      <c r="F241" s="8" t="s">
        <v>163</v>
      </c>
      <c r="G241" s="8" t="s">
        <v>28</v>
      </c>
      <c r="H241" s="8" t="s">
        <v>1166</v>
      </c>
      <c r="I241" s="8" t="s">
        <v>30</v>
      </c>
      <c r="J241" s="8" t="s">
        <v>31</v>
      </c>
      <c r="K241" s="8" t="s">
        <v>122</v>
      </c>
      <c r="L241" s="8" t="s">
        <v>263</v>
      </c>
      <c r="M241" s="8">
        <v>16</v>
      </c>
      <c r="N241" s="8">
        <v>45</v>
      </c>
      <c r="O241" s="58">
        <v>15</v>
      </c>
      <c r="P241" s="8">
        <v>612</v>
      </c>
      <c r="Q241" s="8">
        <v>3</v>
      </c>
      <c r="R241" s="8" t="s">
        <v>34</v>
      </c>
      <c r="S241" s="8" t="s">
        <v>115</v>
      </c>
      <c r="T241" s="8" t="s">
        <v>62</v>
      </c>
      <c r="U241" s="9" t="s">
        <v>1167</v>
      </c>
      <c r="V241" s="8" t="s">
        <v>69</v>
      </c>
    </row>
    <row r="242" spans="1:22" x14ac:dyDescent="0.5">
      <c r="A242" s="3" t="s">
        <v>1168</v>
      </c>
      <c r="B242" s="4" t="s">
        <v>168</v>
      </c>
      <c r="C242" s="4" t="s">
        <v>169</v>
      </c>
      <c r="D242" s="4" t="s">
        <v>119</v>
      </c>
      <c r="E242" s="4" t="s">
        <v>120</v>
      </c>
      <c r="F242" s="4" t="s">
        <v>361</v>
      </c>
      <c r="G242" s="4" t="s">
        <v>28</v>
      </c>
      <c r="H242" s="4" t="s">
        <v>1169</v>
      </c>
      <c r="I242" s="4" t="s">
        <v>114</v>
      </c>
      <c r="J242" s="4" t="s">
        <v>106</v>
      </c>
      <c r="K242" s="4" t="s">
        <v>32</v>
      </c>
      <c r="L242" s="4" t="s">
        <v>174</v>
      </c>
      <c r="M242" s="4">
        <v>16</v>
      </c>
      <c r="N242" s="4">
        <v>8500</v>
      </c>
      <c r="O242" s="57">
        <v>15</v>
      </c>
      <c r="P242" s="4">
        <v>115600</v>
      </c>
      <c r="Q242" s="4">
        <v>4</v>
      </c>
      <c r="R242" s="4" t="s">
        <v>48</v>
      </c>
      <c r="S242" s="4" t="s">
        <v>35</v>
      </c>
      <c r="T242" s="4" t="s">
        <v>175</v>
      </c>
      <c r="U242" s="6" t="s">
        <v>1170</v>
      </c>
      <c r="V242" s="4" t="s">
        <v>69</v>
      </c>
    </row>
    <row r="243" spans="1:22" x14ac:dyDescent="0.5">
      <c r="A243" s="7" t="s">
        <v>1171</v>
      </c>
      <c r="B243" s="8" t="s">
        <v>168</v>
      </c>
      <c r="C243" s="8" t="s">
        <v>222</v>
      </c>
      <c r="D243" s="8" t="s">
        <v>445</v>
      </c>
      <c r="E243" s="8" t="s">
        <v>1172</v>
      </c>
      <c r="F243" s="8" t="s">
        <v>361</v>
      </c>
      <c r="G243" s="8" t="s">
        <v>28</v>
      </c>
      <c r="H243" s="8" t="s">
        <v>1173</v>
      </c>
      <c r="I243" s="8" t="s">
        <v>294</v>
      </c>
      <c r="J243" s="8" t="s">
        <v>295</v>
      </c>
      <c r="K243" s="8" t="s">
        <v>122</v>
      </c>
      <c r="L243" s="8" t="s">
        <v>227</v>
      </c>
      <c r="M243" s="8">
        <v>15</v>
      </c>
      <c r="N243" s="8">
        <v>20</v>
      </c>
      <c r="O243" s="58">
        <v>20</v>
      </c>
      <c r="P243" s="8">
        <v>240</v>
      </c>
      <c r="Q243" s="8">
        <v>3</v>
      </c>
      <c r="R243" s="8" t="s">
        <v>48</v>
      </c>
      <c r="S243" s="8" t="s">
        <v>49</v>
      </c>
      <c r="T243" s="8" t="s">
        <v>175</v>
      </c>
      <c r="U243" s="9" t="s">
        <v>1174</v>
      </c>
      <c r="V243" s="8" t="s">
        <v>69</v>
      </c>
    </row>
    <row r="244" spans="1:22" x14ac:dyDescent="0.5">
      <c r="A244" s="3" t="s">
        <v>1175</v>
      </c>
      <c r="B244" s="4" t="s">
        <v>83</v>
      </c>
      <c r="C244" s="4" t="s">
        <v>118</v>
      </c>
      <c r="D244" s="4" t="s">
        <v>440</v>
      </c>
      <c r="E244" s="4" t="s">
        <v>1176</v>
      </c>
      <c r="F244" s="4" t="s">
        <v>180</v>
      </c>
      <c r="G244" s="4" t="s">
        <v>76</v>
      </c>
      <c r="H244" s="4" t="s">
        <v>1177</v>
      </c>
      <c r="I244" s="4" t="s">
        <v>59</v>
      </c>
      <c r="J244" s="4" t="s">
        <v>31</v>
      </c>
      <c r="K244" s="4" t="s">
        <v>122</v>
      </c>
      <c r="L244" s="4" t="s">
        <v>123</v>
      </c>
      <c r="M244" s="4">
        <v>14</v>
      </c>
      <c r="N244" s="4">
        <v>60</v>
      </c>
      <c r="O244" s="57">
        <v>5</v>
      </c>
      <c r="P244" s="4">
        <v>798</v>
      </c>
      <c r="Q244" s="4">
        <v>4</v>
      </c>
      <c r="R244" s="4" t="s">
        <v>34</v>
      </c>
      <c r="S244" s="4" t="s">
        <v>49</v>
      </c>
      <c r="T244" s="4" t="s">
        <v>89</v>
      </c>
      <c r="U244" s="6" t="s">
        <v>1178</v>
      </c>
      <c r="V244" s="4" t="s">
        <v>38</v>
      </c>
    </row>
    <row r="245" spans="1:22" x14ac:dyDescent="0.5">
      <c r="A245" s="7" t="s">
        <v>1179</v>
      </c>
      <c r="B245" s="8" t="s">
        <v>53</v>
      </c>
      <c r="C245" s="8" t="s">
        <v>72</v>
      </c>
      <c r="D245" s="8" t="s">
        <v>1180</v>
      </c>
      <c r="E245" s="8" t="s">
        <v>1181</v>
      </c>
      <c r="F245" s="8" t="s">
        <v>163</v>
      </c>
      <c r="G245" s="8" t="s">
        <v>28</v>
      </c>
      <c r="H245" s="8" t="s">
        <v>1182</v>
      </c>
      <c r="I245" s="8" t="s">
        <v>105</v>
      </c>
      <c r="J245" s="8" t="s">
        <v>106</v>
      </c>
      <c r="K245" s="8" t="s">
        <v>46</v>
      </c>
      <c r="L245" s="8" t="s">
        <v>78</v>
      </c>
      <c r="M245" s="8">
        <v>19</v>
      </c>
      <c r="N245" s="8">
        <v>1200</v>
      </c>
      <c r="O245" s="58">
        <v>20</v>
      </c>
      <c r="P245" s="8">
        <v>18240</v>
      </c>
      <c r="Q245" s="8">
        <v>2</v>
      </c>
      <c r="R245" s="8" t="s">
        <v>34</v>
      </c>
      <c r="S245" s="8" t="s">
        <v>115</v>
      </c>
      <c r="T245" s="8" t="s">
        <v>62</v>
      </c>
      <c r="U245" s="9" t="s">
        <v>1183</v>
      </c>
      <c r="V245" s="8" t="s">
        <v>69</v>
      </c>
    </row>
    <row r="246" spans="1:22" x14ac:dyDescent="0.5">
      <c r="A246" s="3" t="s">
        <v>1184</v>
      </c>
      <c r="B246" s="4" t="s">
        <v>23</v>
      </c>
      <c r="C246" s="4" t="s">
        <v>259</v>
      </c>
      <c r="D246" s="4" t="s">
        <v>340</v>
      </c>
      <c r="E246" s="4" t="s">
        <v>346</v>
      </c>
      <c r="F246" s="4" t="s">
        <v>27</v>
      </c>
      <c r="G246" s="4" t="s">
        <v>28</v>
      </c>
      <c r="H246" s="4" t="s">
        <v>1185</v>
      </c>
      <c r="I246" s="4" t="s">
        <v>59</v>
      </c>
      <c r="J246" s="4" t="s">
        <v>31</v>
      </c>
      <c r="K246" s="4" t="s">
        <v>122</v>
      </c>
      <c r="L246" s="4" t="s">
        <v>263</v>
      </c>
      <c r="M246" s="4">
        <v>5</v>
      </c>
      <c r="N246" s="4">
        <v>45</v>
      </c>
      <c r="O246" s="57">
        <v>15</v>
      </c>
      <c r="P246" s="4">
        <v>191.25</v>
      </c>
      <c r="Q246" s="4">
        <v>2</v>
      </c>
      <c r="R246" s="4" t="s">
        <v>34</v>
      </c>
      <c r="S246" s="4" t="s">
        <v>61</v>
      </c>
      <c r="T246" s="4" t="s">
        <v>50</v>
      </c>
      <c r="U246" s="6" t="s">
        <v>1186</v>
      </c>
      <c r="V246" s="4" t="s">
        <v>69</v>
      </c>
    </row>
    <row r="247" spans="1:22" x14ac:dyDescent="0.5">
      <c r="A247" s="7" t="s">
        <v>1187</v>
      </c>
      <c r="B247" s="8" t="s">
        <v>327</v>
      </c>
      <c r="C247" s="8" t="s">
        <v>184</v>
      </c>
      <c r="D247" s="8" t="s">
        <v>237</v>
      </c>
      <c r="E247" s="8" t="s">
        <v>1188</v>
      </c>
      <c r="F247" s="8" t="s">
        <v>394</v>
      </c>
      <c r="G247" s="8" t="s">
        <v>76</v>
      </c>
      <c r="H247" s="8" t="s">
        <v>1189</v>
      </c>
      <c r="I247" s="8" t="s">
        <v>30</v>
      </c>
      <c r="J247" s="8" t="s">
        <v>31</v>
      </c>
      <c r="K247" s="8" t="s">
        <v>46</v>
      </c>
      <c r="L247" s="8" t="s">
        <v>189</v>
      </c>
      <c r="M247" s="8">
        <v>19</v>
      </c>
      <c r="N247" s="8">
        <v>700</v>
      </c>
      <c r="O247" s="58">
        <v>5</v>
      </c>
      <c r="P247" s="8">
        <v>12635</v>
      </c>
      <c r="Q247" s="8">
        <v>5</v>
      </c>
      <c r="R247" s="8" t="s">
        <v>88</v>
      </c>
      <c r="S247" s="8" t="s">
        <v>151</v>
      </c>
      <c r="T247" s="8" t="s">
        <v>332</v>
      </c>
      <c r="U247" s="9" t="s">
        <v>1190</v>
      </c>
      <c r="V247" s="8" t="s">
        <v>38</v>
      </c>
    </row>
    <row r="248" spans="1:22" x14ac:dyDescent="0.5">
      <c r="A248" s="3" t="s">
        <v>1191</v>
      </c>
      <c r="B248" s="4" t="s">
        <v>127</v>
      </c>
      <c r="C248" s="4" t="s">
        <v>118</v>
      </c>
      <c r="D248" s="4" t="s">
        <v>464</v>
      </c>
      <c r="E248" s="4" t="s">
        <v>84</v>
      </c>
      <c r="F248" s="4" t="s">
        <v>200</v>
      </c>
      <c r="G248" s="4" t="s">
        <v>76</v>
      </c>
      <c r="H248" s="4" t="s">
        <v>1192</v>
      </c>
      <c r="I248" s="4" t="s">
        <v>294</v>
      </c>
      <c r="J248" s="4" t="s">
        <v>295</v>
      </c>
      <c r="K248" s="4" t="s">
        <v>122</v>
      </c>
      <c r="L248" s="4" t="s">
        <v>123</v>
      </c>
      <c r="M248" s="4">
        <v>7</v>
      </c>
      <c r="N248" s="4">
        <v>60</v>
      </c>
      <c r="O248" s="57">
        <v>0</v>
      </c>
      <c r="P248" s="4">
        <v>420</v>
      </c>
      <c r="Q248" s="4">
        <v>4</v>
      </c>
      <c r="R248" s="4" t="s">
        <v>34</v>
      </c>
      <c r="S248" s="4" t="s">
        <v>115</v>
      </c>
      <c r="T248" s="4" t="s">
        <v>132</v>
      </c>
      <c r="U248" s="6" t="s">
        <v>1193</v>
      </c>
      <c r="V248" s="4" t="s">
        <v>64</v>
      </c>
    </row>
    <row r="249" spans="1:22" x14ac:dyDescent="0.5">
      <c r="A249" s="7" t="s">
        <v>1194</v>
      </c>
      <c r="B249" s="8" t="s">
        <v>71</v>
      </c>
      <c r="C249" s="8" t="s">
        <v>24</v>
      </c>
      <c r="D249" s="8" t="s">
        <v>215</v>
      </c>
      <c r="E249" s="8" t="s">
        <v>711</v>
      </c>
      <c r="F249" s="8" t="s">
        <v>217</v>
      </c>
      <c r="G249" s="8" t="s">
        <v>76</v>
      </c>
      <c r="H249" s="8" t="s">
        <v>1195</v>
      </c>
      <c r="I249" s="8" t="s">
        <v>105</v>
      </c>
      <c r="J249" s="8" t="s">
        <v>106</v>
      </c>
      <c r="K249" s="8" t="s">
        <v>32</v>
      </c>
      <c r="L249" s="8" t="s">
        <v>33</v>
      </c>
      <c r="M249" s="8">
        <v>13</v>
      </c>
      <c r="N249" s="8">
        <v>2200</v>
      </c>
      <c r="O249" s="58">
        <v>10</v>
      </c>
      <c r="P249" s="8">
        <v>25740</v>
      </c>
      <c r="Q249" s="8">
        <v>1</v>
      </c>
      <c r="R249" s="8" t="s">
        <v>79</v>
      </c>
      <c r="S249" s="8" t="s">
        <v>151</v>
      </c>
      <c r="T249" s="8" t="s">
        <v>80</v>
      </c>
      <c r="U249" s="9" t="s">
        <v>1196</v>
      </c>
      <c r="V249" s="8" t="s">
        <v>38</v>
      </c>
    </row>
    <row r="250" spans="1:22" x14ac:dyDescent="0.5">
      <c r="A250" s="3" t="s">
        <v>1197</v>
      </c>
      <c r="B250" s="4" t="s">
        <v>71</v>
      </c>
      <c r="C250" s="4" t="s">
        <v>24</v>
      </c>
      <c r="D250" s="4" t="s">
        <v>1198</v>
      </c>
      <c r="E250" s="4" t="s">
        <v>1199</v>
      </c>
      <c r="F250" s="4" t="s">
        <v>217</v>
      </c>
      <c r="G250" s="4" t="s">
        <v>76</v>
      </c>
      <c r="H250" s="4" t="s">
        <v>1200</v>
      </c>
      <c r="I250" s="4" t="s">
        <v>59</v>
      </c>
      <c r="J250" s="4" t="s">
        <v>31</v>
      </c>
      <c r="K250" s="4" t="s">
        <v>32</v>
      </c>
      <c r="L250" s="4" t="s">
        <v>33</v>
      </c>
      <c r="M250" s="4">
        <v>9</v>
      </c>
      <c r="N250" s="4">
        <v>2200</v>
      </c>
      <c r="O250" s="57">
        <v>10</v>
      </c>
      <c r="P250" s="4">
        <v>17820</v>
      </c>
      <c r="Q250" s="4">
        <v>2</v>
      </c>
      <c r="R250" s="4" t="s">
        <v>1201</v>
      </c>
      <c r="S250" s="4" t="s">
        <v>61</v>
      </c>
      <c r="T250" s="4" t="s">
        <v>80</v>
      </c>
      <c r="U250" s="6" t="s">
        <v>1202</v>
      </c>
      <c r="V250" s="4" t="s">
        <v>69</v>
      </c>
    </row>
    <row r="251" spans="1:22" x14ac:dyDescent="0.5">
      <c r="A251" s="7" t="s">
        <v>1203</v>
      </c>
      <c r="B251" s="8" t="s">
        <v>327</v>
      </c>
      <c r="C251" s="8" t="s">
        <v>169</v>
      </c>
      <c r="D251" s="8" t="s">
        <v>944</v>
      </c>
      <c r="E251" s="8" t="s">
        <v>1204</v>
      </c>
      <c r="F251" s="8" t="s">
        <v>394</v>
      </c>
      <c r="G251" s="8" t="s">
        <v>76</v>
      </c>
      <c r="H251" s="8" t="s">
        <v>1205</v>
      </c>
      <c r="I251" s="8" t="s">
        <v>59</v>
      </c>
      <c r="J251" s="8" t="s">
        <v>31</v>
      </c>
      <c r="K251" s="8" t="s">
        <v>32</v>
      </c>
      <c r="L251" s="8" t="s">
        <v>174</v>
      </c>
      <c r="M251" s="8">
        <v>6</v>
      </c>
      <c r="N251" s="8">
        <v>8500</v>
      </c>
      <c r="O251" s="58">
        <v>15</v>
      </c>
      <c r="P251" s="8">
        <v>43350</v>
      </c>
      <c r="Q251" s="8">
        <v>2</v>
      </c>
      <c r="R251" s="8" t="s">
        <v>34</v>
      </c>
      <c r="S251" s="8" t="s">
        <v>151</v>
      </c>
      <c r="T251" s="8" t="s">
        <v>332</v>
      </c>
      <c r="U251" s="9" t="s">
        <v>1206</v>
      </c>
      <c r="V251" s="8" t="s">
        <v>69</v>
      </c>
    </row>
    <row r="252" spans="1:22" x14ac:dyDescent="0.5">
      <c r="A252" s="3" t="s">
        <v>1207</v>
      </c>
      <c r="B252" s="4" t="s">
        <v>221</v>
      </c>
      <c r="C252" s="4" t="s">
        <v>24</v>
      </c>
      <c r="D252" s="4" t="s">
        <v>736</v>
      </c>
      <c r="E252" s="4" t="s">
        <v>94</v>
      </c>
      <c r="F252" s="4" t="s">
        <v>225</v>
      </c>
      <c r="G252" s="4" t="s">
        <v>76</v>
      </c>
      <c r="H252" s="4" t="s">
        <v>1208</v>
      </c>
      <c r="I252" s="4" t="s">
        <v>44</v>
      </c>
      <c r="J252" s="4" t="s">
        <v>45</v>
      </c>
      <c r="K252" s="4" t="s">
        <v>32</v>
      </c>
      <c r="L252" s="4" t="s">
        <v>33</v>
      </c>
      <c r="M252" s="4">
        <v>9</v>
      </c>
      <c r="N252" s="4">
        <v>2200</v>
      </c>
      <c r="O252" s="57">
        <v>10</v>
      </c>
      <c r="P252" s="4">
        <v>17820</v>
      </c>
      <c r="Q252" s="4">
        <v>3</v>
      </c>
      <c r="R252" s="4" t="s">
        <v>79</v>
      </c>
      <c r="S252" s="4" t="s">
        <v>35</v>
      </c>
      <c r="T252" s="4" t="s">
        <v>228</v>
      </c>
      <c r="U252" s="6" t="s">
        <v>1209</v>
      </c>
      <c r="V252" s="4" t="s">
        <v>64</v>
      </c>
    </row>
    <row r="253" spans="1:22" x14ac:dyDescent="0.5">
      <c r="A253" s="7" t="s">
        <v>1210</v>
      </c>
      <c r="B253" s="8" t="s">
        <v>23</v>
      </c>
      <c r="C253" s="8" t="s">
        <v>169</v>
      </c>
      <c r="D253" s="8" t="s">
        <v>825</v>
      </c>
      <c r="E253" s="8" t="s">
        <v>876</v>
      </c>
      <c r="F253" s="8" t="s">
        <v>27</v>
      </c>
      <c r="G253" s="8" t="s">
        <v>28</v>
      </c>
      <c r="H253" s="8" t="s">
        <v>1211</v>
      </c>
      <c r="I253" s="8" t="s">
        <v>294</v>
      </c>
      <c r="J253" s="8" t="s">
        <v>295</v>
      </c>
      <c r="K253" s="8" t="s">
        <v>32</v>
      </c>
      <c r="L253" s="8" t="s">
        <v>174</v>
      </c>
      <c r="M253" s="8">
        <v>16</v>
      </c>
      <c r="N253" s="8">
        <v>8500</v>
      </c>
      <c r="O253" s="58">
        <v>0</v>
      </c>
      <c r="P253" s="8">
        <v>136000</v>
      </c>
      <c r="Q253" s="8">
        <v>5</v>
      </c>
      <c r="R253" s="8" t="s">
        <v>88</v>
      </c>
      <c r="S253" s="8" t="s">
        <v>115</v>
      </c>
      <c r="T253" s="8" t="s">
        <v>50</v>
      </c>
      <c r="U253" s="9" t="s">
        <v>1212</v>
      </c>
      <c r="V253" s="8" t="s">
        <v>69</v>
      </c>
    </row>
    <row r="254" spans="1:22" x14ac:dyDescent="0.5">
      <c r="A254" s="3" t="s">
        <v>1213</v>
      </c>
      <c r="B254" s="4" t="s">
        <v>327</v>
      </c>
      <c r="C254" s="4" t="s">
        <v>72</v>
      </c>
      <c r="D254" s="4" t="s">
        <v>1214</v>
      </c>
      <c r="E254" s="4" t="s">
        <v>692</v>
      </c>
      <c r="F254" s="4" t="s">
        <v>394</v>
      </c>
      <c r="G254" s="4" t="s">
        <v>76</v>
      </c>
      <c r="H254" s="4" t="s">
        <v>1215</v>
      </c>
      <c r="I254" s="4" t="s">
        <v>44</v>
      </c>
      <c r="J254" s="4" t="s">
        <v>45</v>
      </c>
      <c r="K254" s="4" t="s">
        <v>46</v>
      </c>
      <c r="L254" s="4" t="s">
        <v>78</v>
      </c>
      <c r="M254" s="4">
        <v>10</v>
      </c>
      <c r="N254" s="4">
        <v>1200</v>
      </c>
      <c r="O254" s="57">
        <v>15</v>
      </c>
      <c r="P254" s="4">
        <v>10200</v>
      </c>
      <c r="Q254" s="4">
        <v>5</v>
      </c>
      <c r="R254" s="4" t="s">
        <v>34</v>
      </c>
      <c r="S254" s="4" t="s">
        <v>49</v>
      </c>
      <c r="T254" s="4" t="s">
        <v>332</v>
      </c>
      <c r="U254" s="6" t="s">
        <v>1216</v>
      </c>
      <c r="V254" s="4" t="s">
        <v>38</v>
      </c>
    </row>
    <row r="255" spans="1:22" x14ac:dyDescent="0.5">
      <c r="A255" s="7" t="s">
        <v>1217</v>
      </c>
      <c r="B255" s="8" t="s">
        <v>127</v>
      </c>
      <c r="C255" s="8" t="s">
        <v>40</v>
      </c>
      <c r="D255" s="8" t="s">
        <v>413</v>
      </c>
      <c r="E255" s="8" t="s">
        <v>136</v>
      </c>
      <c r="F255" s="8" t="s">
        <v>200</v>
      </c>
      <c r="G255" s="8" t="s">
        <v>76</v>
      </c>
      <c r="H255" s="8" t="s">
        <v>1218</v>
      </c>
      <c r="I255" s="8" t="s">
        <v>294</v>
      </c>
      <c r="J255" s="8" t="s">
        <v>295</v>
      </c>
      <c r="K255" s="8" t="s">
        <v>46</v>
      </c>
      <c r="L255" s="8" t="s">
        <v>47</v>
      </c>
      <c r="M255" s="8">
        <v>7</v>
      </c>
      <c r="N255" s="8">
        <v>12000</v>
      </c>
      <c r="O255" s="58">
        <v>0</v>
      </c>
      <c r="P255" s="8">
        <v>84000</v>
      </c>
      <c r="Q255" s="8">
        <v>1</v>
      </c>
      <c r="R255" s="8" t="s">
        <v>88</v>
      </c>
      <c r="S255" s="8" t="s">
        <v>151</v>
      </c>
      <c r="T255" s="8" t="s">
        <v>132</v>
      </c>
      <c r="U255" s="9" t="s">
        <v>1219</v>
      </c>
      <c r="V255" s="8" t="s">
        <v>64</v>
      </c>
    </row>
    <row r="256" spans="1:22" x14ac:dyDescent="0.5">
      <c r="A256" s="3" t="s">
        <v>1220</v>
      </c>
      <c r="B256" s="4" t="s">
        <v>221</v>
      </c>
      <c r="C256" s="4" t="s">
        <v>40</v>
      </c>
      <c r="D256" s="4" t="s">
        <v>128</v>
      </c>
      <c r="E256" s="4" t="s">
        <v>1221</v>
      </c>
      <c r="F256" s="4" t="s">
        <v>225</v>
      </c>
      <c r="G256" s="4" t="s">
        <v>76</v>
      </c>
      <c r="H256" s="4" t="s">
        <v>1222</v>
      </c>
      <c r="I256" s="4" t="s">
        <v>114</v>
      </c>
      <c r="J256" s="4" t="s">
        <v>106</v>
      </c>
      <c r="K256" s="4" t="s">
        <v>46</v>
      </c>
      <c r="L256" s="4" t="s">
        <v>47</v>
      </c>
      <c r="M256" s="4">
        <v>3</v>
      </c>
      <c r="N256" s="4">
        <v>12000</v>
      </c>
      <c r="O256" s="57">
        <v>10</v>
      </c>
      <c r="P256" s="4">
        <v>32400</v>
      </c>
      <c r="Q256" s="4">
        <v>4</v>
      </c>
      <c r="R256" s="4" t="s">
        <v>79</v>
      </c>
      <c r="S256" s="4" t="s">
        <v>151</v>
      </c>
      <c r="T256" s="4" t="s">
        <v>228</v>
      </c>
      <c r="U256" s="6" t="s">
        <v>1223</v>
      </c>
      <c r="V256" s="4" t="s">
        <v>38</v>
      </c>
    </row>
    <row r="257" spans="1:22" x14ac:dyDescent="0.5">
      <c r="A257" s="7" t="s">
        <v>1224</v>
      </c>
      <c r="B257" s="8" t="s">
        <v>221</v>
      </c>
      <c r="C257" s="8" t="s">
        <v>40</v>
      </c>
      <c r="D257" s="8" t="s">
        <v>1225</v>
      </c>
      <c r="E257" s="8" t="s">
        <v>927</v>
      </c>
      <c r="F257" s="8" t="s">
        <v>225</v>
      </c>
      <c r="G257" s="8" t="s">
        <v>76</v>
      </c>
      <c r="H257" s="8" t="s">
        <v>1226</v>
      </c>
      <c r="I257" s="8" t="s">
        <v>30</v>
      </c>
      <c r="J257" s="8" t="s">
        <v>31</v>
      </c>
      <c r="K257" s="8" t="s">
        <v>46</v>
      </c>
      <c r="L257" s="8" t="s">
        <v>47</v>
      </c>
      <c r="M257" s="8">
        <v>4</v>
      </c>
      <c r="N257" s="8">
        <v>12000</v>
      </c>
      <c r="O257" s="58">
        <v>15</v>
      </c>
      <c r="P257" s="8">
        <v>40800</v>
      </c>
      <c r="Q257" s="8">
        <v>3</v>
      </c>
      <c r="R257" s="8" t="s">
        <v>79</v>
      </c>
      <c r="S257" s="8" t="s">
        <v>35</v>
      </c>
      <c r="T257" s="8" t="s">
        <v>228</v>
      </c>
      <c r="U257" s="9" t="s">
        <v>1227</v>
      </c>
      <c r="V257" s="8" t="s">
        <v>64</v>
      </c>
    </row>
    <row r="258" spans="1:22" x14ac:dyDescent="0.5">
      <c r="A258" s="3" t="s">
        <v>1228</v>
      </c>
      <c r="B258" s="4" t="s">
        <v>127</v>
      </c>
      <c r="C258" s="4" t="s">
        <v>40</v>
      </c>
      <c r="D258" s="4" t="s">
        <v>260</v>
      </c>
      <c r="E258" s="4" t="s">
        <v>498</v>
      </c>
      <c r="F258" s="4" t="s">
        <v>200</v>
      </c>
      <c r="G258" s="4" t="s">
        <v>76</v>
      </c>
      <c r="H258" s="4" t="s">
        <v>1229</v>
      </c>
      <c r="I258" s="4" t="s">
        <v>30</v>
      </c>
      <c r="J258" s="4" t="s">
        <v>31</v>
      </c>
      <c r="K258" s="4" t="s">
        <v>46</v>
      </c>
      <c r="L258" s="4" t="s">
        <v>47</v>
      </c>
      <c r="M258" s="4">
        <v>13</v>
      </c>
      <c r="N258" s="4">
        <v>12000</v>
      </c>
      <c r="O258" s="57">
        <v>10</v>
      </c>
      <c r="P258" s="4">
        <v>140400</v>
      </c>
      <c r="Q258" s="4">
        <v>2</v>
      </c>
      <c r="R258" s="4" t="s">
        <v>34</v>
      </c>
      <c r="S258" s="4" t="s">
        <v>151</v>
      </c>
      <c r="T258" s="4" t="s">
        <v>132</v>
      </c>
      <c r="U258" s="6" t="s">
        <v>1230</v>
      </c>
      <c r="V258" s="4" t="s">
        <v>69</v>
      </c>
    </row>
    <row r="259" spans="1:22" x14ac:dyDescent="0.5">
      <c r="A259" s="7" t="s">
        <v>1231</v>
      </c>
      <c r="B259" s="8" t="s">
        <v>23</v>
      </c>
      <c r="C259" s="8" t="s">
        <v>92</v>
      </c>
      <c r="D259" s="8" t="s">
        <v>318</v>
      </c>
      <c r="E259" s="8" t="s">
        <v>679</v>
      </c>
      <c r="F259" s="8" t="s">
        <v>27</v>
      </c>
      <c r="G259" s="8" t="s">
        <v>28</v>
      </c>
      <c r="H259" s="8" t="s">
        <v>1232</v>
      </c>
      <c r="I259" s="8" t="s">
        <v>59</v>
      </c>
      <c r="J259" s="8" t="s">
        <v>31</v>
      </c>
      <c r="K259" s="8" t="s">
        <v>32</v>
      </c>
      <c r="L259" s="8" t="s">
        <v>97</v>
      </c>
      <c r="M259" s="8">
        <v>19</v>
      </c>
      <c r="N259" s="8">
        <v>3500</v>
      </c>
      <c r="O259" s="58">
        <v>20</v>
      </c>
      <c r="P259" s="8">
        <v>53200</v>
      </c>
      <c r="Q259" s="8">
        <v>1</v>
      </c>
      <c r="R259" s="8" t="s">
        <v>34</v>
      </c>
      <c r="S259" s="8" t="s">
        <v>61</v>
      </c>
      <c r="T259" s="8" t="s">
        <v>50</v>
      </c>
      <c r="U259" s="9" t="s">
        <v>1233</v>
      </c>
      <c r="V259" s="8" t="s">
        <v>69</v>
      </c>
    </row>
    <row r="260" spans="1:22" x14ac:dyDescent="0.5">
      <c r="A260" s="3" t="s">
        <v>1234</v>
      </c>
      <c r="B260" s="4" t="s">
        <v>23</v>
      </c>
      <c r="C260" s="4" t="s">
        <v>24</v>
      </c>
      <c r="D260" s="4" t="s">
        <v>932</v>
      </c>
      <c r="E260" s="4" t="s">
        <v>436</v>
      </c>
      <c r="F260" s="4" t="s">
        <v>27</v>
      </c>
      <c r="G260" s="4" t="s">
        <v>28</v>
      </c>
      <c r="H260" s="4" t="s">
        <v>1235</v>
      </c>
      <c r="I260" s="4" t="s">
        <v>105</v>
      </c>
      <c r="J260" s="4" t="s">
        <v>106</v>
      </c>
      <c r="K260" s="4" t="s">
        <v>32</v>
      </c>
      <c r="L260" s="4" t="s">
        <v>33</v>
      </c>
      <c r="M260" s="4">
        <v>7</v>
      </c>
      <c r="N260" s="4">
        <v>2200</v>
      </c>
      <c r="O260" s="57">
        <v>5</v>
      </c>
      <c r="P260" s="4">
        <v>14630</v>
      </c>
      <c r="Q260" s="4">
        <v>3</v>
      </c>
      <c r="R260" s="4" t="s">
        <v>88</v>
      </c>
      <c r="S260" s="4" t="s">
        <v>61</v>
      </c>
      <c r="T260" s="4" t="s">
        <v>50</v>
      </c>
      <c r="U260" s="6" t="s">
        <v>1236</v>
      </c>
      <c r="V260" s="4" t="s">
        <v>69</v>
      </c>
    </row>
    <row r="261" spans="1:22" x14ac:dyDescent="0.5">
      <c r="A261" s="7" t="s">
        <v>1237</v>
      </c>
      <c r="B261" s="8" t="s">
        <v>83</v>
      </c>
      <c r="C261" s="8" t="s">
        <v>184</v>
      </c>
      <c r="D261" s="8" t="s">
        <v>1238</v>
      </c>
      <c r="E261" s="8" t="s">
        <v>426</v>
      </c>
      <c r="F261" s="8" t="s">
        <v>180</v>
      </c>
      <c r="G261" s="8" t="s">
        <v>76</v>
      </c>
      <c r="H261" s="8" t="s">
        <v>1239</v>
      </c>
      <c r="I261" s="8" t="s">
        <v>212</v>
      </c>
      <c r="J261" s="8" t="s">
        <v>45</v>
      </c>
      <c r="K261" s="8" t="s">
        <v>46</v>
      </c>
      <c r="L261" s="8" t="s">
        <v>189</v>
      </c>
      <c r="M261" s="8">
        <v>18</v>
      </c>
      <c r="N261" s="8">
        <v>700</v>
      </c>
      <c r="O261" s="58">
        <v>5</v>
      </c>
      <c r="P261" s="8">
        <v>11970</v>
      </c>
      <c r="Q261" s="8">
        <v>2</v>
      </c>
      <c r="R261" s="8" t="s">
        <v>88</v>
      </c>
      <c r="S261" s="8" t="s">
        <v>61</v>
      </c>
      <c r="T261" s="8" t="s">
        <v>89</v>
      </c>
      <c r="U261" s="9" t="s">
        <v>1240</v>
      </c>
      <c r="V261" s="8" t="s">
        <v>69</v>
      </c>
    </row>
    <row r="262" spans="1:22" x14ac:dyDescent="0.5">
      <c r="A262" s="3" t="s">
        <v>1241</v>
      </c>
      <c r="B262" s="4" t="s">
        <v>23</v>
      </c>
      <c r="C262" s="4" t="s">
        <v>222</v>
      </c>
      <c r="D262" s="4" t="s">
        <v>1106</v>
      </c>
      <c r="E262" s="4" t="s">
        <v>1242</v>
      </c>
      <c r="F262" s="4" t="s">
        <v>27</v>
      </c>
      <c r="G262" s="4" t="s">
        <v>28</v>
      </c>
      <c r="H262" s="4" t="s">
        <v>1243</v>
      </c>
      <c r="I262" s="4" t="s">
        <v>294</v>
      </c>
      <c r="J262" s="4" t="s">
        <v>295</v>
      </c>
      <c r="K262" s="4" t="s">
        <v>122</v>
      </c>
      <c r="L262" s="4" t="s">
        <v>227</v>
      </c>
      <c r="M262" s="4">
        <v>11</v>
      </c>
      <c r="N262" s="4">
        <v>20</v>
      </c>
      <c r="O262" s="57">
        <v>0</v>
      </c>
      <c r="P262" s="4">
        <v>220</v>
      </c>
      <c r="Q262" s="4">
        <v>2</v>
      </c>
      <c r="R262" s="4" t="s">
        <v>48</v>
      </c>
      <c r="S262" s="4" t="s">
        <v>115</v>
      </c>
      <c r="T262" s="4" t="s">
        <v>50</v>
      </c>
      <c r="U262" s="6" t="s">
        <v>1244</v>
      </c>
      <c r="V262" s="4" t="s">
        <v>69</v>
      </c>
    </row>
    <row r="263" spans="1:22" x14ac:dyDescent="0.5">
      <c r="A263" s="7" t="s">
        <v>1245</v>
      </c>
      <c r="B263" s="8" t="s">
        <v>327</v>
      </c>
      <c r="C263" s="8" t="s">
        <v>40</v>
      </c>
      <c r="D263" s="8" t="s">
        <v>1069</v>
      </c>
      <c r="E263" s="8" t="s">
        <v>272</v>
      </c>
      <c r="F263" s="8" t="s">
        <v>394</v>
      </c>
      <c r="G263" s="8" t="s">
        <v>76</v>
      </c>
      <c r="H263" s="8" t="s">
        <v>1246</v>
      </c>
      <c r="I263" s="8" t="s">
        <v>114</v>
      </c>
      <c r="J263" s="8" t="s">
        <v>106</v>
      </c>
      <c r="K263" s="8" t="s">
        <v>46</v>
      </c>
      <c r="L263" s="8" t="s">
        <v>47</v>
      </c>
      <c r="M263" s="8">
        <v>17</v>
      </c>
      <c r="N263" s="8">
        <v>12000</v>
      </c>
      <c r="O263" s="58">
        <v>20</v>
      </c>
      <c r="P263" s="8">
        <v>163200</v>
      </c>
      <c r="Q263" s="8">
        <v>4</v>
      </c>
      <c r="R263" s="8" t="s">
        <v>88</v>
      </c>
      <c r="S263" s="8" t="s">
        <v>151</v>
      </c>
      <c r="T263" s="8" t="s">
        <v>332</v>
      </c>
      <c r="U263" s="9" t="s">
        <v>1247</v>
      </c>
      <c r="V263" s="8" t="s">
        <v>38</v>
      </c>
    </row>
    <row r="264" spans="1:22" x14ac:dyDescent="0.5">
      <c r="A264" s="3" t="s">
        <v>1248</v>
      </c>
      <c r="B264" s="4" t="s">
        <v>251</v>
      </c>
      <c r="C264" s="4" t="s">
        <v>24</v>
      </c>
      <c r="D264" s="4" t="s">
        <v>1249</v>
      </c>
      <c r="E264" s="4" t="s">
        <v>267</v>
      </c>
      <c r="F264" s="4" t="s">
        <v>254</v>
      </c>
      <c r="G264" s="4" t="s">
        <v>28</v>
      </c>
      <c r="H264" s="4" t="s">
        <v>1250</v>
      </c>
      <c r="I264" s="4" t="s">
        <v>294</v>
      </c>
      <c r="J264" s="4" t="s">
        <v>295</v>
      </c>
      <c r="K264" s="4" t="s">
        <v>32</v>
      </c>
      <c r="L264" s="4" t="s">
        <v>33</v>
      </c>
      <c r="M264" s="4">
        <v>4</v>
      </c>
      <c r="N264" s="4">
        <v>2200</v>
      </c>
      <c r="O264" s="57">
        <v>5</v>
      </c>
      <c r="P264" s="4">
        <v>8360</v>
      </c>
      <c r="Q264" s="4">
        <v>2</v>
      </c>
      <c r="R264" s="4" t="s">
        <v>34</v>
      </c>
      <c r="S264" s="4" t="s">
        <v>35</v>
      </c>
      <c r="T264" s="4" t="s">
        <v>256</v>
      </c>
      <c r="U264" s="6" t="s">
        <v>1251</v>
      </c>
      <c r="V264" s="4" t="s">
        <v>38</v>
      </c>
    </row>
    <row r="265" spans="1:22" x14ac:dyDescent="0.5">
      <c r="A265" s="7" t="s">
        <v>1252</v>
      </c>
      <c r="B265" s="8" t="s">
        <v>23</v>
      </c>
      <c r="C265" s="8" t="s">
        <v>54</v>
      </c>
      <c r="D265" s="8" t="s">
        <v>1253</v>
      </c>
      <c r="E265" s="8" t="s">
        <v>455</v>
      </c>
      <c r="F265" s="8" t="s">
        <v>27</v>
      </c>
      <c r="G265" s="8" t="s">
        <v>28</v>
      </c>
      <c r="H265" s="8" t="s">
        <v>1254</v>
      </c>
      <c r="I265" s="8" t="s">
        <v>138</v>
      </c>
      <c r="J265" s="8" t="s">
        <v>106</v>
      </c>
      <c r="K265" s="8" t="s">
        <v>46</v>
      </c>
      <c r="L265" s="8" t="s">
        <v>60</v>
      </c>
      <c r="M265" s="8">
        <v>6</v>
      </c>
      <c r="N265" s="8">
        <v>55000</v>
      </c>
      <c r="O265" s="58">
        <v>20</v>
      </c>
      <c r="P265" s="8">
        <v>264000</v>
      </c>
      <c r="Q265" s="8">
        <v>2</v>
      </c>
      <c r="R265" s="8" t="s">
        <v>88</v>
      </c>
      <c r="S265" s="8" t="s">
        <v>151</v>
      </c>
      <c r="T265" s="8" t="s">
        <v>50</v>
      </c>
      <c r="U265" s="9" t="s">
        <v>1255</v>
      </c>
      <c r="V265" s="8" t="s">
        <v>69</v>
      </c>
    </row>
    <row r="266" spans="1:22" x14ac:dyDescent="0.5">
      <c r="A266" s="3" t="s">
        <v>1256</v>
      </c>
      <c r="B266" s="4" t="s">
        <v>71</v>
      </c>
      <c r="C266" s="4" t="s">
        <v>169</v>
      </c>
      <c r="D266" s="4" t="s">
        <v>84</v>
      </c>
      <c r="E266" s="4" t="s">
        <v>998</v>
      </c>
      <c r="F266" s="4" t="s">
        <v>217</v>
      </c>
      <c r="G266" s="4" t="s">
        <v>76</v>
      </c>
      <c r="H266" s="4" t="s">
        <v>1257</v>
      </c>
      <c r="I266" s="4" t="s">
        <v>44</v>
      </c>
      <c r="J266" s="4" t="s">
        <v>45</v>
      </c>
      <c r="K266" s="4" t="s">
        <v>32</v>
      </c>
      <c r="L266" s="4" t="s">
        <v>174</v>
      </c>
      <c r="M266" s="4">
        <v>6</v>
      </c>
      <c r="N266" s="4">
        <v>8500</v>
      </c>
      <c r="O266" s="57">
        <v>10</v>
      </c>
      <c r="P266" s="4">
        <v>45900</v>
      </c>
      <c r="Q266" s="4">
        <v>5</v>
      </c>
      <c r="R266" s="4" t="s">
        <v>88</v>
      </c>
      <c r="S266" s="4" t="s">
        <v>61</v>
      </c>
      <c r="T266" s="4" t="s">
        <v>80</v>
      </c>
      <c r="U266" s="6" t="s">
        <v>1258</v>
      </c>
      <c r="V266" s="4" t="s">
        <v>38</v>
      </c>
    </row>
    <row r="267" spans="1:22" x14ac:dyDescent="0.5">
      <c r="A267" s="7" t="s">
        <v>1259</v>
      </c>
      <c r="B267" s="8" t="s">
        <v>23</v>
      </c>
      <c r="C267" s="8" t="s">
        <v>222</v>
      </c>
      <c r="D267" s="8" t="s">
        <v>558</v>
      </c>
      <c r="E267" s="8" t="s">
        <v>371</v>
      </c>
      <c r="F267" s="8" t="s">
        <v>27</v>
      </c>
      <c r="G267" s="8" t="s">
        <v>28</v>
      </c>
      <c r="H267" s="8" t="s">
        <v>1260</v>
      </c>
      <c r="I267" s="8" t="s">
        <v>212</v>
      </c>
      <c r="J267" s="8" t="s">
        <v>45</v>
      </c>
      <c r="K267" s="8" t="s">
        <v>122</v>
      </c>
      <c r="L267" s="8" t="s">
        <v>227</v>
      </c>
      <c r="M267" s="8">
        <v>6</v>
      </c>
      <c r="N267" s="8">
        <v>20</v>
      </c>
      <c r="O267" s="58">
        <v>15</v>
      </c>
      <c r="P267" s="8">
        <v>102</v>
      </c>
      <c r="Q267" s="8">
        <v>2</v>
      </c>
      <c r="R267" s="8" t="s">
        <v>88</v>
      </c>
      <c r="S267" s="8" t="s">
        <v>49</v>
      </c>
      <c r="T267" s="8" t="s">
        <v>50</v>
      </c>
      <c r="U267" s="9" t="s">
        <v>1261</v>
      </c>
      <c r="V267" s="8" t="s">
        <v>69</v>
      </c>
    </row>
    <row r="268" spans="1:22" x14ac:dyDescent="0.5">
      <c r="A268" s="3" t="s">
        <v>1262</v>
      </c>
      <c r="B268" s="4" t="s">
        <v>53</v>
      </c>
      <c r="C268" s="4" t="s">
        <v>118</v>
      </c>
      <c r="D268" s="4" t="s">
        <v>1263</v>
      </c>
      <c r="E268" s="4" t="s">
        <v>597</v>
      </c>
      <c r="F268" s="4" t="s">
        <v>163</v>
      </c>
      <c r="G268" s="4" t="s">
        <v>28</v>
      </c>
      <c r="H268" s="4" t="s">
        <v>1264</v>
      </c>
      <c r="I268" s="4" t="s">
        <v>105</v>
      </c>
      <c r="J268" s="4" t="s">
        <v>106</v>
      </c>
      <c r="K268" s="4" t="s">
        <v>122</v>
      </c>
      <c r="L268" s="4" t="s">
        <v>123</v>
      </c>
      <c r="M268" s="4">
        <v>6</v>
      </c>
      <c r="N268" s="4">
        <v>60</v>
      </c>
      <c r="O268" s="57">
        <v>5</v>
      </c>
      <c r="P268" s="4">
        <v>342</v>
      </c>
      <c r="Q268" s="4">
        <v>1</v>
      </c>
      <c r="R268" s="4" t="s">
        <v>48</v>
      </c>
      <c r="S268" s="4" t="s">
        <v>61</v>
      </c>
      <c r="T268" s="4" t="s">
        <v>62</v>
      </c>
      <c r="U268" s="6" t="s">
        <v>1265</v>
      </c>
      <c r="V268" s="4" t="s">
        <v>38</v>
      </c>
    </row>
    <row r="269" spans="1:22" x14ac:dyDescent="0.5">
      <c r="A269" s="7" t="s">
        <v>1266</v>
      </c>
      <c r="B269" s="8" t="s">
        <v>127</v>
      </c>
      <c r="C269" s="8" t="s">
        <v>169</v>
      </c>
      <c r="D269" s="8" t="s">
        <v>1267</v>
      </c>
      <c r="E269" s="8" t="s">
        <v>1268</v>
      </c>
      <c r="F269" s="8" t="s">
        <v>200</v>
      </c>
      <c r="G269" s="8" t="s">
        <v>76</v>
      </c>
      <c r="H269" s="8" t="s">
        <v>1269</v>
      </c>
      <c r="I269" s="8" t="s">
        <v>30</v>
      </c>
      <c r="J269" s="8" t="s">
        <v>31</v>
      </c>
      <c r="K269" s="8" t="s">
        <v>32</v>
      </c>
      <c r="L269" s="8" t="s">
        <v>174</v>
      </c>
      <c r="M269" s="8">
        <v>19</v>
      </c>
      <c r="N269" s="8">
        <v>8500</v>
      </c>
      <c r="O269" s="58">
        <v>0</v>
      </c>
      <c r="P269" s="8">
        <v>161500</v>
      </c>
      <c r="Q269" s="8">
        <v>5</v>
      </c>
      <c r="R269" s="8" t="s">
        <v>88</v>
      </c>
      <c r="S269" s="8" t="s">
        <v>151</v>
      </c>
      <c r="T269" s="8" t="s">
        <v>132</v>
      </c>
      <c r="U269" s="9" t="s">
        <v>1270</v>
      </c>
      <c r="V269" s="8" t="s">
        <v>38</v>
      </c>
    </row>
    <row r="270" spans="1:22" x14ac:dyDescent="0.5">
      <c r="A270" s="3" t="s">
        <v>1271</v>
      </c>
      <c r="B270" s="4" t="s">
        <v>251</v>
      </c>
      <c r="C270" s="4" t="s">
        <v>54</v>
      </c>
      <c r="D270" s="4" t="s">
        <v>445</v>
      </c>
      <c r="E270" s="4" t="s">
        <v>573</v>
      </c>
      <c r="F270" s="4" t="s">
        <v>254</v>
      </c>
      <c r="G270" s="4" t="s">
        <v>28</v>
      </c>
      <c r="H270" s="4" t="s">
        <v>1272</v>
      </c>
      <c r="I270" s="4" t="s">
        <v>212</v>
      </c>
      <c r="J270" s="4" t="s">
        <v>45</v>
      </c>
      <c r="K270" s="4" t="s">
        <v>46</v>
      </c>
      <c r="L270" s="4" t="s">
        <v>60</v>
      </c>
      <c r="M270" s="4">
        <v>8</v>
      </c>
      <c r="N270" s="4">
        <v>55000</v>
      </c>
      <c r="O270" s="57">
        <v>0</v>
      </c>
      <c r="P270" s="4">
        <v>440000</v>
      </c>
      <c r="Q270" s="4">
        <v>3</v>
      </c>
      <c r="R270" s="4" t="s">
        <v>79</v>
      </c>
      <c r="S270" s="4" t="s">
        <v>115</v>
      </c>
      <c r="T270" s="4" t="s">
        <v>256</v>
      </c>
      <c r="U270" s="6" t="s">
        <v>1273</v>
      </c>
      <c r="V270" s="4" t="s">
        <v>64</v>
      </c>
    </row>
    <row r="271" spans="1:22" x14ac:dyDescent="0.5">
      <c r="A271" s="7" t="s">
        <v>1274</v>
      </c>
      <c r="B271" s="8" t="s">
        <v>71</v>
      </c>
      <c r="C271" s="8" t="s">
        <v>40</v>
      </c>
      <c r="D271" s="8" t="s">
        <v>1098</v>
      </c>
      <c r="E271" s="8" t="s">
        <v>583</v>
      </c>
      <c r="F271" s="8" t="s">
        <v>217</v>
      </c>
      <c r="G271" s="8" t="s">
        <v>76</v>
      </c>
      <c r="H271" s="8" t="s">
        <v>1275</v>
      </c>
      <c r="I271" s="8" t="s">
        <v>294</v>
      </c>
      <c r="J271" s="8" t="s">
        <v>295</v>
      </c>
      <c r="K271" s="8" t="s">
        <v>46</v>
      </c>
      <c r="L271" s="8" t="s">
        <v>47</v>
      </c>
      <c r="M271" s="8">
        <v>18</v>
      </c>
      <c r="N271" s="8">
        <v>12000</v>
      </c>
      <c r="O271" s="58">
        <v>20</v>
      </c>
      <c r="P271" s="8">
        <v>172800</v>
      </c>
      <c r="Q271" s="8">
        <v>5</v>
      </c>
      <c r="R271" s="8" t="s">
        <v>88</v>
      </c>
      <c r="S271" s="8" t="s">
        <v>61</v>
      </c>
      <c r="T271" s="8" t="s">
        <v>80</v>
      </c>
      <c r="U271" s="9" t="s">
        <v>1276</v>
      </c>
      <c r="V271" s="8" t="s">
        <v>69</v>
      </c>
    </row>
    <row r="272" spans="1:22" x14ac:dyDescent="0.5">
      <c r="A272" s="3" t="s">
        <v>1277</v>
      </c>
      <c r="B272" s="4" t="s">
        <v>127</v>
      </c>
      <c r="C272" s="4" t="s">
        <v>169</v>
      </c>
      <c r="D272" s="4" t="s">
        <v>1278</v>
      </c>
      <c r="E272" s="4" t="s">
        <v>198</v>
      </c>
      <c r="F272" s="4" t="s">
        <v>200</v>
      </c>
      <c r="G272" s="4" t="s">
        <v>76</v>
      </c>
      <c r="H272" s="4" t="s">
        <v>1279</v>
      </c>
      <c r="I272" s="4" t="s">
        <v>138</v>
      </c>
      <c r="J272" s="4" t="s">
        <v>106</v>
      </c>
      <c r="K272" s="4" t="s">
        <v>32</v>
      </c>
      <c r="L272" s="4" t="s">
        <v>174</v>
      </c>
      <c r="M272" s="4">
        <v>8</v>
      </c>
      <c r="N272" s="4">
        <v>8500</v>
      </c>
      <c r="O272" s="57">
        <v>5</v>
      </c>
      <c r="P272" s="4">
        <v>64600</v>
      </c>
      <c r="Q272" s="4">
        <v>2</v>
      </c>
      <c r="R272" s="4" t="s">
        <v>79</v>
      </c>
      <c r="S272" s="4" t="s">
        <v>61</v>
      </c>
      <c r="T272" s="4" t="s">
        <v>132</v>
      </c>
      <c r="U272" s="6" t="s">
        <v>1280</v>
      </c>
      <c r="V272" s="4" t="s">
        <v>69</v>
      </c>
    </row>
    <row r="273" spans="1:22" x14ac:dyDescent="0.5">
      <c r="A273" s="7" t="s">
        <v>1281</v>
      </c>
      <c r="B273" s="8" t="s">
        <v>23</v>
      </c>
      <c r="C273" s="8" t="s">
        <v>222</v>
      </c>
      <c r="D273" s="8" t="s">
        <v>1282</v>
      </c>
      <c r="E273" s="8" t="s">
        <v>724</v>
      </c>
      <c r="F273" s="8" t="s">
        <v>27</v>
      </c>
      <c r="G273" s="8" t="s">
        <v>28</v>
      </c>
      <c r="H273" s="8" t="s">
        <v>1283</v>
      </c>
      <c r="I273" s="8" t="s">
        <v>105</v>
      </c>
      <c r="J273" s="8" t="s">
        <v>106</v>
      </c>
      <c r="K273" s="8" t="s">
        <v>122</v>
      </c>
      <c r="L273" s="8" t="s">
        <v>227</v>
      </c>
      <c r="M273" s="8">
        <v>13</v>
      </c>
      <c r="N273" s="8">
        <v>20</v>
      </c>
      <c r="O273" s="58">
        <v>5</v>
      </c>
      <c r="P273" s="8">
        <v>247</v>
      </c>
      <c r="Q273" s="8">
        <v>3</v>
      </c>
      <c r="R273" s="8" t="s">
        <v>48</v>
      </c>
      <c r="S273" s="8" t="s">
        <v>115</v>
      </c>
      <c r="T273" s="8" t="s">
        <v>50</v>
      </c>
      <c r="U273" s="9" t="s">
        <v>1284</v>
      </c>
      <c r="V273" s="8" t="s">
        <v>64</v>
      </c>
    </row>
    <row r="274" spans="1:22" x14ac:dyDescent="0.5">
      <c r="A274" s="3" t="s">
        <v>1285</v>
      </c>
      <c r="B274" s="4" t="s">
        <v>83</v>
      </c>
      <c r="C274" s="4" t="s">
        <v>118</v>
      </c>
      <c r="D274" s="4" t="s">
        <v>740</v>
      </c>
      <c r="E274" s="4" t="s">
        <v>1286</v>
      </c>
      <c r="F274" s="4" t="s">
        <v>180</v>
      </c>
      <c r="G274" s="4" t="s">
        <v>76</v>
      </c>
      <c r="H274" s="4" t="s">
        <v>1287</v>
      </c>
      <c r="I274" s="4" t="s">
        <v>212</v>
      </c>
      <c r="J274" s="4" t="s">
        <v>45</v>
      </c>
      <c r="K274" s="4" t="s">
        <v>122</v>
      </c>
      <c r="L274" s="4" t="s">
        <v>123</v>
      </c>
      <c r="M274" s="4">
        <v>1</v>
      </c>
      <c r="N274" s="4">
        <v>60</v>
      </c>
      <c r="O274" s="57">
        <v>15</v>
      </c>
      <c r="P274" s="4">
        <v>51</v>
      </c>
      <c r="Q274" s="4">
        <v>2</v>
      </c>
      <c r="R274" s="4" t="s">
        <v>79</v>
      </c>
      <c r="S274" s="4" t="s">
        <v>61</v>
      </c>
      <c r="T274" s="4" t="s">
        <v>89</v>
      </c>
      <c r="U274" s="6" t="s">
        <v>1288</v>
      </c>
      <c r="V274" s="4" t="s">
        <v>69</v>
      </c>
    </row>
    <row r="275" spans="1:22" x14ac:dyDescent="0.5">
      <c r="A275" s="7" t="s">
        <v>1289</v>
      </c>
      <c r="B275" s="8" t="s">
        <v>53</v>
      </c>
      <c r="C275" s="8" t="s">
        <v>222</v>
      </c>
      <c r="D275" s="8" t="s">
        <v>1290</v>
      </c>
      <c r="E275" s="8" t="s">
        <v>965</v>
      </c>
      <c r="F275" s="8" t="s">
        <v>163</v>
      </c>
      <c r="G275" s="8" t="s">
        <v>28</v>
      </c>
      <c r="H275" s="8" t="s">
        <v>1291</v>
      </c>
      <c r="I275" s="8" t="s">
        <v>114</v>
      </c>
      <c r="J275" s="8" t="s">
        <v>106</v>
      </c>
      <c r="K275" s="8" t="s">
        <v>122</v>
      </c>
      <c r="L275" s="8" t="s">
        <v>227</v>
      </c>
      <c r="M275" s="8">
        <v>5</v>
      </c>
      <c r="N275" s="8">
        <v>20</v>
      </c>
      <c r="O275" s="58">
        <v>5</v>
      </c>
      <c r="P275" s="8">
        <v>95</v>
      </c>
      <c r="Q275" s="8">
        <v>2</v>
      </c>
      <c r="R275" s="8" t="s">
        <v>48</v>
      </c>
      <c r="S275" s="8" t="s">
        <v>49</v>
      </c>
      <c r="T275" s="8" t="s">
        <v>62</v>
      </c>
      <c r="U275" s="9" t="s">
        <v>1292</v>
      </c>
      <c r="V275" s="8" t="s">
        <v>64</v>
      </c>
    </row>
    <row r="276" spans="1:22" x14ac:dyDescent="0.5">
      <c r="A276" s="3" t="s">
        <v>1293</v>
      </c>
      <c r="B276" s="4" t="s">
        <v>221</v>
      </c>
      <c r="C276" s="4" t="s">
        <v>222</v>
      </c>
      <c r="D276" s="4" t="s">
        <v>1294</v>
      </c>
      <c r="E276" s="4" t="s">
        <v>1017</v>
      </c>
      <c r="F276" s="4" t="s">
        <v>225</v>
      </c>
      <c r="G276" s="4" t="s">
        <v>76</v>
      </c>
      <c r="H276" s="4" t="s">
        <v>1295</v>
      </c>
      <c r="I276" s="4" t="s">
        <v>294</v>
      </c>
      <c r="J276" s="4" t="s">
        <v>295</v>
      </c>
      <c r="K276" s="4" t="s">
        <v>122</v>
      </c>
      <c r="L276" s="4" t="s">
        <v>227</v>
      </c>
      <c r="M276" s="4">
        <v>19</v>
      </c>
      <c r="N276" s="4">
        <v>20</v>
      </c>
      <c r="O276" s="57">
        <v>20</v>
      </c>
      <c r="P276" s="4">
        <v>304</v>
      </c>
      <c r="Q276" s="4">
        <v>3</v>
      </c>
      <c r="R276" s="4" t="s">
        <v>34</v>
      </c>
      <c r="S276" s="4" t="s">
        <v>35</v>
      </c>
      <c r="T276" s="4" t="s">
        <v>228</v>
      </c>
      <c r="U276" s="6" t="s">
        <v>1296</v>
      </c>
      <c r="V276" s="4" t="s">
        <v>69</v>
      </c>
    </row>
    <row r="277" spans="1:22" x14ac:dyDescent="0.5">
      <c r="A277" s="7" t="s">
        <v>1297</v>
      </c>
      <c r="B277" s="8" t="s">
        <v>100</v>
      </c>
      <c r="C277" s="8" t="s">
        <v>259</v>
      </c>
      <c r="D277" s="8" t="s">
        <v>1298</v>
      </c>
      <c r="E277" s="8" t="s">
        <v>366</v>
      </c>
      <c r="F277" s="8" t="s">
        <v>103</v>
      </c>
      <c r="G277" s="8" t="s">
        <v>28</v>
      </c>
      <c r="H277" s="8" t="s">
        <v>1299</v>
      </c>
      <c r="I277" s="8" t="s">
        <v>138</v>
      </c>
      <c r="J277" s="8" t="s">
        <v>106</v>
      </c>
      <c r="K277" s="8" t="s">
        <v>122</v>
      </c>
      <c r="L277" s="8" t="s">
        <v>263</v>
      </c>
      <c r="M277" s="8">
        <v>17</v>
      </c>
      <c r="N277" s="8">
        <v>45</v>
      </c>
      <c r="O277" s="58">
        <v>5</v>
      </c>
      <c r="P277" s="8">
        <v>726.75</v>
      </c>
      <c r="Q277" s="8">
        <v>4</v>
      </c>
      <c r="R277" s="8" t="s">
        <v>34</v>
      </c>
      <c r="S277" s="8" t="s">
        <v>115</v>
      </c>
      <c r="T277" s="8" t="s">
        <v>144</v>
      </c>
      <c r="U277" s="9" t="s">
        <v>1300</v>
      </c>
      <c r="V277" s="8" t="s">
        <v>64</v>
      </c>
    </row>
    <row r="278" spans="1:22" x14ac:dyDescent="0.5">
      <c r="A278" s="3" t="s">
        <v>1301</v>
      </c>
      <c r="B278" s="4" t="s">
        <v>83</v>
      </c>
      <c r="C278" s="4" t="s">
        <v>184</v>
      </c>
      <c r="D278" s="4" t="s">
        <v>1302</v>
      </c>
      <c r="E278" s="4" t="s">
        <v>170</v>
      </c>
      <c r="F278" s="4" t="s">
        <v>180</v>
      </c>
      <c r="G278" s="4" t="s">
        <v>76</v>
      </c>
      <c r="H278" s="4" t="s">
        <v>1303</v>
      </c>
      <c r="I278" s="4" t="s">
        <v>59</v>
      </c>
      <c r="J278" s="4" t="s">
        <v>31</v>
      </c>
      <c r="K278" s="4" t="s">
        <v>46</v>
      </c>
      <c r="L278" s="4" t="s">
        <v>189</v>
      </c>
      <c r="M278" s="4">
        <v>8</v>
      </c>
      <c r="N278" s="4">
        <v>700</v>
      </c>
      <c r="O278" s="57">
        <v>15</v>
      </c>
      <c r="P278" s="4">
        <v>4760</v>
      </c>
      <c r="Q278" s="4">
        <v>4</v>
      </c>
      <c r="R278" s="4" t="s">
        <v>48</v>
      </c>
      <c r="S278" s="4" t="s">
        <v>35</v>
      </c>
      <c r="T278" s="4" t="s">
        <v>89</v>
      </c>
      <c r="U278" s="6" t="s">
        <v>1304</v>
      </c>
      <c r="V278" s="4" t="s">
        <v>64</v>
      </c>
    </row>
    <row r="279" spans="1:22" x14ac:dyDescent="0.5">
      <c r="A279" s="7" t="s">
        <v>1305</v>
      </c>
      <c r="B279" s="8" t="s">
        <v>168</v>
      </c>
      <c r="C279" s="8" t="s">
        <v>24</v>
      </c>
      <c r="D279" s="8" t="s">
        <v>1306</v>
      </c>
      <c r="E279" s="8" t="s">
        <v>1307</v>
      </c>
      <c r="F279" s="8" t="s">
        <v>361</v>
      </c>
      <c r="G279" s="8" t="s">
        <v>28</v>
      </c>
      <c r="H279" s="8" t="s">
        <v>1308</v>
      </c>
      <c r="I279" s="8" t="s">
        <v>105</v>
      </c>
      <c r="J279" s="8" t="s">
        <v>106</v>
      </c>
      <c r="K279" s="8" t="s">
        <v>32</v>
      </c>
      <c r="L279" s="8" t="s">
        <v>33</v>
      </c>
      <c r="M279" s="8">
        <v>15</v>
      </c>
      <c r="N279" s="8">
        <v>2200</v>
      </c>
      <c r="O279" s="58">
        <v>10</v>
      </c>
      <c r="P279" s="8">
        <v>29700</v>
      </c>
      <c r="Q279" s="8">
        <v>5</v>
      </c>
      <c r="R279" s="8" t="s">
        <v>88</v>
      </c>
      <c r="S279" s="8" t="s">
        <v>151</v>
      </c>
      <c r="T279" s="8" t="s">
        <v>175</v>
      </c>
      <c r="U279" s="9" t="s">
        <v>1309</v>
      </c>
      <c r="V279" s="8" t="s">
        <v>38</v>
      </c>
    </row>
    <row r="280" spans="1:22" x14ac:dyDescent="0.5">
      <c r="A280" s="3" t="s">
        <v>1310</v>
      </c>
      <c r="B280" s="4" t="s">
        <v>100</v>
      </c>
      <c r="C280" s="4" t="s">
        <v>24</v>
      </c>
      <c r="D280" s="4" t="s">
        <v>860</v>
      </c>
      <c r="E280" s="4" t="s">
        <v>1311</v>
      </c>
      <c r="F280" s="4" t="s">
        <v>103</v>
      </c>
      <c r="G280" s="4" t="s">
        <v>28</v>
      </c>
      <c r="H280" s="4" t="s">
        <v>1312</v>
      </c>
      <c r="I280" s="4" t="s">
        <v>105</v>
      </c>
      <c r="J280" s="4" t="s">
        <v>106</v>
      </c>
      <c r="K280" s="4" t="s">
        <v>32</v>
      </c>
      <c r="L280" s="4" t="s">
        <v>33</v>
      </c>
      <c r="M280" s="4">
        <v>1</v>
      </c>
      <c r="N280" s="4">
        <v>2200</v>
      </c>
      <c r="O280" s="57">
        <v>0</v>
      </c>
      <c r="P280" s="4">
        <v>2200</v>
      </c>
      <c r="Q280" s="4">
        <v>4</v>
      </c>
      <c r="R280" s="4" t="s">
        <v>34</v>
      </c>
      <c r="S280" s="4" t="s">
        <v>49</v>
      </c>
      <c r="T280" s="4" t="s">
        <v>144</v>
      </c>
      <c r="U280" s="6" t="s">
        <v>1313</v>
      </c>
      <c r="V280" s="4" t="s">
        <v>69</v>
      </c>
    </row>
    <row r="281" spans="1:22" x14ac:dyDescent="0.5">
      <c r="A281" s="7" t="s">
        <v>1314</v>
      </c>
      <c r="B281" s="8" t="s">
        <v>251</v>
      </c>
      <c r="C281" s="8" t="s">
        <v>92</v>
      </c>
      <c r="D281" s="8" t="s">
        <v>872</v>
      </c>
      <c r="E281" s="8" t="s">
        <v>1315</v>
      </c>
      <c r="F281" s="8" t="s">
        <v>254</v>
      </c>
      <c r="G281" s="8" t="s">
        <v>28</v>
      </c>
      <c r="H281" s="8" t="s">
        <v>1316</v>
      </c>
      <c r="I281" s="8" t="s">
        <v>138</v>
      </c>
      <c r="J281" s="8" t="s">
        <v>106</v>
      </c>
      <c r="K281" s="8" t="s">
        <v>32</v>
      </c>
      <c r="L281" s="8" t="s">
        <v>97</v>
      </c>
      <c r="M281" s="8">
        <v>10</v>
      </c>
      <c r="N281" s="8">
        <v>3500</v>
      </c>
      <c r="O281" s="58">
        <v>10</v>
      </c>
      <c r="P281" s="8">
        <v>31500</v>
      </c>
      <c r="Q281" s="8">
        <v>4</v>
      </c>
      <c r="R281" s="8" t="s">
        <v>48</v>
      </c>
      <c r="S281" s="8" t="s">
        <v>35</v>
      </c>
      <c r="T281" s="8" t="s">
        <v>256</v>
      </c>
      <c r="U281" s="9" t="s">
        <v>1317</v>
      </c>
      <c r="V281" s="8" t="s">
        <v>69</v>
      </c>
    </row>
    <row r="282" spans="1:22" x14ac:dyDescent="0.5">
      <c r="A282" s="3" t="s">
        <v>1318</v>
      </c>
      <c r="B282" s="4" t="s">
        <v>71</v>
      </c>
      <c r="C282" s="4" t="s">
        <v>92</v>
      </c>
      <c r="D282" s="4" t="s">
        <v>1319</v>
      </c>
      <c r="E282" s="4" t="s">
        <v>1320</v>
      </c>
      <c r="F282" s="4" t="s">
        <v>217</v>
      </c>
      <c r="G282" s="4" t="s">
        <v>76</v>
      </c>
      <c r="H282" s="4" t="s">
        <v>1321</v>
      </c>
      <c r="I282" s="4" t="s">
        <v>212</v>
      </c>
      <c r="J282" s="4" t="s">
        <v>45</v>
      </c>
      <c r="K282" s="4" t="s">
        <v>32</v>
      </c>
      <c r="L282" s="4" t="s">
        <v>97</v>
      </c>
      <c r="M282" s="4">
        <v>16</v>
      </c>
      <c r="N282" s="4">
        <v>3500</v>
      </c>
      <c r="O282" s="57">
        <v>15</v>
      </c>
      <c r="P282" s="4">
        <v>47600</v>
      </c>
      <c r="Q282" s="4">
        <v>1</v>
      </c>
      <c r="R282" s="4" t="s">
        <v>79</v>
      </c>
      <c r="S282" s="4" t="s">
        <v>115</v>
      </c>
      <c r="T282" s="4" t="s">
        <v>80</v>
      </c>
      <c r="U282" s="6" t="s">
        <v>1322</v>
      </c>
      <c r="V282" s="4" t="s">
        <v>64</v>
      </c>
    </row>
    <row r="283" spans="1:22" x14ac:dyDescent="0.5">
      <c r="A283" s="7" t="s">
        <v>1323</v>
      </c>
      <c r="B283" s="8" t="s">
        <v>251</v>
      </c>
      <c r="C283" s="8" t="s">
        <v>40</v>
      </c>
      <c r="D283" s="8" t="s">
        <v>1324</v>
      </c>
      <c r="E283" s="8" t="s">
        <v>25</v>
      </c>
      <c r="F283" s="8" t="s">
        <v>254</v>
      </c>
      <c r="G283" s="8" t="s">
        <v>28</v>
      </c>
      <c r="H283" s="8" t="s">
        <v>1325</v>
      </c>
      <c r="I283" s="8" t="s">
        <v>212</v>
      </c>
      <c r="J283" s="8" t="s">
        <v>45</v>
      </c>
      <c r="K283" s="8" t="s">
        <v>46</v>
      </c>
      <c r="L283" s="8" t="s">
        <v>47</v>
      </c>
      <c r="M283" s="8">
        <v>1</v>
      </c>
      <c r="N283" s="8">
        <v>12000</v>
      </c>
      <c r="O283" s="58">
        <v>0</v>
      </c>
      <c r="P283" s="8">
        <v>12000</v>
      </c>
      <c r="Q283" s="8">
        <v>4</v>
      </c>
      <c r="R283" s="8" t="s">
        <v>48</v>
      </c>
      <c r="S283" s="8" t="s">
        <v>115</v>
      </c>
      <c r="T283" s="8" t="s">
        <v>256</v>
      </c>
      <c r="U283" s="9" t="s">
        <v>1326</v>
      </c>
      <c r="V283" s="8" t="s">
        <v>69</v>
      </c>
    </row>
    <row r="284" spans="1:22" x14ac:dyDescent="0.5">
      <c r="A284" s="3" t="s">
        <v>1327</v>
      </c>
      <c r="B284" s="4" t="s">
        <v>83</v>
      </c>
      <c r="C284" s="4" t="s">
        <v>184</v>
      </c>
      <c r="D284" s="4" t="s">
        <v>1328</v>
      </c>
      <c r="E284" s="4" t="s">
        <v>606</v>
      </c>
      <c r="F284" s="4" t="s">
        <v>180</v>
      </c>
      <c r="G284" s="4" t="s">
        <v>76</v>
      </c>
      <c r="H284" s="4" t="s">
        <v>1329</v>
      </c>
      <c r="I284" s="4" t="s">
        <v>105</v>
      </c>
      <c r="J284" s="4" t="s">
        <v>106</v>
      </c>
      <c r="K284" s="4" t="s">
        <v>46</v>
      </c>
      <c r="L284" s="4" t="s">
        <v>189</v>
      </c>
      <c r="M284" s="4">
        <v>6</v>
      </c>
      <c r="N284" s="4">
        <v>700</v>
      </c>
      <c r="O284" s="57">
        <v>20</v>
      </c>
      <c r="P284" s="4">
        <v>3360</v>
      </c>
      <c r="Q284" s="4">
        <v>2</v>
      </c>
      <c r="R284" s="4" t="s">
        <v>48</v>
      </c>
      <c r="S284" s="4" t="s">
        <v>115</v>
      </c>
      <c r="T284" s="4" t="s">
        <v>89</v>
      </c>
      <c r="U284" s="6" t="s">
        <v>1330</v>
      </c>
      <c r="V284" s="4" t="s">
        <v>64</v>
      </c>
    </row>
    <row r="285" spans="1:22" x14ac:dyDescent="0.5">
      <c r="A285" s="7" t="s">
        <v>1331</v>
      </c>
      <c r="B285" s="8" t="s">
        <v>71</v>
      </c>
      <c r="C285" s="8" t="s">
        <v>24</v>
      </c>
      <c r="D285" s="8" t="s">
        <v>923</v>
      </c>
      <c r="E285" s="8" t="s">
        <v>1332</v>
      </c>
      <c r="F285" s="8" t="s">
        <v>217</v>
      </c>
      <c r="G285" s="8" t="s">
        <v>76</v>
      </c>
      <c r="H285" s="8" t="s">
        <v>1333</v>
      </c>
      <c r="I285" s="8" t="s">
        <v>138</v>
      </c>
      <c r="J285" s="8" t="s">
        <v>106</v>
      </c>
      <c r="K285" s="8" t="s">
        <v>32</v>
      </c>
      <c r="L285" s="8" t="s">
        <v>33</v>
      </c>
      <c r="M285" s="8">
        <v>3</v>
      </c>
      <c r="N285" s="8">
        <v>2200</v>
      </c>
      <c r="O285" s="58">
        <v>0</v>
      </c>
      <c r="P285" s="8">
        <v>6600</v>
      </c>
      <c r="Q285" s="8">
        <v>4</v>
      </c>
      <c r="R285" s="8" t="s">
        <v>79</v>
      </c>
      <c r="S285" s="8" t="s">
        <v>35</v>
      </c>
      <c r="T285" s="8" t="s">
        <v>80</v>
      </c>
      <c r="U285" s="9" t="s">
        <v>1334</v>
      </c>
      <c r="V285" s="8" t="s">
        <v>38</v>
      </c>
    </row>
    <row r="286" spans="1:22" x14ac:dyDescent="0.5">
      <c r="A286" s="3" t="s">
        <v>1335</v>
      </c>
      <c r="B286" s="4" t="s">
        <v>251</v>
      </c>
      <c r="C286" s="4" t="s">
        <v>259</v>
      </c>
      <c r="D286" s="4" t="s">
        <v>1198</v>
      </c>
      <c r="E286" s="4" t="s">
        <v>216</v>
      </c>
      <c r="F286" s="4" t="s">
        <v>254</v>
      </c>
      <c r="G286" s="4" t="s">
        <v>28</v>
      </c>
      <c r="H286" s="4" t="s">
        <v>1336</v>
      </c>
      <c r="I286" s="4" t="s">
        <v>30</v>
      </c>
      <c r="J286" s="4" t="s">
        <v>31</v>
      </c>
      <c r="K286" s="4" t="s">
        <v>122</v>
      </c>
      <c r="L286" s="4" t="s">
        <v>263</v>
      </c>
      <c r="M286" s="4">
        <v>6</v>
      </c>
      <c r="N286" s="4">
        <v>45</v>
      </c>
      <c r="O286" s="57">
        <v>15</v>
      </c>
      <c r="P286" s="4">
        <v>229.5</v>
      </c>
      <c r="Q286" s="4">
        <v>1</v>
      </c>
      <c r="R286" s="4" t="s">
        <v>88</v>
      </c>
      <c r="S286" s="4" t="s">
        <v>49</v>
      </c>
      <c r="T286" s="4" t="s">
        <v>256</v>
      </c>
      <c r="U286" s="6" t="s">
        <v>1337</v>
      </c>
      <c r="V286" s="4" t="s">
        <v>38</v>
      </c>
    </row>
    <row r="287" spans="1:22" x14ac:dyDescent="0.5">
      <c r="A287" s="7" t="s">
        <v>1338</v>
      </c>
      <c r="B287" s="8" t="s">
        <v>251</v>
      </c>
      <c r="C287" s="8" t="s">
        <v>72</v>
      </c>
      <c r="D287" s="8" t="s">
        <v>26</v>
      </c>
      <c r="E287" s="8" t="s">
        <v>1339</v>
      </c>
      <c r="F287" s="8" t="s">
        <v>254</v>
      </c>
      <c r="G287" s="8" t="s">
        <v>28</v>
      </c>
      <c r="H287" s="8" t="s">
        <v>1340</v>
      </c>
      <c r="I287" s="8" t="s">
        <v>59</v>
      </c>
      <c r="J287" s="8" t="s">
        <v>31</v>
      </c>
      <c r="K287" s="8" t="s">
        <v>46</v>
      </c>
      <c r="L287" s="8" t="s">
        <v>78</v>
      </c>
      <c r="M287" s="8">
        <v>2</v>
      </c>
      <c r="N287" s="8">
        <v>1200</v>
      </c>
      <c r="O287" s="58">
        <v>0</v>
      </c>
      <c r="P287" s="8">
        <v>2400</v>
      </c>
      <c r="Q287" s="8">
        <v>1</v>
      </c>
      <c r="R287" s="8" t="s">
        <v>34</v>
      </c>
      <c r="S287" s="8" t="s">
        <v>151</v>
      </c>
      <c r="T287" s="8" t="s">
        <v>256</v>
      </c>
      <c r="U287" s="9" t="s">
        <v>1341</v>
      </c>
      <c r="V287" s="8" t="s">
        <v>69</v>
      </c>
    </row>
    <row r="288" spans="1:22" x14ac:dyDescent="0.5">
      <c r="A288" s="3" t="s">
        <v>1342</v>
      </c>
      <c r="B288" s="4" t="s">
        <v>168</v>
      </c>
      <c r="C288" s="4" t="s">
        <v>184</v>
      </c>
      <c r="D288" s="4" t="s">
        <v>1343</v>
      </c>
      <c r="E288" s="4" t="s">
        <v>1344</v>
      </c>
      <c r="F288" s="4" t="s">
        <v>361</v>
      </c>
      <c r="G288" s="4" t="s">
        <v>28</v>
      </c>
      <c r="H288" s="4" t="s">
        <v>1345</v>
      </c>
      <c r="I288" s="4" t="s">
        <v>30</v>
      </c>
      <c r="J288" s="4" t="s">
        <v>31</v>
      </c>
      <c r="K288" s="4" t="s">
        <v>46</v>
      </c>
      <c r="L288" s="4" t="s">
        <v>189</v>
      </c>
      <c r="M288" s="4">
        <v>14</v>
      </c>
      <c r="N288" s="4">
        <v>700</v>
      </c>
      <c r="O288" s="57">
        <v>15</v>
      </c>
      <c r="P288" s="4">
        <v>8330</v>
      </c>
      <c r="Q288" s="4">
        <v>5</v>
      </c>
      <c r="R288" s="4" t="s">
        <v>34</v>
      </c>
      <c r="S288" s="4" t="s">
        <v>115</v>
      </c>
      <c r="T288" s="4" t="s">
        <v>175</v>
      </c>
      <c r="U288" s="6" t="s">
        <v>1346</v>
      </c>
      <c r="V288" s="4" t="s">
        <v>64</v>
      </c>
    </row>
    <row r="289" spans="1:22" x14ac:dyDescent="0.5">
      <c r="A289" s="7" t="s">
        <v>1347</v>
      </c>
      <c r="B289" s="8" t="s">
        <v>100</v>
      </c>
      <c r="C289" s="8" t="s">
        <v>222</v>
      </c>
      <c r="D289" s="8" t="s">
        <v>291</v>
      </c>
      <c r="E289" s="8" t="s">
        <v>507</v>
      </c>
      <c r="F289" s="8" t="s">
        <v>103</v>
      </c>
      <c r="G289" s="8" t="s">
        <v>28</v>
      </c>
      <c r="H289" s="8" t="s">
        <v>1348</v>
      </c>
      <c r="I289" s="8" t="s">
        <v>105</v>
      </c>
      <c r="J289" s="8" t="s">
        <v>106</v>
      </c>
      <c r="K289" s="8" t="s">
        <v>122</v>
      </c>
      <c r="L289" s="8" t="s">
        <v>227</v>
      </c>
      <c r="M289" s="8">
        <v>13</v>
      </c>
      <c r="N289" s="8">
        <v>20</v>
      </c>
      <c r="O289" s="58">
        <v>5</v>
      </c>
      <c r="P289" s="8">
        <v>247</v>
      </c>
      <c r="Q289" s="8">
        <v>1</v>
      </c>
      <c r="R289" s="8" t="s">
        <v>79</v>
      </c>
      <c r="S289" s="8" t="s">
        <v>35</v>
      </c>
      <c r="T289" s="8" t="s">
        <v>1349</v>
      </c>
      <c r="U289" s="9" t="s">
        <v>1350</v>
      </c>
      <c r="V289" s="8" t="s">
        <v>64</v>
      </c>
    </row>
    <row r="290" spans="1:22" x14ac:dyDescent="0.5">
      <c r="A290" s="3" t="s">
        <v>1351</v>
      </c>
      <c r="B290" s="4" t="s">
        <v>71</v>
      </c>
      <c r="C290" s="4" t="s">
        <v>24</v>
      </c>
      <c r="D290" s="4" t="s">
        <v>135</v>
      </c>
      <c r="E290" s="4" t="s">
        <v>136</v>
      </c>
      <c r="F290" s="4" t="s">
        <v>217</v>
      </c>
      <c r="G290" s="4" t="s">
        <v>76</v>
      </c>
      <c r="H290" s="4" t="s">
        <v>1352</v>
      </c>
      <c r="I290" s="4" t="s">
        <v>114</v>
      </c>
      <c r="J290" s="4" t="s">
        <v>106</v>
      </c>
      <c r="K290" s="4" t="s">
        <v>32</v>
      </c>
      <c r="L290" s="4" t="s">
        <v>33</v>
      </c>
      <c r="M290" s="4">
        <v>3</v>
      </c>
      <c r="N290" s="4">
        <v>2200</v>
      </c>
      <c r="O290" s="57">
        <v>0</v>
      </c>
      <c r="P290" s="4">
        <v>6600</v>
      </c>
      <c r="Q290" s="4">
        <v>4</v>
      </c>
      <c r="R290" s="4" t="s">
        <v>48</v>
      </c>
      <c r="S290" s="4" t="s">
        <v>61</v>
      </c>
      <c r="T290" s="4" t="s">
        <v>80</v>
      </c>
      <c r="U290" s="6" t="s">
        <v>1353</v>
      </c>
      <c r="V290" s="4" t="s">
        <v>69</v>
      </c>
    </row>
    <row r="291" spans="1:22" x14ac:dyDescent="0.5">
      <c r="A291" s="7" t="s">
        <v>1354</v>
      </c>
      <c r="B291" s="8" t="s">
        <v>71</v>
      </c>
      <c r="C291" s="8" t="s">
        <v>118</v>
      </c>
      <c r="D291" s="8" t="s">
        <v>450</v>
      </c>
      <c r="E291" s="8" t="s">
        <v>923</v>
      </c>
      <c r="F291" s="8" t="s">
        <v>217</v>
      </c>
      <c r="G291" s="8" t="s">
        <v>76</v>
      </c>
      <c r="H291" s="8" t="s">
        <v>1355</v>
      </c>
      <c r="I291" s="8" t="s">
        <v>114</v>
      </c>
      <c r="J291" s="8" t="s">
        <v>106</v>
      </c>
      <c r="K291" s="8" t="s">
        <v>122</v>
      </c>
      <c r="L291" s="8" t="s">
        <v>123</v>
      </c>
      <c r="M291" s="8">
        <v>3</v>
      </c>
      <c r="N291" s="8">
        <v>60</v>
      </c>
      <c r="O291" s="58">
        <v>15</v>
      </c>
      <c r="P291" s="8">
        <v>153</v>
      </c>
      <c r="Q291" s="8">
        <v>4</v>
      </c>
      <c r="R291" s="8" t="s">
        <v>88</v>
      </c>
      <c r="S291" s="8" t="s">
        <v>115</v>
      </c>
      <c r="T291" s="8" t="s">
        <v>80</v>
      </c>
      <c r="U291" s="9" t="s">
        <v>1356</v>
      </c>
      <c r="V291" s="8" t="s">
        <v>38</v>
      </c>
    </row>
    <row r="292" spans="1:22" x14ac:dyDescent="0.5">
      <c r="A292" s="3" t="s">
        <v>1357</v>
      </c>
      <c r="B292" s="4" t="s">
        <v>127</v>
      </c>
      <c r="C292" s="4" t="s">
        <v>92</v>
      </c>
      <c r="D292" s="4" t="s">
        <v>624</v>
      </c>
      <c r="E292" s="4" t="s">
        <v>825</v>
      </c>
      <c r="F292" s="4" t="s">
        <v>200</v>
      </c>
      <c r="G292" s="4" t="s">
        <v>76</v>
      </c>
      <c r="H292" s="4" t="s">
        <v>584</v>
      </c>
      <c r="I292" s="4" t="s">
        <v>105</v>
      </c>
      <c r="J292" s="4" t="s">
        <v>106</v>
      </c>
      <c r="K292" s="4" t="s">
        <v>32</v>
      </c>
      <c r="L292" s="4" t="s">
        <v>97</v>
      </c>
      <c r="M292" s="4">
        <v>9</v>
      </c>
      <c r="N292" s="4">
        <v>3500</v>
      </c>
      <c r="O292" s="57">
        <v>5</v>
      </c>
      <c r="P292" s="4">
        <v>29925</v>
      </c>
      <c r="Q292" s="4">
        <v>1</v>
      </c>
      <c r="R292" s="4" t="s">
        <v>34</v>
      </c>
      <c r="S292" s="4" t="s">
        <v>61</v>
      </c>
      <c r="T292" s="4" t="s">
        <v>132</v>
      </c>
      <c r="U292" s="6" t="s">
        <v>1358</v>
      </c>
      <c r="V292" s="4" t="s">
        <v>64</v>
      </c>
    </row>
    <row r="293" spans="1:22" x14ac:dyDescent="0.5">
      <c r="A293" s="7" t="s">
        <v>1359</v>
      </c>
      <c r="B293" s="8" t="s">
        <v>327</v>
      </c>
      <c r="C293" s="8" t="s">
        <v>72</v>
      </c>
      <c r="D293" s="8" t="s">
        <v>120</v>
      </c>
      <c r="E293" s="8" t="s">
        <v>1360</v>
      </c>
      <c r="F293" s="8" t="s">
        <v>394</v>
      </c>
      <c r="G293" s="8" t="s">
        <v>76</v>
      </c>
      <c r="H293" s="8" t="s">
        <v>1361</v>
      </c>
      <c r="I293" s="8" t="s">
        <v>212</v>
      </c>
      <c r="J293" s="8" t="s">
        <v>45</v>
      </c>
      <c r="K293" s="8" t="s">
        <v>46</v>
      </c>
      <c r="L293" s="8" t="s">
        <v>78</v>
      </c>
      <c r="M293" s="8">
        <v>5</v>
      </c>
      <c r="N293" s="8">
        <v>1200</v>
      </c>
      <c r="O293" s="58">
        <v>20</v>
      </c>
      <c r="P293" s="8">
        <v>4800</v>
      </c>
      <c r="Q293" s="8">
        <v>2</v>
      </c>
      <c r="R293" s="8" t="s">
        <v>88</v>
      </c>
      <c r="S293" s="8" t="s">
        <v>115</v>
      </c>
      <c r="T293" s="8" t="s">
        <v>332</v>
      </c>
      <c r="U293" s="9" t="s">
        <v>1362</v>
      </c>
      <c r="V293" s="8" t="s">
        <v>64</v>
      </c>
    </row>
    <row r="294" spans="1:22" x14ac:dyDescent="0.5">
      <c r="A294" s="3" t="s">
        <v>1363</v>
      </c>
      <c r="B294" s="4" t="s">
        <v>53</v>
      </c>
      <c r="C294" s="4" t="s">
        <v>72</v>
      </c>
      <c r="D294" s="4" t="s">
        <v>1031</v>
      </c>
      <c r="E294" s="4" t="s">
        <v>910</v>
      </c>
      <c r="F294" s="4" t="s">
        <v>163</v>
      </c>
      <c r="G294" s="4" t="s">
        <v>28</v>
      </c>
      <c r="H294" s="4" t="s">
        <v>1364</v>
      </c>
      <c r="I294" s="4" t="s">
        <v>212</v>
      </c>
      <c r="J294" s="4" t="s">
        <v>45</v>
      </c>
      <c r="K294" s="4" t="s">
        <v>46</v>
      </c>
      <c r="L294" s="4" t="s">
        <v>78</v>
      </c>
      <c r="M294" s="4">
        <v>10</v>
      </c>
      <c r="N294" s="4">
        <v>1200</v>
      </c>
      <c r="O294" s="57">
        <v>20</v>
      </c>
      <c r="P294" s="4">
        <v>9600</v>
      </c>
      <c r="Q294" s="4">
        <v>4</v>
      </c>
      <c r="R294" s="4" t="s">
        <v>34</v>
      </c>
      <c r="S294" s="4" t="s">
        <v>49</v>
      </c>
      <c r="T294" s="5" t="s">
        <v>1365</v>
      </c>
      <c r="U294" s="6" t="s">
        <v>1366</v>
      </c>
      <c r="V294" s="4" t="s">
        <v>38</v>
      </c>
    </row>
    <row r="295" spans="1:22" x14ac:dyDescent="0.5">
      <c r="A295" s="7" t="s">
        <v>1367</v>
      </c>
      <c r="B295" s="8" t="s">
        <v>23</v>
      </c>
      <c r="C295" s="8" t="s">
        <v>72</v>
      </c>
      <c r="D295" s="8" t="s">
        <v>1368</v>
      </c>
      <c r="E295" s="8" t="s">
        <v>1369</v>
      </c>
      <c r="F295" s="8" t="s">
        <v>27</v>
      </c>
      <c r="G295" s="8" t="s">
        <v>28</v>
      </c>
      <c r="H295" s="8" t="s">
        <v>1370</v>
      </c>
      <c r="I295" s="8" t="s">
        <v>138</v>
      </c>
      <c r="J295" s="8" t="s">
        <v>106</v>
      </c>
      <c r="K295" s="8" t="s">
        <v>46</v>
      </c>
      <c r="L295" s="8" t="s">
        <v>78</v>
      </c>
      <c r="M295" s="8">
        <v>5</v>
      </c>
      <c r="N295" s="8">
        <v>1200</v>
      </c>
      <c r="O295" s="58">
        <v>20</v>
      </c>
      <c r="P295" s="8">
        <v>4800</v>
      </c>
      <c r="Q295" s="8">
        <v>3</v>
      </c>
      <c r="R295" s="8" t="s">
        <v>48</v>
      </c>
      <c r="S295" s="8" t="s">
        <v>151</v>
      </c>
      <c r="T295" s="8" t="s">
        <v>50</v>
      </c>
      <c r="U295" s="9" t="s">
        <v>1371</v>
      </c>
      <c r="V295" s="8" t="s">
        <v>38</v>
      </c>
    </row>
    <row r="296" spans="1:22" x14ac:dyDescent="0.5">
      <c r="A296" s="3" t="s">
        <v>1372</v>
      </c>
      <c r="B296" s="4" t="s">
        <v>168</v>
      </c>
      <c r="C296" s="4" t="s">
        <v>222</v>
      </c>
      <c r="D296" s="4" t="s">
        <v>1373</v>
      </c>
      <c r="E296" s="4" t="s">
        <v>1374</v>
      </c>
      <c r="F296" s="4" t="s">
        <v>361</v>
      </c>
      <c r="G296" s="4" t="s">
        <v>28</v>
      </c>
      <c r="H296" s="4" t="s">
        <v>1375</v>
      </c>
      <c r="I296" s="4" t="s">
        <v>105</v>
      </c>
      <c r="J296" s="4" t="s">
        <v>106</v>
      </c>
      <c r="K296" s="4" t="s">
        <v>122</v>
      </c>
      <c r="L296" s="4" t="s">
        <v>227</v>
      </c>
      <c r="M296" s="4">
        <v>10</v>
      </c>
      <c r="N296" s="4">
        <v>20</v>
      </c>
      <c r="O296" s="57">
        <v>5</v>
      </c>
      <c r="P296" s="4">
        <v>190</v>
      </c>
      <c r="Q296" s="4">
        <v>4</v>
      </c>
      <c r="R296" s="4" t="s">
        <v>34</v>
      </c>
      <c r="S296" s="4" t="s">
        <v>151</v>
      </c>
      <c r="T296" s="4" t="s">
        <v>175</v>
      </c>
      <c r="U296" s="6" t="s">
        <v>1376</v>
      </c>
      <c r="V296" s="4" t="s">
        <v>64</v>
      </c>
    </row>
    <row r="297" spans="1:22" x14ac:dyDescent="0.5">
      <c r="A297" s="7" t="s">
        <v>1377</v>
      </c>
      <c r="B297" s="8" t="s">
        <v>100</v>
      </c>
      <c r="C297" s="8" t="s">
        <v>118</v>
      </c>
      <c r="D297" s="8" t="s">
        <v>1378</v>
      </c>
      <c r="E297" s="8" t="s">
        <v>1379</v>
      </c>
      <c r="F297" s="8" t="s">
        <v>103</v>
      </c>
      <c r="G297" s="8" t="s">
        <v>28</v>
      </c>
      <c r="H297" s="8" t="s">
        <v>1380</v>
      </c>
      <c r="I297" s="8" t="s">
        <v>44</v>
      </c>
      <c r="J297" s="8" t="s">
        <v>45</v>
      </c>
      <c r="K297" s="8" t="s">
        <v>122</v>
      </c>
      <c r="L297" s="8" t="s">
        <v>123</v>
      </c>
      <c r="M297" s="8">
        <v>20</v>
      </c>
      <c r="N297" s="8">
        <v>60</v>
      </c>
      <c r="O297" s="58">
        <v>15</v>
      </c>
      <c r="P297" s="8">
        <v>1020</v>
      </c>
      <c r="Q297" s="8">
        <v>5</v>
      </c>
      <c r="R297" s="8" t="s">
        <v>79</v>
      </c>
      <c r="S297" s="8" t="s">
        <v>35</v>
      </c>
      <c r="T297" s="8" t="s">
        <v>144</v>
      </c>
      <c r="U297" s="9" t="s">
        <v>1381</v>
      </c>
      <c r="V297" s="8" t="s">
        <v>64</v>
      </c>
    </row>
    <row r="298" spans="1:22" x14ac:dyDescent="0.5">
      <c r="A298" s="3" t="s">
        <v>1382</v>
      </c>
      <c r="B298" s="4" t="s">
        <v>327</v>
      </c>
      <c r="C298" s="4" t="s">
        <v>24</v>
      </c>
      <c r="D298" s="4" t="s">
        <v>1360</v>
      </c>
      <c r="E298" s="4" t="s">
        <v>577</v>
      </c>
      <c r="F298" s="4" t="s">
        <v>394</v>
      </c>
      <c r="G298" s="4" t="s">
        <v>76</v>
      </c>
      <c r="H298" s="4" t="s">
        <v>1383</v>
      </c>
      <c r="I298" s="4" t="s">
        <v>138</v>
      </c>
      <c r="J298" s="4" t="s">
        <v>106</v>
      </c>
      <c r="K298" s="4" t="s">
        <v>32</v>
      </c>
      <c r="L298" s="4" t="s">
        <v>33</v>
      </c>
      <c r="M298" s="4">
        <v>7</v>
      </c>
      <c r="N298" s="4">
        <v>2200</v>
      </c>
      <c r="O298" s="57">
        <v>15</v>
      </c>
      <c r="P298" s="4">
        <v>13090</v>
      </c>
      <c r="Q298" s="4">
        <v>4</v>
      </c>
      <c r="R298" s="4" t="s">
        <v>34</v>
      </c>
      <c r="S298" s="4" t="s">
        <v>61</v>
      </c>
      <c r="T298" s="4" t="s">
        <v>332</v>
      </c>
      <c r="U298" s="6" t="s">
        <v>1384</v>
      </c>
      <c r="V298" s="4" t="s">
        <v>69</v>
      </c>
    </row>
    <row r="299" spans="1:22" x14ac:dyDescent="0.5">
      <c r="A299" s="7" t="s">
        <v>1385</v>
      </c>
      <c r="B299" s="8" t="s">
        <v>127</v>
      </c>
      <c r="C299" s="8" t="s">
        <v>54</v>
      </c>
      <c r="D299" s="8" t="s">
        <v>619</v>
      </c>
      <c r="E299" s="8" t="s">
        <v>760</v>
      </c>
      <c r="F299" s="8" t="s">
        <v>200</v>
      </c>
      <c r="G299" s="8" t="s">
        <v>76</v>
      </c>
      <c r="H299" s="8" t="s">
        <v>1386</v>
      </c>
      <c r="I299" s="8" t="s">
        <v>30</v>
      </c>
      <c r="J299" s="8" t="s">
        <v>31</v>
      </c>
      <c r="K299" s="8" t="s">
        <v>46</v>
      </c>
      <c r="L299" s="8" t="s">
        <v>60</v>
      </c>
      <c r="M299" s="8">
        <v>11</v>
      </c>
      <c r="N299" s="8">
        <v>55000</v>
      </c>
      <c r="O299" s="58">
        <v>5</v>
      </c>
      <c r="P299" s="8">
        <v>574750</v>
      </c>
      <c r="Q299" s="8">
        <v>1</v>
      </c>
      <c r="R299" s="8" t="s">
        <v>88</v>
      </c>
      <c r="S299" s="8" t="s">
        <v>35</v>
      </c>
      <c r="T299" s="8" t="s">
        <v>132</v>
      </c>
      <c r="U299" s="9" t="s">
        <v>1387</v>
      </c>
      <c r="V299" s="8" t="s">
        <v>69</v>
      </c>
    </row>
    <row r="300" spans="1:22" x14ac:dyDescent="0.5">
      <c r="A300" s="3" t="s">
        <v>1388</v>
      </c>
      <c r="B300" s="4" t="s">
        <v>83</v>
      </c>
      <c r="C300" s="4" t="s">
        <v>92</v>
      </c>
      <c r="D300" s="4" t="s">
        <v>308</v>
      </c>
      <c r="E300" s="4" t="s">
        <v>1389</v>
      </c>
      <c r="F300" s="4" t="s">
        <v>180</v>
      </c>
      <c r="G300" s="4" t="s">
        <v>76</v>
      </c>
      <c r="H300" s="4" t="s">
        <v>1390</v>
      </c>
      <c r="I300" s="4" t="s">
        <v>212</v>
      </c>
      <c r="J300" s="4" t="s">
        <v>45</v>
      </c>
      <c r="K300" s="4" t="s">
        <v>32</v>
      </c>
      <c r="L300" s="4" t="s">
        <v>97</v>
      </c>
      <c r="M300" s="4">
        <v>12</v>
      </c>
      <c r="N300" s="4">
        <v>3500</v>
      </c>
      <c r="O300" s="57">
        <v>0</v>
      </c>
      <c r="P300" s="4">
        <v>42000</v>
      </c>
      <c r="Q300" s="4">
        <v>2</v>
      </c>
      <c r="R300" s="4" t="s">
        <v>48</v>
      </c>
      <c r="S300" s="4"/>
      <c r="T300" s="4" t="s">
        <v>89</v>
      </c>
      <c r="U300" s="6" t="s">
        <v>1391</v>
      </c>
      <c r="V300" s="4" t="s">
        <v>64</v>
      </c>
    </row>
    <row r="301" spans="1:22" x14ac:dyDescent="0.5">
      <c r="A301" s="7" t="s">
        <v>1392</v>
      </c>
      <c r="B301" s="8" t="s">
        <v>71</v>
      </c>
      <c r="C301" s="8" t="s">
        <v>259</v>
      </c>
      <c r="D301" s="8" t="s">
        <v>94</v>
      </c>
      <c r="E301" s="8" t="s">
        <v>298</v>
      </c>
      <c r="F301" s="8" t="s">
        <v>217</v>
      </c>
      <c r="G301" s="8" t="s">
        <v>76</v>
      </c>
      <c r="H301" s="8" t="s">
        <v>1393</v>
      </c>
      <c r="I301" s="8" t="s">
        <v>30</v>
      </c>
      <c r="J301" s="8" t="s">
        <v>31</v>
      </c>
      <c r="K301" s="8" t="s">
        <v>122</v>
      </c>
      <c r="L301" s="8" t="s">
        <v>263</v>
      </c>
      <c r="M301" s="8">
        <v>15</v>
      </c>
      <c r="N301" s="8">
        <v>45</v>
      </c>
      <c r="O301" s="58">
        <v>10</v>
      </c>
      <c r="P301" s="8">
        <v>607.5</v>
      </c>
      <c r="Q301" s="8">
        <v>2</v>
      </c>
      <c r="R301" s="8" t="s">
        <v>34</v>
      </c>
      <c r="S301" s="8" t="s">
        <v>151</v>
      </c>
      <c r="T301" s="8" t="s">
        <v>80</v>
      </c>
      <c r="U301" s="9" t="s">
        <v>1394</v>
      </c>
      <c r="V301" s="8" t="s">
        <v>64</v>
      </c>
    </row>
    <row r="302" spans="1:22" x14ac:dyDescent="0.5">
      <c r="A302" s="3" t="s">
        <v>1395</v>
      </c>
      <c r="B302" s="4" t="s">
        <v>327</v>
      </c>
      <c r="C302" s="4" t="s">
        <v>259</v>
      </c>
      <c r="D302" s="4" t="s">
        <v>1320</v>
      </c>
      <c r="E302" s="4" t="s">
        <v>936</v>
      </c>
      <c r="F302" s="4" t="s">
        <v>394</v>
      </c>
      <c r="G302" s="4" t="s">
        <v>76</v>
      </c>
      <c r="H302" s="4" t="s">
        <v>1396</v>
      </c>
      <c r="I302" s="4" t="s">
        <v>59</v>
      </c>
      <c r="J302" s="4" t="s">
        <v>31</v>
      </c>
      <c r="K302" s="4" t="s">
        <v>122</v>
      </c>
      <c r="L302" s="4" t="s">
        <v>263</v>
      </c>
      <c r="M302" s="4">
        <v>13</v>
      </c>
      <c r="N302" s="4">
        <v>45</v>
      </c>
      <c r="O302" s="57">
        <v>0</v>
      </c>
      <c r="P302" s="4">
        <v>585</v>
      </c>
      <c r="Q302" s="4">
        <v>5</v>
      </c>
      <c r="R302" s="4" t="s">
        <v>48</v>
      </c>
      <c r="S302" s="4" t="s">
        <v>49</v>
      </c>
      <c r="T302" s="4" t="s">
        <v>332</v>
      </c>
      <c r="U302" s="6" t="s">
        <v>1397</v>
      </c>
      <c r="V302" s="4" t="s">
        <v>64</v>
      </c>
    </row>
    <row r="303" spans="1:22" x14ac:dyDescent="0.5">
      <c r="A303" s="7" t="s">
        <v>1398</v>
      </c>
      <c r="B303" s="8" t="s">
        <v>127</v>
      </c>
      <c r="C303" s="8" t="s">
        <v>54</v>
      </c>
      <c r="D303" s="8" t="s">
        <v>711</v>
      </c>
      <c r="E303" s="8" t="s">
        <v>1199</v>
      </c>
      <c r="F303" s="8" t="s">
        <v>200</v>
      </c>
      <c r="G303" s="8" t="s">
        <v>76</v>
      </c>
      <c r="H303" s="8" t="s">
        <v>1399</v>
      </c>
      <c r="I303" s="8" t="s">
        <v>59</v>
      </c>
      <c r="J303" s="8" t="s">
        <v>31</v>
      </c>
      <c r="K303" s="8" t="s">
        <v>46</v>
      </c>
      <c r="L303" s="8" t="s">
        <v>60</v>
      </c>
      <c r="M303" s="8">
        <v>8</v>
      </c>
      <c r="N303" s="8">
        <v>55000</v>
      </c>
      <c r="O303" s="58">
        <v>0</v>
      </c>
      <c r="P303" s="8">
        <v>440000</v>
      </c>
      <c r="Q303" s="8">
        <v>2</v>
      </c>
      <c r="R303" s="8" t="s">
        <v>88</v>
      </c>
      <c r="S303" s="8" t="s">
        <v>151</v>
      </c>
      <c r="T303" s="8" t="s">
        <v>132</v>
      </c>
      <c r="U303" s="9" t="s">
        <v>1400</v>
      </c>
      <c r="V303" s="8" t="s">
        <v>69</v>
      </c>
    </row>
    <row r="304" spans="1:22" x14ac:dyDescent="0.5">
      <c r="A304" s="3" t="s">
        <v>1401</v>
      </c>
      <c r="B304" s="4" t="s">
        <v>251</v>
      </c>
      <c r="C304" s="4" t="s">
        <v>54</v>
      </c>
      <c r="D304" s="4" t="s">
        <v>830</v>
      </c>
      <c r="E304" s="4" t="s">
        <v>381</v>
      </c>
      <c r="F304" s="4" t="s">
        <v>254</v>
      </c>
      <c r="G304" s="4" t="s">
        <v>28</v>
      </c>
      <c r="H304" s="4" t="s">
        <v>1402</v>
      </c>
      <c r="I304" s="4" t="s">
        <v>44</v>
      </c>
      <c r="J304" s="4" t="s">
        <v>45</v>
      </c>
      <c r="K304" s="4" t="s">
        <v>46</v>
      </c>
      <c r="L304" s="4" t="s">
        <v>60</v>
      </c>
      <c r="M304" s="4">
        <v>4</v>
      </c>
      <c r="N304" s="4">
        <v>55000</v>
      </c>
      <c r="O304" s="57">
        <v>20</v>
      </c>
      <c r="P304" s="4">
        <v>176000</v>
      </c>
      <c r="Q304" s="4">
        <v>5</v>
      </c>
      <c r="R304" s="4" t="s">
        <v>34</v>
      </c>
      <c r="S304" s="4" t="s">
        <v>49</v>
      </c>
      <c r="T304" s="4" t="s">
        <v>256</v>
      </c>
      <c r="U304" s="6" t="s">
        <v>1403</v>
      </c>
      <c r="V304" s="4" t="s">
        <v>64</v>
      </c>
    </row>
    <row r="305" spans="1:22" x14ac:dyDescent="0.5">
      <c r="A305" s="7" t="s">
        <v>1404</v>
      </c>
      <c r="B305" s="8" t="s">
        <v>23</v>
      </c>
      <c r="C305" s="8" t="s">
        <v>92</v>
      </c>
      <c r="D305" s="8" t="s">
        <v>1405</v>
      </c>
      <c r="E305" s="8" t="s">
        <v>716</v>
      </c>
      <c r="F305" s="8" t="s">
        <v>27</v>
      </c>
      <c r="G305" s="8" t="s">
        <v>28</v>
      </c>
      <c r="H305" s="8" t="s">
        <v>1406</v>
      </c>
      <c r="I305" s="8" t="s">
        <v>138</v>
      </c>
      <c r="J305" s="8" t="s">
        <v>106</v>
      </c>
      <c r="K305" s="8" t="s">
        <v>32</v>
      </c>
      <c r="L305" s="8" t="s">
        <v>97</v>
      </c>
      <c r="M305" s="8">
        <v>19</v>
      </c>
      <c r="N305" s="8">
        <v>3500</v>
      </c>
      <c r="O305" s="58">
        <v>5</v>
      </c>
      <c r="P305" s="8">
        <v>63175</v>
      </c>
      <c r="Q305" s="8">
        <v>1</v>
      </c>
      <c r="R305" s="8" t="s">
        <v>79</v>
      </c>
      <c r="S305" s="8" t="s">
        <v>115</v>
      </c>
      <c r="T305" s="8" t="s">
        <v>50</v>
      </c>
      <c r="U305" s="9" t="s">
        <v>1407</v>
      </c>
      <c r="V305" s="8" t="s">
        <v>38</v>
      </c>
    </row>
    <row r="306" spans="1:22" x14ac:dyDescent="0.5">
      <c r="A306" s="3" t="s">
        <v>1408</v>
      </c>
      <c r="B306" s="4" t="s">
        <v>221</v>
      </c>
      <c r="C306" s="4" t="s">
        <v>72</v>
      </c>
      <c r="D306" s="4" t="s">
        <v>1409</v>
      </c>
      <c r="E306" s="4" t="s">
        <v>414</v>
      </c>
      <c r="F306" s="4" t="s">
        <v>225</v>
      </c>
      <c r="G306" s="4" t="s">
        <v>76</v>
      </c>
      <c r="H306" s="4" t="s">
        <v>1410</v>
      </c>
      <c r="I306" s="4" t="s">
        <v>212</v>
      </c>
      <c r="J306" s="4" t="s">
        <v>45</v>
      </c>
      <c r="K306" s="4" t="s">
        <v>46</v>
      </c>
      <c r="L306" s="4" t="s">
        <v>78</v>
      </c>
      <c r="M306" s="4">
        <v>17</v>
      </c>
      <c r="N306" s="4">
        <v>1200</v>
      </c>
      <c r="O306" s="57">
        <v>15</v>
      </c>
      <c r="P306" s="4">
        <v>17340</v>
      </c>
      <c r="Q306" s="4">
        <v>2</v>
      </c>
      <c r="R306" s="4" t="s">
        <v>48</v>
      </c>
      <c r="S306" s="4" t="s">
        <v>49</v>
      </c>
      <c r="T306" s="4" t="s">
        <v>228</v>
      </c>
      <c r="U306" s="6" t="s">
        <v>1411</v>
      </c>
      <c r="V306" s="4" t="s">
        <v>38</v>
      </c>
    </row>
    <row r="307" spans="1:22" x14ac:dyDescent="0.5">
      <c r="A307" s="7" t="s">
        <v>1412</v>
      </c>
      <c r="B307" s="8" t="s">
        <v>23</v>
      </c>
      <c r="C307" s="8" t="s">
        <v>24</v>
      </c>
      <c r="D307" s="8" t="s">
        <v>450</v>
      </c>
      <c r="E307" s="8" t="s">
        <v>736</v>
      </c>
      <c r="F307" s="8" t="s">
        <v>27</v>
      </c>
      <c r="G307" s="8" t="s">
        <v>28</v>
      </c>
      <c r="H307" s="8" t="s">
        <v>1413</v>
      </c>
      <c r="I307" s="8" t="s">
        <v>30</v>
      </c>
      <c r="J307" s="8" t="s">
        <v>31</v>
      </c>
      <c r="K307" s="8" t="s">
        <v>32</v>
      </c>
      <c r="L307" s="8" t="s">
        <v>33</v>
      </c>
      <c r="M307" s="8">
        <v>8</v>
      </c>
      <c r="N307" s="8">
        <v>2200</v>
      </c>
      <c r="O307" s="58">
        <v>5</v>
      </c>
      <c r="P307" s="8">
        <v>16720</v>
      </c>
      <c r="Q307" s="8">
        <v>3</v>
      </c>
      <c r="R307" s="8" t="s">
        <v>79</v>
      </c>
      <c r="S307" s="8" t="s">
        <v>115</v>
      </c>
      <c r="T307" s="8" t="s">
        <v>50</v>
      </c>
      <c r="U307" s="9" t="s">
        <v>1414</v>
      </c>
      <c r="V307" s="8" t="s">
        <v>64</v>
      </c>
    </row>
    <row r="308" spans="1:22" x14ac:dyDescent="0.5">
      <c r="A308" s="3" t="s">
        <v>1415</v>
      </c>
      <c r="B308" s="4" t="s">
        <v>251</v>
      </c>
      <c r="C308" s="4" t="s">
        <v>184</v>
      </c>
      <c r="D308" s="4" t="s">
        <v>987</v>
      </c>
      <c r="E308" s="4" t="s">
        <v>387</v>
      </c>
      <c r="F308" s="4" t="s">
        <v>254</v>
      </c>
      <c r="G308" s="4" t="s">
        <v>28</v>
      </c>
      <c r="H308" s="4" t="s">
        <v>813</v>
      </c>
      <c r="I308" s="4" t="s">
        <v>105</v>
      </c>
      <c r="J308" s="4" t="s">
        <v>106</v>
      </c>
      <c r="K308" s="4" t="s">
        <v>46</v>
      </c>
      <c r="L308" s="4" t="s">
        <v>189</v>
      </c>
      <c r="M308" s="4">
        <v>17</v>
      </c>
      <c r="N308" s="4">
        <v>700</v>
      </c>
      <c r="O308" s="57">
        <v>20</v>
      </c>
      <c r="P308" s="4">
        <v>9520</v>
      </c>
      <c r="Q308" s="4">
        <v>4</v>
      </c>
      <c r="R308" s="4" t="s">
        <v>48</v>
      </c>
      <c r="S308" s="4" t="s">
        <v>115</v>
      </c>
      <c r="T308" s="4" t="s">
        <v>256</v>
      </c>
      <c r="U308" s="6" t="s">
        <v>1416</v>
      </c>
      <c r="V308" s="4" t="s">
        <v>38</v>
      </c>
    </row>
    <row r="309" spans="1:22" x14ac:dyDescent="0.5">
      <c r="A309" s="7" t="s">
        <v>1417</v>
      </c>
      <c r="B309" s="8" t="s">
        <v>251</v>
      </c>
      <c r="C309" s="8" t="s">
        <v>169</v>
      </c>
      <c r="D309" s="8" t="s">
        <v>372</v>
      </c>
      <c r="E309" s="8" t="s">
        <v>246</v>
      </c>
      <c r="F309" s="8" t="s">
        <v>254</v>
      </c>
      <c r="G309" s="8" t="s">
        <v>28</v>
      </c>
      <c r="H309" s="8" t="s">
        <v>1215</v>
      </c>
      <c r="I309" s="8" t="s">
        <v>114</v>
      </c>
      <c r="J309" s="8" t="s">
        <v>106</v>
      </c>
      <c r="K309" s="8" t="s">
        <v>32</v>
      </c>
      <c r="L309" s="8" t="s">
        <v>174</v>
      </c>
      <c r="M309" s="8">
        <v>6</v>
      </c>
      <c r="N309" s="8">
        <v>8500</v>
      </c>
      <c r="O309" s="58">
        <v>15</v>
      </c>
      <c r="P309" s="8">
        <v>43350</v>
      </c>
      <c r="Q309" s="8">
        <v>1</v>
      </c>
      <c r="R309" s="8" t="s">
        <v>34</v>
      </c>
      <c r="S309" s="8" t="s">
        <v>61</v>
      </c>
      <c r="T309" s="8" t="s">
        <v>256</v>
      </c>
      <c r="U309" s="9" t="s">
        <v>1418</v>
      </c>
      <c r="V309" s="8" t="s">
        <v>38</v>
      </c>
    </row>
    <row r="310" spans="1:22" x14ac:dyDescent="0.5">
      <c r="A310" s="3" t="s">
        <v>1419</v>
      </c>
      <c r="B310" s="4" t="s">
        <v>53</v>
      </c>
      <c r="C310" s="4" t="s">
        <v>92</v>
      </c>
      <c r="D310" s="4" t="s">
        <v>941</v>
      </c>
      <c r="E310" s="4" t="s">
        <v>345</v>
      </c>
      <c r="F310" s="4" t="s">
        <v>163</v>
      </c>
      <c r="G310" s="4" t="s">
        <v>28</v>
      </c>
      <c r="H310" s="4" t="s">
        <v>1420</v>
      </c>
      <c r="I310" s="4" t="s">
        <v>30</v>
      </c>
      <c r="J310" s="4" t="s">
        <v>31</v>
      </c>
      <c r="K310" s="4" t="s">
        <v>32</v>
      </c>
      <c r="L310" s="4" t="s">
        <v>97</v>
      </c>
      <c r="M310" s="4">
        <v>3</v>
      </c>
      <c r="N310" s="4">
        <v>3500</v>
      </c>
      <c r="O310" s="57">
        <v>10</v>
      </c>
      <c r="P310" s="4">
        <v>9450</v>
      </c>
      <c r="Q310" s="4">
        <v>1</v>
      </c>
      <c r="R310" s="4" t="s">
        <v>48</v>
      </c>
      <c r="S310" s="4" t="s">
        <v>49</v>
      </c>
      <c r="T310" s="4" t="s">
        <v>62</v>
      </c>
      <c r="U310" s="6" t="s">
        <v>1421</v>
      </c>
      <c r="V310" s="4" t="s">
        <v>38</v>
      </c>
    </row>
    <row r="311" spans="1:22" x14ac:dyDescent="0.5">
      <c r="A311" s="7" t="s">
        <v>1422</v>
      </c>
      <c r="B311" s="8" t="s">
        <v>71</v>
      </c>
      <c r="C311" s="8" t="s">
        <v>40</v>
      </c>
      <c r="D311" s="8" t="s">
        <v>1378</v>
      </c>
      <c r="E311" s="8" t="s">
        <v>783</v>
      </c>
      <c r="F311" s="8" t="s">
        <v>217</v>
      </c>
      <c r="G311" s="8" t="s">
        <v>76</v>
      </c>
      <c r="H311" s="8" t="s">
        <v>1423</v>
      </c>
      <c r="I311" s="8" t="s">
        <v>138</v>
      </c>
      <c r="J311" s="8" t="s">
        <v>106</v>
      </c>
      <c r="K311" s="8" t="s">
        <v>46</v>
      </c>
      <c r="L311" s="8" t="s">
        <v>47</v>
      </c>
      <c r="M311" s="8">
        <v>2</v>
      </c>
      <c r="N311" s="8">
        <v>12000</v>
      </c>
      <c r="O311" s="58">
        <v>20</v>
      </c>
      <c r="P311" s="8">
        <v>19200</v>
      </c>
      <c r="Q311" s="8">
        <v>1</v>
      </c>
      <c r="R311" s="8" t="s">
        <v>79</v>
      </c>
      <c r="S311" s="8" t="s">
        <v>61</v>
      </c>
      <c r="T311" s="8" t="s">
        <v>80</v>
      </c>
      <c r="U311" s="9" t="s">
        <v>1424</v>
      </c>
      <c r="V311" s="8" t="s">
        <v>38</v>
      </c>
    </row>
    <row r="312" spans="1:22" x14ac:dyDescent="0.5">
      <c r="A312" s="3" t="s">
        <v>1425</v>
      </c>
      <c r="B312" s="4" t="s">
        <v>221</v>
      </c>
      <c r="C312" s="4" t="s">
        <v>222</v>
      </c>
      <c r="D312" s="4" t="s">
        <v>340</v>
      </c>
      <c r="E312" s="4" t="s">
        <v>1426</v>
      </c>
      <c r="F312" s="4" t="s">
        <v>225</v>
      </c>
      <c r="G312" s="4" t="s">
        <v>76</v>
      </c>
      <c r="H312" s="4" t="s">
        <v>1427</v>
      </c>
      <c r="I312" s="4" t="s">
        <v>44</v>
      </c>
      <c r="J312" s="4" t="s">
        <v>45</v>
      </c>
      <c r="K312" s="4" t="s">
        <v>122</v>
      </c>
      <c r="L312" s="4" t="s">
        <v>227</v>
      </c>
      <c r="M312" s="4">
        <v>12</v>
      </c>
      <c r="N312" s="4">
        <v>20</v>
      </c>
      <c r="O312" s="57">
        <v>20</v>
      </c>
      <c r="P312" s="4">
        <v>192</v>
      </c>
      <c r="Q312" s="4">
        <v>2</v>
      </c>
      <c r="R312" s="4" t="s">
        <v>79</v>
      </c>
      <c r="S312" s="4" t="s">
        <v>49</v>
      </c>
      <c r="T312" s="4" t="s">
        <v>228</v>
      </c>
      <c r="U312" s="6" t="s">
        <v>1428</v>
      </c>
      <c r="V312" s="4" t="s">
        <v>38</v>
      </c>
    </row>
    <row r="313" spans="1:22" x14ac:dyDescent="0.5">
      <c r="A313" s="7" t="s">
        <v>1429</v>
      </c>
      <c r="B313" s="8" t="s">
        <v>100</v>
      </c>
      <c r="C313" s="8" t="s">
        <v>40</v>
      </c>
      <c r="D313" s="8" t="s">
        <v>716</v>
      </c>
      <c r="E313" s="8" t="s">
        <v>1430</v>
      </c>
      <c r="F313" s="8" t="s">
        <v>103</v>
      </c>
      <c r="G313" s="8" t="s">
        <v>28</v>
      </c>
      <c r="H313" s="8" t="s">
        <v>1431</v>
      </c>
      <c r="I313" s="8" t="s">
        <v>294</v>
      </c>
      <c r="J313" s="8" t="s">
        <v>295</v>
      </c>
      <c r="K313" s="8" t="s">
        <v>46</v>
      </c>
      <c r="L313" s="8" t="s">
        <v>47</v>
      </c>
      <c r="M313" s="8">
        <v>20</v>
      </c>
      <c r="N313" s="8">
        <v>12000</v>
      </c>
      <c r="O313" s="58">
        <v>15</v>
      </c>
      <c r="P313" s="8">
        <v>204000</v>
      </c>
      <c r="Q313" s="8">
        <v>3</v>
      </c>
      <c r="R313" s="8" t="s">
        <v>34</v>
      </c>
      <c r="S313" s="8" t="s">
        <v>35</v>
      </c>
      <c r="T313" s="8" t="s">
        <v>144</v>
      </c>
      <c r="U313" s="9" t="s">
        <v>1432</v>
      </c>
      <c r="V313" s="8" t="s">
        <v>64</v>
      </c>
    </row>
    <row r="314" spans="1:22" x14ac:dyDescent="0.5">
      <c r="A314" s="3" t="s">
        <v>1433</v>
      </c>
      <c r="B314" s="4" t="s">
        <v>53</v>
      </c>
      <c r="C314" s="4" t="s">
        <v>118</v>
      </c>
      <c r="D314" s="4" t="s">
        <v>398</v>
      </c>
      <c r="E314" s="4" t="s">
        <v>740</v>
      </c>
      <c r="F314" s="4" t="s">
        <v>163</v>
      </c>
      <c r="G314" s="4" t="s">
        <v>28</v>
      </c>
      <c r="H314" s="4" t="s">
        <v>1434</v>
      </c>
      <c r="I314" s="4" t="s">
        <v>212</v>
      </c>
      <c r="J314" s="4" t="s">
        <v>45</v>
      </c>
      <c r="K314" s="4" t="s">
        <v>122</v>
      </c>
      <c r="L314" s="4" t="s">
        <v>123</v>
      </c>
      <c r="M314" s="4">
        <v>13</v>
      </c>
      <c r="N314" s="4">
        <v>60</v>
      </c>
      <c r="O314" s="57">
        <v>10</v>
      </c>
      <c r="P314" s="4">
        <v>702</v>
      </c>
      <c r="Q314" s="4">
        <v>5</v>
      </c>
      <c r="R314" s="4" t="s">
        <v>34</v>
      </c>
      <c r="S314" s="4" t="s">
        <v>35</v>
      </c>
      <c r="T314" s="4" t="s">
        <v>62</v>
      </c>
      <c r="U314" s="6" t="s">
        <v>1435</v>
      </c>
      <c r="V314" s="4" t="s">
        <v>64</v>
      </c>
    </row>
    <row r="315" spans="1:22" x14ac:dyDescent="0.5">
      <c r="A315" s="7" t="s">
        <v>1436</v>
      </c>
      <c r="B315" s="8" t="s">
        <v>71</v>
      </c>
      <c r="C315" s="8" t="s">
        <v>54</v>
      </c>
      <c r="D315" s="8" t="s">
        <v>1437</v>
      </c>
      <c r="E315" s="8" t="s">
        <v>1294</v>
      </c>
      <c r="F315" s="8" t="s">
        <v>217</v>
      </c>
      <c r="G315" s="8" t="s">
        <v>76</v>
      </c>
      <c r="H315" s="8" t="s">
        <v>1438</v>
      </c>
      <c r="I315" s="8" t="s">
        <v>114</v>
      </c>
      <c r="J315" s="8" t="s">
        <v>106</v>
      </c>
      <c r="K315" s="8" t="s">
        <v>46</v>
      </c>
      <c r="L315" s="8" t="s">
        <v>60</v>
      </c>
      <c r="M315" s="8">
        <v>13</v>
      </c>
      <c r="N315" s="8">
        <v>55000</v>
      </c>
      <c r="O315" s="58">
        <v>5</v>
      </c>
      <c r="P315" s="8">
        <v>679250</v>
      </c>
      <c r="Q315" s="8">
        <v>1</v>
      </c>
      <c r="R315" s="8" t="s">
        <v>88</v>
      </c>
      <c r="S315" s="8" t="s">
        <v>151</v>
      </c>
      <c r="T315" s="8" t="s">
        <v>80</v>
      </c>
      <c r="U315" s="9" t="s">
        <v>1439</v>
      </c>
      <c r="V315" s="8" t="s">
        <v>64</v>
      </c>
    </row>
    <row r="316" spans="1:22" x14ac:dyDescent="0.5">
      <c r="A316" s="3" t="s">
        <v>1440</v>
      </c>
      <c r="B316" s="4" t="s">
        <v>100</v>
      </c>
      <c r="C316" s="4" t="s">
        <v>72</v>
      </c>
      <c r="D316" s="4" t="s">
        <v>797</v>
      </c>
      <c r="E316" s="4" t="s">
        <v>798</v>
      </c>
      <c r="F316" s="4" t="s">
        <v>103</v>
      </c>
      <c r="G316" s="4" t="s">
        <v>28</v>
      </c>
      <c r="H316" s="4" t="s">
        <v>1441</v>
      </c>
      <c r="I316" s="4" t="s">
        <v>59</v>
      </c>
      <c r="J316" s="4" t="s">
        <v>31</v>
      </c>
      <c r="K316" s="4" t="s">
        <v>46</v>
      </c>
      <c r="L316" s="4" t="s">
        <v>78</v>
      </c>
      <c r="M316" s="4">
        <v>7</v>
      </c>
      <c r="N316" s="4">
        <v>1200</v>
      </c>
      <c r="O316" s="57">
        <v>15</v>
      </c>
      <c r="P316" s="4">
        <v>7140</v>
      </c>
      <c r="Q316" s="4">
        <v>5</v>
      </c>
      <c r="R316" s="4" t="s">
        <v>88</v>
      </c>
      <c r="S316" s="4" t="s">
        <v>49</v>
      </c>
      <c r="T316" s="4" t="s">
        <v>144</v>
      </c>
      <c r="U316" s="6" t="s">
        <v>1442</v>
      </c>
      <c r="V316" s="4" t="s">
        <v>64</v>
      </c>
    </row>
    <row r="317" spans="1:22" x14ac:dyDescent="0.5">
      <c r="A317" s="7" t="s">
        <v>1443</v>
      </c>
      <c r="B317" s="8" t="s">
        <v>83</v>
      </c>
      <c r="C317" s="8" t="s">
        <v>40</v>
      </c>
      <c r="D317" s="8" t="s">
        <v>961</v>
      </c>
      <c r="E317" s="8" t="s">
        <v>1444</v>
      </c>
      <c r="F317" s="8" t="s">
        <v>180</v>
      </c>
      <c r="G317" s="8" t="s">
        <v>76</v>
      </c>
      <c r="H317" s="8" t="s">
        <v>1445</v>
      </c>
      <c r="I317" s="8" t="s">
        <v>212</v>
      </c>
      <c r="J317" s="8" t="s">
        <v>45</v>
      </c>
      <c r="K317" s="8" t="s">
        <v>46</v>
      </c>
      <c r="L317" s="8" t="s">
        <v>47</v>
      </c>
      <c r="M317" s="8">
        <v>17</v>
      </c>
      <c r="N317" s="8">
        <v>12000</v>
      </c>
      <c r="O317" s="58">
        <v>5</v>
      </c>
      <c r="P317" s="8">
        <v>193800</v>
      </c>
      <c r="Q317" s="8">
        <v>1</v>
      </c>
      <c r="R317" s="8" t="s">
        <v>34</v>
      </c>
      <c r="S317" s="8" t="s">
        <v>61</v>
      </c>
      <c r="T317" s="8" t="s">
        <v>89</v>
      </c>
      <c r="U317" s="9" t="s">
        <v>1446</v>
      </c>
      <c r="V317" s="8" t="s">
        <v>69</v>
      </c>
    </row>
    <row r="318" spans="1:22" x14ac:dyDescent="0.5">
      <c r="A318" s="3" t="s">
        <v>1447</v>
      </c>
      <c r="B318" s="4" t="s">
        <v>83</v>
      </c>
      <c r="C318" s="4" t="s">
        <v>222</v>
      </c>
      <c r="D318" s="4" t="s">
        <v>356</v>
      </c>
      <c r="E318" s="4" t="s">
        <v>517</v>
      </c>
      <c r="F318" s="4" t="s">
        <v>180</v>
      </c>
      <c r="G318" s="4" t="s">
        <v>76</v>
      </c>
      <c r="H318" s="4" t="s">
        <v>1448</v>
      </c>
      <c r="I318" s="4" t="s">
        <v>59</v>
      </c>
      <c r="J318" s="4" t="s">
        <v>31</v>
      </c>
      <c r="K318" s="4" t="s">
        <v>122</v>
      </c>
      <c r="L318" s="4" t="s">
        <v>227</v>
      </c>
      <c r="M318" s="4">
        <v>10</v>
      </c>
      <c r="N318" s="4">
        <v>20</v>
      </c>
      <c r="O318" s="57">
        <v>5</v>
      </c>
      <c r="P318" s="4">
        <v>190</v>
      </c>
      <c r="Q318" s="4">
        <v>2</v>
      </c>
      <c r="R318" s="4" t="s">
        <v>34</v>
      </c>
      <c r="S318" s="4" t="s">
        <v>61</v>
      </c>
      <c r="T318" s="4" t="s">
        <v>89</v>
      </c>
      <c r="U318" s="6" t="s">
        <v>1449</v>
      </c>
      <c r="V318" s="4" t="s">
        <v>69</v>
      </c>
    </row>
    <row r="319" spans="1:22" x14ac:dyDescent="0.5">
      <c r="A319" s="7" t="s">
        <v>1450</v>
      </c>
      <c r="B319" s="8" t="s">
        <v>168</v>
      </c>
      <c r="C319" s="8" t="s">
        <v>24</v>
      </c>
      <c r="D319" s="8" t="s">
        <v>291</v>
      </c>
      <c r="E319" s="8" t="s">
        <v>1451</v>
      </c>
      <c r="F319" s="8" t="s">
        <v>361</v>
      </c>
      <c r="G319" s="8" t="s">
        <v>28</v>
      </c>
      <c r="H319" s="8" t="s">
        <v>1452</v>
      </c>
      <c r="I319" s="8" t="s">
        <v>44</v>
      </c>
      <c r="J319" s="8" t="s">
        <v>45</v>
      </c>
      <c r="K319" s="8" t="s">
        <v>32</v>
      </c>
      <c r="L319" s="8" t="s">
        <v>33</v>
      </c>
      <c r="M319" s="8">
        <v>11</v>
      </c>
      <c r="N319" s="8">
        <v>2200</v>
      </c>
      <c r="O319" s="58">
        <v>5</v>
      </c>
      <c r="P319" s="8">
        <v>22990</v>
      </c>
      <c r="Q319" s="8">
        <v>5</v>
      </c>
      <c r="R319" s="8" t="s">
        <v>79</v>
      </c>
      <c r="S319" s="8" t="s">
        <v>49</v>
      </c>
      <c r="T319" s="8" t="s">
        <v>175</v>
      </c>
      <c r="U319" s="9" t="s">
        <v>1453</v>
      </c>
      <c r="V319" s="8" t="s">
        <v>64</v>
      </c>
    </row>
    <row r="320" spans="1:22" x14ac:dyDescent="0.5">
      <c r="A320" s="3" t="s">
        <v>1454</v>
      </c>
      <c r="B320" s="4" t="s">
        <v>100</v>
      </c>
      <c r="C320" s="4" t="s">
        <v>118</v>
      </c>
      <c r="D320" s="4" t="s">
        <v>1369</v>
      </c>
      <c r="E320" s="4" t="s">
        <v>178</v>
      </c>
      <c r="F320" s="4" t="s">
        <v>103</v>
      </c>
      <c r="G320" s="4" t="s">
        <v>28</v>
      </c>
      <c r="H320" s="4" t="s">
        <v>1455</v>
      </c>
      <c r="I320" s="4" t="s">
        <v>212</v>
      </c>
      <c r="J320" s="4" t="s">
        <v>45</v>
      </c>
      <c r="K320" s="4" t="s">
        <v>122</v>
      </c>
      <c r="L320" s="4" t="s">
        <v>123</v>
      </c>
      <c r="M320" s="4">
        <v>8</v>
      </c>
      <c r="N320" s="4">
        <v>60</v>
      </c>
      <c r="O320" s="57">
        <v>15</v>
      </c>
      <c r="P320" s="4">
        <v>408</v>
      </c>
      <c r="Q320" s="4">
        <v>4</v>
      </c>
      <c r="R320" s="4" t="s">
        <v>34</v>
      </c>
      <c r="S320" s="4" t="s">
        <v>49</v>
      </c>
      <c r="T320" s="4" t="s">
        <v>144</v>
      </c>
      <c r="U320" s="6" t="s">
        <v>1456</v>
      </c>
      <c r="V320" s="4" t="s">
        <v>64</v>
      </c>
    </row>
    <row r="321" spans="1:22" x14ac:dyDescent="0.5">
      <c r="A321" s="7" t="s">
        <v>1457</v>
      </c>
      <c r="B321" s="8" t="s">
        <v>221</v>
      </c>
      <c r="C321" s="8" t="s">
        <v>259</v>
      </c>
      <c r="D321" s="8" t="s">
        <v>825</v>
      </c>
      <c r="E321" s="8" t="s">
        <v>119</v>
      </c>
      <c r="F321" s="8" t="s">
        <v>225</v>
      </c>
      <c r="G321" s="8" t="s">
        <v>76</v>
      </c>
      <c r="H321" s="8" t="s">
        <v>1458</v>
      </c>
      <c r="I321" s="8" t="s">
        <v>44</v>
      </c>
      <c r="J321" s="8" t="s">
        <v>45</v>
      </c>
      <c r="K321" s="8" t="s">
        <v>122</v>
      </c>
      <c r="L321" s="8" t="s">
        <v>263</v>
      </c>
      <c r="M321" s="8">
        <v>17</v>
      </c>
      <c r="N321" s="8">
        <v>45</v>
      </c>
      <c r="O321" s="58">
        <v>15</v>
      </c>
      <c r="P321" s="8">
        <v>650.25</v>
      </c>
      <c r="Q321" s="8">
        <v>2</v>
      </c>
      <c r="R321" s="8" t="s">
        <v>88</v>
      </c>
      <c r="S321" s="8" t="s">
        <v>151</v>
      </c>
      <c r="T321" s="8" t="s">
        <v>228</v>
      </c>
      <c r="U321" s="9" t="s">
        <v>1459</v>
      </c>
      <c r="V321" s="8" t="s">
        <v>38</v>
      </c>
    </row>
    <row r="322" spans="1:22" x14ac:dyDescent="0.5">
      <c r="A322" s="3" t="s">
        <v>1460</v>
      </c>
      <c r="B322" s="4" t="s">
        <v>327</v>
      </c>
      <c r="C322" s="4" t="s">
        <v>184</v>
      </c>
      <c r="D322" s="4" t="s">
        <v>632</v>
      </c>
      <c r="E322" s="4" t="s">
        <v>1461</v>
      </c>
      <c r="F322" s="4" t="s">
        <v>394</v>
      </c>
      <c r="G322" s="4" t="s">
        <v>76</v>
      </c>
      <c r="H322" s="4" t="s">
        <v>1462</v>
      </c>
      <c r="I322" s="4" t="s">
        <v>212</v>
      </c>
      <c r="J322" s="4" t="s">
        <v>45</v>
      </c>
      <c r="K322" s="4" t="s">
        <v>46</v>
      </c>
      <c r="L322" s="4" t="s">
        <v>189</v>
      </c>
      <c r="M322" s="4">
        <v>14</v>
      </c>
      <c r="N322" s="4">
        <v>700</v>
      </c>
      <c r="O322" s="57">
        <v>15</v>
      </c>
      <c r="P322" s="4">
        <v>8330</v>
      </c>
      <c r="Q322" s="4">
        <v>1</v>
      </c>
      <c r="R322" s="4" t="s">
        <v>79</v>
      </c>
      <c r="S322" s="4" t="s">
        <v>115</v>
      </c>
      <c r="T322" s="4" t="s">
        <v>332</v>
      </c>
      <c r="U322" s="6" t="s">
        <v>1463</v>
      </c>
      <c r="V322" s="4" t="s">
        <v>38</v>
      </c>
    </row>
    <row r="323" spans="1:22" x14ac:dyDescent="0.5">
      <c r="A323" s="7" t="s">
        <v>1464</v>
      </c>
      <c r="B323" s="8" t="s">
        <v>83</v>
      </c>
      <c r="C323" s="8" t="s">
        <v>72</v>
      </c>
      <c r="D323" s="8" t="s">
        <v>1465</v>
      </c>
      <c r="E323" s="8" t="s">
        <v>948</v>
      </c>
      <c r="F323" s="8" t="s">
        <v>180</v>
      </c>
      <c r="G323" s="8" t="s">
        <v>76</v>
      </c>
      <c r="H323" s="8" t="s">
        <v>1466</v>
      </c>
      <c r="I323" s="8" t="s">
        <v>114</v>
      </c>
      <c r="J323" s="8" t="s">
        <v>106</v>
      </c>
      <c r="K323" s="8" t="s">
        <v>46</v>
      </c>
      <c r="L323" s="8" t="s">
        <v>78</v>
      </c>
      <c r="M323" s="8">
        <v>3</v>
      </c>
      <c r="N323" s="8">
        <v>1200</v>
      </c>
      <c r="O323" s="58">
        <v>5</v>
      </c>
      <c r="P323" s="8">
        <v>3420</v>
      </c>
      <c r="Q323" s="8">
        <v>3</v>
      </c>
      <c r="R323" s="8" t="s">
        <v>48</v>
      </c>
      <c r="S323" s="8" t="s">
        <v>151</v>
      </c>
      <c r="T323" s="8" t="s">
        <v>89</v>
      </c>
      <c r="U323" s="9" t="s">
        <v>1467</v>
      </c>
      <c r="V323" s="8" t="s">
        <v>38</v>
      </c>
    </row>
    <row r="324" spans="1:22" x14ac:dyDescent="0.5">
      <c r="A324" s="3" t="s">
        <v>1468</v>
      </c>
      <c r="B324" s="4" t="s">
        <v>23</v>
      </c>
      <c r="C324" s="4" t="s">
        <v>72</v>
      </c>
      <c r="D324" s="4" t="s">
        <v>489</v>
      </c>
      <c r="E324" s="4" t="s">
        <v>914</v>
      </c>
      <c r="F324" s="4" t="s">
        <v>27</v>
      </c>
      <c r="G324" s="4" t="s">
        <v>28</v>
      </c>
      <c r="H324" s="4" t="s">
        <v>1469</v>
      </c>
      <c r="I324" s="4" t="s">
        <v>138</v>
      </c>
      <c r="J324" s="4" t="s">
        <v>106</v>
      </c>
      <c r="K324" s="4" t="s">
        <v>46</v>
      </c>
      <c r="L324" s="4" t="s">
        <v>78</v>
      </c>
      <c r="M324" s="4">
        <v>9</v>
      </c>
      <c r="N324" s="4">
        <v>1200</v>
      </c>
      <c r="O324" s="57">
        <v>15</v>
      </c>
      <c r="P324" s="4">
        <v>9180</v>
      </c>
      <c r="Q324" s="4">
        <v>3</v>
      </c>
      <c r="R324" s="4" t="s">
        <v>34</v>
      </c>
      <c r="S324" s="4" t="s">
        <v>49</v>
      </c>
      <c r="T324" s="4" t="s">
        <v>50</v>
      </c>
      <c r="U324" s="6" t="s">
        <v>1470</v>
      </c>
      <c r="V324" s="4" t="s">
        <v>38</v>
      </c>
    </row>
    <row r="325" spans="1:22" x14ac:dyDescent="0.5">
      <c r="A325" s="7" t="s">
        <v>1471</v>
      </c>
      <c r="B325" s="8" t="s">
        <v>251</v>
      </c>
      <c r="C325" s="8" t="s">
        <v>222</v>
      </c>
      <c r="D325" s="8" t="s">
        <v>224</v>
      </c>
      <c r="E325" s="8" t="s">
        <v>360</v>
      </c>
      <c r="F325" s="8" t="s">
        <v>254</v>
      </c>
      <c r="G325" s="8" t="s">
        <v>28</v>
      </c>
      <c r="H325" s="8" t="s">
        <v>1472</v>
      </c>
      <c r="I325" s="8" t="s">
        <v>105</v>
      </c>
      <c r="J325" s="8" t="s">
        <v>106</v>
      </c>
      <c r="K325" s="8" t="s">
        <v>122</v>
      </c>
      <c r="L325" s="8" t="s">
        <v>227</v>
      </c>
      <c r="M325" s="8">
        <v>5</v>
      </c>
      <c r="N325" s="8">
        <v>20</v>
      </c>
      <c r="O325" s="58">
        <v>5</v>
      </c>
      <c r="P325" s="8">
        <v>95</v>
      </c>
      <c r="Q325" s="8">
        <v>4</v>
      </c>
      <c r="R325" s="8" t="s">
        <v>34</v>
      </c>
      <c r="S325" s="8" t="s">
        <v>151</v>
      </c>
      <c r="T325" s="8" t="s">
        <v>256</v>
      </c>
      <c r="U325" s="9" t="s">
        <v>1473</v>
      </c>
      <c r="V325" s="8" t="s">
        <v>38</v>
      </c>
    </row>
    <row r="326" spans="1:22" x14ac:dyDescent="0.5">
      <c r="A326" s="3" t="s">
        <v>1474</v>
      </c>
      <c r="B326" s="4" t="s">
        <v>251</v>
      </c>
      <c r="C326" s="4" t="s">
        <v>24</v>
      </c>
      <c r="D326" s="4" t="s">
        <v>1475</v>
      </c>
      <c r="E326" s="4" t="s">
        <v>1476</v>
      </c>
      <c r="F326" s="4" t="s">
        <v>254</v>
      </c>
      <c r="G326" s="4" t="s">
        <v>28</v>
      </c>
      <c r="H326" s="4" t="s">
        <v>1477</v>
      </c>
      <c r="I326" s="4" t="s">
        <v>138</v>
      </c>
      <c r="J326" s="4" t="s">
        <v>106</v>
      </c>
      <c r="K326" s="4" t="s">
        <v>32</v>
      </c>
      <c r="L326" s="4" t="s">
        <v>33</v>
      </c>
      <c r="M326" s="4">
        <v>8</v>
      </c>
      <c r="N326" s="4">
        <v>2200</v>
      </c>
      <c r="O326" s="57">
        <v>10</v>
      </c>
      <c r="P326" s="4">
        <v>15840</v>
      </c>
      <c r="Q326" s="4">
        <v>4</v>
      </c>
      <c r="R326" s="4" t="s">
        <v>88</v>
      </c>
      <c r="S326" s="4" t="s">
        <v>61</v>
      </c>
      <c r="T326" s="4" t="s">
        <v>256</v>
      </c>
      <c r="U326" s="6" t="s">
        <v>1478</v>
      </c>
      <c r="V326" s="4" t="s">
        <v>69</v>
      </c>
    </row>
    <row r="327" spans="1:22" x14ac:dyDescent="0.5">
      <c r="A327" s="7" t="s">
        <v>1479</v>
      </c>
      <c r="B327" s="8" t="s">
        <v>251</v>
      </c>
      <c r="C327" s="8" t="s">
        <v>184</v>
      </c>
      <c r="D327" s="8" t="s">
        <v>298</v>
      </c>
      <c r="E327" s="8" t="s">
        <v>1480</v>
      </c>
      <c r="F327" s="8" t="s">
        <v>254</v>
      </c>
      <c r="G327" s="8" t="s">
        <v>28</v>
      </c>
      <c r="H327" s="8" t="s">
        <v>1481</v>
      </c>
      <c r="I327" s="8" t="s">
        <v>105</v>
      </c>
      <c r="J327" s="8" t="s">
        <v>106</v>
      </c>
      <c r="K327" s="8" t="s">
        <v>46</v>
      </c>
      <c r="L327" s="8" t="s">
        <v>189</v>
      </c>
      <c r="M327" s="8">
        <v>10</v>
      </c>
      <c r="N327" s="8">
        <v>700</v>
      </c>
      <c r="O327" s="58">
        <v>20</v>
      </c>
      <c r="P327" s="8">
        <v>5600</v>
      </c>
      <c r="Q327" s="8">
        <v>1</v>
      </c>
      <c r="R327" s="8" t="s">
        <v>88</v>
      </c>
      <c r="S327" s="8" t="s">
        <v>115</v>
      </c>
      <c r="T327" s="8" t="s">
        <v>256</v>
      </c>
      <c r="U327" s="9" t="s">
        <v>1482</v>
      </c>
      <c r="V327" s="8" t="s">
        <v>38</v>
      </c>
    </row>
    <row r="328" spans="1:22" x14ac:dyDescent="0.5">
      <c r="A328" s="3" t="s">
        <v>1483</v>
      </c>
      <c r="B328" s="4" t="s">
        <v>83</v>
      </c>
      <c r="C328" s="4" t="s">
        <v>184</v>
      </c>
      <c r="D328" s="4" t="s">
        <v>1484</v>
      </c>
      <c r="E328" s="4" t="s">
        <v>1485</v>
      </c>
      <c r="F328" s="4" t="s">
        <v>180</v>
      </c>
      <c r="G328" s="4" t="s">
        <v>76</v>
      </c>
      <c r="H328" s="4" t="s">
        <v>1486</v>
      </c>
      <c r="I328" s="4" t="s">
        <v>59</v>
      </c>
      <c r="J328" s="4" t="s">
        <v>31</v>
      </c>
      <c r="K328" s="4" t="s">
        <v>46</v>
      </c>
      <c r="L328" s="4" t="s">
        <v>189</v>
      </c>
      <c r="M328" s="4">
        <v>2</v>
      </c>
      <c r="N328" s="4">
        <v>700</v>
      </c>
      <c r="O328" s="57">
        <v>20</v>
      </c>
      <c r="P328" s="4">
        <v>1120</v>
      </c>
      <c r="Q328" s="4">
        <v>2</v>
      </c>
      <c r="R328" s="4" t="s">
        <v>34</v>
      </c>
      <c r="S328" s="4" t="s">
        <v>115</v>
      </c>
      <c r="T328" s="4" t="s">
        <v>89</v>
      </c>
      <c r="U328" s="6" t="s">
        <v>1487</v>
      </c>
      <c r="V328" s="4" t="s">
        <v>64</v>
      </c>
    </row>
    <row r="329" spans="1:22" x14ac:dyDescent="0.5">
      <c r="A329" s="7" t="s">
        <v>1488</v>
      </c>
      <c r="B329" s="8" t="s">
        <v>221</v>
      </c>
      <c r="C329" s="8" t="s">
        <v>92</v>
      </c>
      <c r="D329" s="8" t="s">
        <v>872</v>
      </c>
      <c r="E329" s="8" t="s">
        <v>965</v>
      </c>
      <c r="F329" s="8" t="s">
        <v>225</v>
      </c>
      <c r="G329" s="8" t="s">
        <v>76</v>
      </c>
      <c r="H329" s="8" t="s">
        <v>1489</v>
      </c>
      <c r="I329" s="8" t="s">
        <v>114</v>
      </c>
      <c r="J329" s="8" t="s">
        <v>106</v>
      </c>
      <c r="K329" s="8" t="s">
        <v>32</v>
      </c>
      <c r="L329" s="8" t="s">
        <v>97</v>
      </c>
      <c r="M329" s="8">
        <v>16</v>
      </c>
      <c r="N329" s="8">
        <v>3500</v>
      </c>
      <c r="O329" s="58">
        <v>20</v>
      </c>
      <c r="P329" s="8">
        <v>44800</v>
      </c>
      <c r="Q329" s="8">
        <v>2</v>
      </c>
      <c r="R329" s="8" t="s">
        <v>88</v>
      </c>
      <c r="S329" s="8" t="s">
        <v>35</v>
      </c>
      <c r="T329" s="8" t="s">
        <v>228</v>
      </c>
      <c r="U329" s="9" t="s">
        <v>1490</v>
      </c>
      <c r="V329" s="8" t="s">
        <v>64</v>
      </c>
    </row>
    <row r="330" spans="1:22" x14ac:dyDescent="0.5">
      <c r="A330" s="3" t="s">
        <v>1491</v>
      </c>
      <c r="B330" s="4" t="s">
        <v>168</v>
      </c>
      <c r="C330" s="4" t="s">
        <v>92</v>
      </c>
      <c r="D330" s="4" t="s">
        <v>829</v>
      </c>
      <c r="E330" s="4" t="s">
        <v>756</v>
      </c>
      <c r="F330" s="4" t="s">
        <v>361</v>
      </c>
      <c r="G330" s="4" t="s">
        <v>28</v>
      </c>
      <c r="H330" s="4" t="s">
        <v>1492</v>
      </c>
      <c r="I330" s="4" t="s">
        <v>44</v>
      </c>
      <c r="J330" s="4" t="s">
        <v>45</v>
      </c>
      <c r="K330" s="4" t="s">
        <v>32</v>
      </c>
      <c r="L330" s="4" t="s">
        <v>97</v>
      </c>
      <c r="M330" s="4">
        <v>9</v>
      </c>
      <c r="N330" s="4">
        <v>3500</v>
      </c>
      <c r="O330" s="57">
        <v>20</v>
      </c>
      <c r="P330" s="4">
        <v>25200</v>
      </c>
      <c r="Q330" s="4">
        <v>1</v>
      </c>
      <c r="R330" s="4" t="s">
        <v>79</v>
      </c>
      <c r="S330" s="4" t="s">
        <v>49</v>
      </c>
      <c r="T330" s="4" t="s">
        <v>175</v>
      </c>
      <c r="U330" s="6" t="s">
        <v>1493</v>
      </c>
      <c r="V330" s="4" t="s">
        <v>69</v>
      </c>
    </row>
    <row r="331" spans="1:22" x14ac:dyDescent="0.5">
      <c r="A331" s="7" t="s">
        <v>1494</v>
      </c>
      <c r="B331" s="8" t="s">
        <v>127</v>
      </c>
      <c r="C331" s="8" t="s">
        <v>184</v>
      </c>
      <c r="D331" s="8" t="s">
        <v>896</v>
      </c>
      <c r="E331" s="8" t="s">
        <v>530</v>
      </c>
      <c r="F331" s="8" t="s">
        <v>200</v>
      </c>
      <c r="G331" s="8" t="s">
        <v>76</v>
      </c>
      <c r="H331" s="8" t="s">
        <v>1495</v>
      </c>
      <c r="I331" s="8" t="s">
        <v>30</v>
      </c>
      <c r="J331" s="8" t="s">
        <v>31</v>
      </c>
      <c r="K331" s="8" t="s">
        <v>46</v>
      </c>
      <c r="L331" s="8" t="s">
        <v>189</v>
      </c>
      <c r="M331" s="8">
        <v>15</v>
      </c>
      <c r="N331" s="8">
        <v>700</v>
      </c>
      <c r="O331" s="58">
        <v>5</v>
      </c>
      <c r="P331" s="8">
        <v>9975</v>
      </c>
      <c r="Q331" s="8">
        <v>1</v>
      </c>
      <c r="R331" s="8" t="s">
        <v>34</v>
      </c>
      <c r="S331" s="8" t="s">
        <v>49</v>
      </c>
      <c r="T331" s="8" t="s">
        <v>132</v>
      </c>
      <c r="U331" s="9" t="s">
        <v>1496</v>
      </c>
      <c r="V331" s="8" t="s">
        <v>69</v>
      </c>
    </row>
    <row r="332" spans="1:22" x14ac:dyDescent="0.5">
      <c r="A332" s="3" t="s">
        <v>1497</v>
      </c>
      <c r="B332" s="4" t="s">
        <v>53</v>
      </c>
      <c r="C332" s="4" t="s">
        <v>72</v>
      </c>
      <c r="D332" s="4" t="s">
        <v>179</v>
      </c>
      <c r="E332" s="4" t="s">
        <v>798</v>
      </c>
      <c r="F332" s="4" t="s">
        <v>163</v>
      </c>
      <c r="G332" s="4" t="s">
        <v>28</v>
      </c>
      <c r="H332" s="4" t="s">
        <v>1498</v>
      </c>
      <c r="I332" s="4" t="s">
        <v>138</v>
      </c>
      <c r="J332" s="4" t="s">
        <v>106</v>
      </c>
      <c r="K332" s="4" t="s">
        <v>46</v>
      </c>
      <c r="L332" s="4" t="s">
        <v>78</v>
      </c>
      <c r="M332" s="4">
        <v>13</v>
      </c>
      <c r="N332" s="4">
        <v>1200</v>
      </c>
      <c r="O332" s="57">
        <v>0</v>
      </c>
      <c r="P332" s="4">
        <v>15600</v>
      </c>
      <c r="Q332" s="4">
        <v>3</v>
      </c>
      <c r="R332" s="4" t="s">
        <v>48</v>
      </c>
      <c r="S332" s="4" t="s">
        <v>115</v>
      </c>
      <c r="T332" s="4" t="s">
        <v>62</v>
      </c>
      <c r="U332" s="6" t="s">
        <v>1499</v>
      </c>
      <c r="V332" s="4" t="s">
        <v>69</v>
      </c>
    </row>
    <row r="333" spans="1:22" x14ac:dyDescent="0.5">
      <c r="A333" s="7" t="s">
        <v>1500</v>
      </c>
      <c r="B333" s="8" t="s">
        <v>327</v>
      </c>
      <c r="C333" s="8" t="s">
        <v>40</v>
      </c>
      <c r="D333" s="8" t="s">
        <v>1501</v>
      </c>
      <c r="E333" s="8" t="s">
        <v>1502</v>
      </c>
      <c r="F333" s="8" t="s">
        <v>394</v>
      </c>
      <c r="G333" s="8" t="s">
        <v>76</v>
      </c>
      <c r="H333" s="8" t="s">
        <v>1503</v>
      </c>
      <c r="I333" s="8" t="s">
        <v>44</v>
      </c>
      <c r="J333" s="8" t="s">
        <v>45</v>
      </c>
      <c r="K333" s="8" t="s">
        <v>46</v>
      </c>
      <c r="L333" s="8" t="s">
        <v>47</v>
      </c>
      <c r="M333" s="8">
        <v>5</v>
      </c>
      <c r="N333" s="8">
        <v>12000</v>
      </c>
      <c r="O333" s="58">
        <v>10</v>
      </c>
      <c r="P333" s="8">
        <v>54000</v>
      </c>
      <c r="Q333" s="8">
        <v>3</v>
      </c>
      <c r="R333" s="8" t="s">
        <v>88</v>
      </c>
      <c r="S333" s="8" t="s">
        <v>49</v>
      </c>
      <c r="T333" s="8" t="s">
        <v>332</v>
      </c>
      <c r="U333" s="9" t="s">
        <v>1504</v>
      </c>
      <c r="V333" s="8" t="s">
        <v>38</v>
      </c>
    </row>
    <row r="334" spans="1:22" x14ac:dyDescent="0.5">
      <c r="A334" s="3" t="s">
        <v>1505</v>
      </c>
      <c r="B334" s="4" t="s">
        <v>53</v>
      </c>
      <c r="C334" s="4" t="s">
        <v>259</v>
      </c>
      <c r="D334" s="4" t="s">
        <v>1506</v>
      </c>
      <c r="E334" s="4" t="s">
        <v>1507</v>
      </c>
      <c r="F334" s="4" t="s">
        <v>163</v>
      </c>
      <c r="G334" s="4" t="s">
        <v>28</v>
      </c>
      <c r="H334" s="4" t="s">
        <v>1508</v>
      </c>
      <c r="I334" s="4" t="s">
        <v>59</v>
      </c>
      <c r="J334" s="4" t="s">
        <v>31</v>
      </c>
      <c r="K334" s="4" t="s">
        <v>122</v>
      </c>
      <c r="L334" s="4" t="s">
        <v>263</v>
      </c>
      <c r="M334" s="4">
        <v>12</v>
      </c>
      <c r="N334" s="4">
        <v>45</v>
      </c>
      <c r="O334" s="57">
        <v>20</v>
      </c>
      <c r="P334" s="4">
        <v>432</v>
      </c>
      <c r="Q334" s="4">
        <v>3</v>
      </c>
      <c r="R334" s="4" t="s">
        <v>48</v>
      </c>
      <c r="S334" s="4" t="s">
        <v>61</v>
      </c>
      <c r="T334" s="4" t="s">
        <v>62</v>
      </c>
      <c r="U334" s="6" t="s">
        <v>1509</v>
      </c>
      <c r="V334" s="4" t="s">
        <v>38</v>
      </c>
    </row>
    <row r="335" spans="1:22" x14ac:dyDescent="0.5">
      <c r="A335" s="7" t="s">
        <v>1510</v>
      </c>
      <c r="B335" s="8" t="s">
        <v>23</v>
      </c>
      <c r="C335" s="8" t="s">
        <v>92</v>
      </c>
      <c r="D335" s="8" t="s">
        <v>652</v>
      </c>
      <c r="E335" s="8" t="s">
        <v>666</v>
      </c>
      <c r="F335" s="8" t="s">
        <v>27</v>
      </c>
      <c r="G335" s="8" t="s">
        <v>28</v>
      </c>
      <c r="H335" s="8" t="s">
        <v>1511</v>
      </c>
      <c r="I335" s="8" t="s">
        <v>59</v>
      </c>
      <c r="J335" s="8" t="s">
        <v>31</v>
      </c>
      <c r="K335" s="8" t="s">
        <v>32</v>
      </c>
      <c r="L335" s="8" t="s">
        <v>97</v>
      </c>
      <c r="M335" s="8">
        <v>2</v>
      </c>
      <c r="N335" s="8">
        <v>3500</v>
      </c>
      <c r="O335" s="58">
        <v>0</v>
      </c>
      <c r="P335" s="8">
        <v>7000</v>
      </c>
      <c r="Q335" s="8">
        <v>1</v>
      </c>
      <c r="R335" s="8" t="s">
        <v>48</v>
      </c>
      <c r="S335" s="8" t="s">
        <v>115</v>
      </c>
      <c r="T335" s="8" t="s">
        <v>50</v>
      </c>
      <c r="U335" s="9" t="s">
        <v>1512</v>
      </c>
      <c r="V335" s="8" t="s">
        <v>64</v>
      </c>
    </row>
    <row r="336" spans="1:22" x14ac:dyDescent="0.5">
      <c r="A336" s="3" t="s">
        <v>1513</v>
      </c>
      <c r="B336" s="4" t="s">
        <v>23</v>
      </c>
      <c r="C336" s="4" t="s">
        <v>24</v>
      </c>
      <c r="D336" s="4" t="s">
        <v>426</v>
      </c>
      <c r="E336" s="4" t="s">
        <v>1180</v>
      </c>
      <c r="F336" s="4" t="s">
        <v>27</v>
      </c>
      <c r="G336" s="4" t="s">
        <v>28</v>
      </c>
      <c r="H336" s="4" t="s">
        <v>1514</v>
      </c>
      <c r="I336" s="4" t="s">
        <v>114</v>
      </c>
      <c r="J336" s="4" t="s">
        <v>106</v>
      </c>
      <c r="K336" s="4" t="s">
        <v>32</v>
      </c>
      <c r="L336" s="4" t="s">
        <v>33</v>
      </c>
      <c r="M336" s="4">
        <v>15</v>
      </c>
      <c r="N336" s="4">
        <v>2200</v>
      </c>
      <c r="O336" s="57">
        <v>15</v>
      </c>
      <c r="P336" s="4">
        <v>28050</v>
      </c>
      <c r="Q336" s="4">
        <v>2</v>
      </c>
      <c r="R336" s="4" t="s">
        <v>48</v>
      </c>
      <c r="S336" s="4" t="s">
        <v>49</v>
      </c>
      <c r="T336" s="4" t="s">
        <v>50</v>
      </c>
      <c r="U336" s="6" t="s">
        <v>1515</v>
      </c>
      <c r="V336" s="4" t="s">
        <v>64</v>
      </c>
    </row>
    <row r="337" spans="1:22" x14ac:dyDescent="0.5">
      <c r="A337" s="7" t="s">
        <v>1516</v>
      </c>
      <c r="B337" s="8" t="s">
        <v>100</v>
      </c>
      <c r="C337" s="8" t="s">
        <v>222</v>
      </c>
      <c r="D337" s="8" t="s">
        <v>186</v>
      </c>
      <c r="E337" s="8" t="s">
        <v>1253</v>
      </c>
      <c r="F337" s="8" t="s">
        <v>103</v>
      </c>
      <c r="G337" s="8" t="s">
        <v>28</v>
      </c>
      <c r="H337" s="8" t="s">
        <v>1517</v>
      </c>
      <c r="I337" s="8" t="s">
        <v>138</v>
      </c>
      <c r="J337" s="8" t="s">
        <v>106</v>
      </c>
      <c r="K337" s="8" t="s">
        <v>122</v>
      </c>
      <c r="L337" s="8" t="s">
        <v>227</v>
      </c>
      <c r="M337" s="8">
        <v>8</v>
      </c>
      <c r="N337" s="8">
        <v>20</v>
      </c>
      <c r="O337" s="58">
        <v>20</v>
      </c>
      <c r="P337" s="8">
        <v>128</v>
      </c>
      <c r="Q337" s="8">
        <v>5</v>
      </c>
      <c r="R337" s="8" t="s">
        <v>88</v>
      </c>
      <c r="S337" s="8" t="s">
        <v>49</v>
      </c>
      <c r="T337" s="8" t="s">
        <v>144</v>
      </c>
      <c r="U337" s="9" t="s">
        <v>1518</v>
      </c>
      <c r="V337" s="8" t="s">
        <v>38</v>
      </c>
    </row>
    <row r="338" spans="1:22" x14ac:dyDescent="0.5">
      <c r="A338" s="3" t="s">
        <v>1519</v>
      </c>
      <c r="B338" s="4" t="s">
        <v>127</v>
      </c>
      <c r="C338" s="4" t="s">
        <v>222</v>
      </c>
      <c r="D338" s="4" t="s">
        <v>298</v>
      </c>
      <c r="E338" s="4" t="s">
        <v>798</v>
      </c>
      <c r="F338" s="4" t="s">
        <v>200</v>
      </c>
      <c r="G338" s="4" t="s">
        <v>76</v>
      </c>
      <c r="H338" s="4" t="s">
        <v>1520</v>
      </c>
      <c r="I338" s="4" t="s">
        <v>30</v>
      </c>
      <c r="J338" s="4" t="s">
        <v>31</v>
      </c>
      <c r="K338" s="4" t="s">
        <v>122</v>
      </c>
      <c r="L338" s="4" t="s">
        <v>227</v>
      </c>
      <c r="M338" s="4">
        <v>1</v>
      </c>
      <c r="N338" s="4">
        <v>20</v>
      </c>
      <c r="O338" s="57">
        <v>0</v>
      </c>
      <c r="P338" s="4">
        <v>20</v>
      </c>
      <c r="Q338" s="4">
        <v>3</v>
      </c>
      <c r="R338" s="4" t="s">
        <v>88</v>
      </c>
      <c r="S338" s="4" t="s">
        <v>35</v>
      </c>
      <c r="T338" s="4" t="s">
        <v>132</v>
      </c>
      <c r="U338" s="6" t="s">
        <v>1521</v>
      </c>
      <c r="V338" s="4" t="s">
        <v>38</v>
      </c>
    </row>
    <row r="339" spans="1:22" x14ac:dyDescent="0.5">
      <c r="A339" s="7" t="s">
        <v>1522</v>
      </c>
      <c r="B339" s="8" t="s">
        <v>23</v>
      </c>
      <c r="C339" s="8" t="s">
        <v>184</v>
      </c>
      <c r="D339" s="8" t="s">
        <v>1199</v>
      </c>
      <c r="E339" s="8" t="s">
        <v>253</v>
      </c>
      <c r="F339" s="8" t="s">
        <v>27</v>
      </c>
      <c r="G339" s="8" t="s">
        <v>28</v>
      </c>
      <c r="H339" s="8" t="s">
        <v>1523</v>
      </c>
      <c r="I339" s="8" t="s">
        <v>212</v>
      </c>
      <c r="J339" s="8" t="s">
        <v>45</v>
      </c>
      <c r="K339" s="8" t="s">
        <v>46</v>
      </c>
      <c r="L339" s="8" t="s">
        <v>189</v>
      </c>
      <c r="M339" s="8">
        <v>15</v>
      </c>
      <c r="N339" s="8">
        <v>700</v>
      </c>
      <c r="O339" s="58">
        <v>0</v>
      </c>
      <c r="P339" s="8">
        <v>10500</v>
      </c>
      <c r="Q339" s="8">
        <v>2</v>
      </c>
      <c r="R339" s="8" t="s">
        <v>88</v>
      </c>
      <c r="S339" s="8" t="s">
        <v>49</v>
      </c>
      <c r="T339" s="8" t="s">
        <v>50</v>
      </c>
      <c r="U339" s="9" t="s">
        <v>1524</v>
      </c>
      <c r="V339" s="8" t="s">
        <v>38</v>
      </c>
    </row>
    <row r="340" spans="1:22" x14ac:dyDescent="0.5">
      <c r="A340" s="3" t="s">
        <v>1525</v>
      </c>
      <c r="B340" s="4" t="s">
        <v>327</v>
      </c>
      <c r="C340" s="4" t="s">
        <v>92</v>
      </c>
      <c r="D340" s="4" t="s">
        <v>932</v>
      </c>
      <c r="E340" s="4" t="s">
        <v>1526</v>
      </c>
      <c r="F340" s="4" t="s">
        <v>394</v>
      </c>
      <c r="G340" s="4" t="s">
        <v>76</v>
      </c>
      <c r="H340" s="4" t="s">
        <v>1527</v>
      </c>
      <c r="I340" s="4" t="s">
        <v>30</v>
      </c>
      <c r="J340" s="4" t="s">
        <v>31</v>
      </c>
      <c r="K340" s="4" t="s">
        <v>32</v>
      </c>
      <c r="L340" s="4" t="s">
        <v>97</v>
      </c>
      <c r="M340" s="4">
        <v>15</v>
      </c>
      <c r="N340" s="4">
        <v>3500</v>
      </c>
      <c r="O340" s="57">
        <v>10</v>
      </c>
      <c r="P340" s="4">
        <v>47250</v>
      </c>
      <c r="Q340" s="4">
        <v>3</v>
      </c>
      <c r="R340" s="4" t="s">
        <v>34</v>
      </c>
      <c r="S340" s="4" t="s">
        <v>151</v>
      </c>
      <c r="T340" s="4" t="s">
        <v>332</v>
      </c>
      <c r="U340" s="6" t="s">
        <v>1528</v>
      </c>
      <c r="V340" s="4" t="s">
        <v>64</v>
      </c>
    </row>
    <row r="341" spans="1:22" x14ac:dyDescent="0.5">
      <c r="A341" s="7" t="s">
        <v>1529</v>
      </c>
      <c r="B341" s="8" t="s">
        <v>23</v>
      </c>
      <c r="C341" s="8" t="s">
        <v>118</v>
      </c>
      <c r="D341" s="8" t="s">
        <v>1530</v>
      </c>
      <c r="E341" s="8" t="s">
        <v>156</v>
      </c>
      <c r="F341" s="8" t="s">
        <v>27</v>
      </c>
      <c r="G341" s="8" t="s">
        <v>28</v>
      </c>
      <c r="H341" s="8" t="s">
        <v>1531</v>
      </c>
      <c r="I341" s="8" t="s">
        <v>294</v>
      </c>
      <c r="J341" s="8" t="s">
        <v>295</v>
      </c>
      <c r="K341" s="8" t="s">
        <v>122</v>
      </c>
      <c r="L341" s="8" t="s">
        <v>123</v>
      </c>
      <c r="M341" s="8">
        <v>16</v>
      </c>
      <c r="N341" s="8">
        <v>60</v>
      </c>
      <c r="O341" s="58">
        <v>10</v>
      </c>
      <c r="P341" s="8">
        <v>864</v>
      </c>
      <c r="Q341" s="8">
        <v>4</v>
      </c>
      <c r="R341" s="8" t="s">
        <v>79</v>
      </c>
      <c r="S341" s="8" t="s">
        <v>61</v>
      </c>
      <c r="T341" s="8" t="s">
        <v>50</v>
      </c>
      <c r="U341" s="9" t="s">
        <v>1532</v>
      </c>
      <c r="V341" s="8" t="s">
        <v>38</v>
      </c>
    </row>
    <row r="342" spans="1:22" x14ac:dyDescent="0.5">
      <c r="A342" s="3" t="s">
        <v>1533</v>
      </c>
      <c r="B342" s="4" t="s">
        <v>127</v>
      </c>
      <c r="C342" s="4" t="s">
        <v>259</v>
      </c>
      <c r="D342" s="4" t="s">
        <v>309</v>
      </c>
      <c r="E342" s="4" t="s">
        <v>793</v>
      </c>
      <c r="F342" s="4" t="s">
        <v>200</v>
      </c>
      <c r="G342" s="4" t="s">
        <v>76</v>
      </c>
      <c r="H342" s="4" t="s">
        <v>1534</v>
      </c>
      <c r="I342" s="4" t="s">
        <v>44</v>
      </c>
      <c r="J342" s="4" t="s">
        <v>45</v>
      </c>
      <c r="K342" s="4" t="s">
        <v>122</v>
      </c>
      <c r="L342" s="4" t="s">
        <v>263</v>
      </c>
      <c r="M342" s="4">
        <v>2</v>
      </c>
      <c r="N342" s="4">
        <v>45</v>
      </c>
      <c r="O342" s="57">
        <v>15</v>
      </c>
      <c r="P342" s="4">
        <v>76.5</v>
      </c>
      <c r="Q342" s="4">
        <v>1</v>
      </c>
      <c r="R342" s="4" t="s">
        <v>88</v>
      </c>
      <c r="S342" s="4" t="s">
        <v>151</v>
      </c>
      <c r="T342" s="4" t="s">
        <v>132</v>
      </c>
      <c r="U342" s="6" t="s">
        <v>1535</v>
      </c>
      <c r="V342" s="4" t="s">
        <v>69</v>
      </c>
    </row>
    <row r="343" spans="1:22" x14ac:dyDescent="0.5">
      <c r="A343" s="7" t="s">
        <v>1536</v>
      </c>
      <c r="B343" s="8" t="s">
        <v>168</v>
      </c>
      <c r="C343" s="8" t="s">
        <v>118</v>
      </c>
      <c r="D343" s="8" t="s">
        <v>1537</v>
      </c>
      <c r="E343" s="8" t="s">
        <v>1214</v>
      </c>
      <c r="F343" s="8" t="s">
        <v>361</v>
      </c>
      <c r="G343" s="8" t="s">
        <v>28</v>
      </c>
      <c r="H343" s="8" t="s">
        <v>1538</v>
      </c>
      <c r="I343" s="8" t="s">
        <v>44</v>
      </c>
      <c r="J343" s="8" t="s">
        <v>45</v>
      </c>
      <c r="K343" s="8" t="s">
        <v>122</v>
      </c>
      <c r="L343" s="8" t="s">
        <v>123</v>
      </c>
      <c r="M343" s="8">
        <v>13</v>
      </c>
      <c r="N343" s="8">
        <v>60</v>
      </c>
      <c r="O343" s="58">
        <v>15</v>
      </c>
      <c r="P343" s="8">
        <v>663</v>
      </c>
      <c r="Q343" s="8">
        <v>2</v>
      </c>
      <c r="R343" s="8" t="s">
        <v>48</v>
      </c>
      <c r="S343" s="8" t="s">
        <v>61</v>
      </c>
      <c r="T343" s="8" t="s">
        <v>175</v>
      </c>
      <c r="U343" s="9" t="s">
        <v>1539</v>
      </c>
      <c r="V343" s="8" t="s">
        <v>69</v>
      </c>
    </row>
    <row r="344" spans="1:22" x14ac:dyDescent="0.5">
      <c r="A344" s="3" t="s">
        <v>1540</v>
      </c>
      <c r="B344" s="4" t="s">
        <v>83</v>
      </c>
      <c r="C344" s="4" t="s">
        <v>40</v>
      </c>
      <c r="D344" s="4" t="s">
        <v>1086</v>
      </c>
      <c r="E344" s="4" t="s">
        <v>236</v>
      </c>
      <c r="F344" s="4" t="s">
        <v>180</v>
      </c>
      <c r="G344" s="4" t="s">
        <v>76</v>
      </c>
      <c r="H344" s="4" t="s">
        <v>1541</v>
      </c>
      <c r="I344" s="4" t="s">
        <v>44</v>
      </c>
      <c r="J344" s="4" t="s">
        <v>45</v>
      </c>
      <c r="K344" s="4" t="s">
        <v>46</v>
      </c>
      <c r="L344" s="4" t="s">
        <v>47</v>
      </c>
      <c r="M344" s="4">
        <v>15</v>
      </c>
      <c r="N344" s="4">
        <v>12000</v>
      </c>
      <c r="O344" s="57">
        <v>20</v>
      </c>
      <c r="P344" s="4">
        <v>144000</v>
      </c>
      <c r="Q344" s="4">
        <v>3</v>
      </c>
      <c r="R344" s="4" t="s">
        <v>79</v>
      </c>
      <c r="S344" s="4" t="s">
        <v>35</v>
      </c>
      <c r="T344" s="4" t="s">
        <v>89</v>
      </c>
      <c r="U344" s="6" t="s">
        <v>1542</v>
      </c>
      <c r="V344" s="4" t="s">
        <v>69</v>
      </c>
    </row>
    <row r="345" spans="1:22" x14ac:dyDescent="0.5">
      <c r="A345" s="7" t="s">
        <v>1543</v>
      </c>
      <c r="B345" s="8" t="s">
        <v>327</v>
      </c>
      <c r="C345" s="8" t="s">
        <v>222</v>
      </c>
      <c r="D345" s="8" t="s">
        <v>755</v>
      </c>
      <c r="E345" s="8" t="s">
        <v>1544</v>
      </c>
      <c r="F345" s="8" t="s">
        <v>394</v>
      </c>
      <c r="G345" s="8" t="s">
        <v>76</v>
      </c>
      <c r="H345" s="8" t="s">
        <v>1545</v>
      </c>
      <c r="I345" s="8" t="s">
        <v>44</v>
      </c>
      <c r="J345" s="8" t="s">
        <v>45</v>
      </c>
      <c r="K345" s="8" t="s">
        <v>122</v>
      </c>
      <c r="L345" s="8" t="s">
        <v>227</v>
      </c>
      <c r="M345" s="8">
        <v>2</v>
      </c>
      <c r="N345" s="8">
        <v>20</v>
      </c>
      <c r="O345" s="58">
        <v>20</v>
      </c>
      <c r="P345" s="8">
        <v>32</v>
      </c>
      <c r="Q345" s="8">
        <v>4</v>
      </c>
      <c r="R345" s="8" t="s">
        <v>34</v>
      </c>
      <c r="S345" s="8" t="s">
        <v>35</v>
      </c>
      <c r="T345" s="8" t="s">
        <v>332</v>
      </c>
      <c r="U345" s="9" t="s">
        <v>1546</v>
      </c>
      <c r="V345" s="8" t="s">
        <v>64</v>
      </c>
    </row>
    <row r="346" spans="1:22" x14ac:dyDescent="0.5">
      <c r="A346" s="3" t="s">
        <v>1547</v>
      </c>
      <c r="B346" s="4" t="s">
        <v>127</v>
      </c>
      <c r="C346" s="4" t="s">
        <v>92</v>
      </c>
      <c r="D346" s="4" t="s">
        <v>382</v>
      </c>
      <c r="E346" s="4" t="s">
        <v>1548</v>
      </c>
      <c r="F346" s="4" t="s">
        <v>200</v>
      </c>
      <c r="G346" s="4" t="s">
        <v>76</v>
      </c>
      <c r="H346" s="4" t="s">
        <v>1549</v>
      </c>
      <c r="I346" s="4" t="s">
        <v>59</v>
      </c>
      <c r="J346" s="4" t="s">
        <v>31</v>
      </c>
      <c r="K346" s="4" t="s">
        <v>32</v>
      </c>
      <c r="L346" s="4" t="s">
        <v>97</v>
      </c>
      <c r="M346" s="4">
        <v>16</v>
      </c>
      <c r="N346" s="4">
        <v>3500</v>
      </c>
      <c r="O346" s="57">
        <v>0</v>
      </c>
      <c r="P346" s="4">
        <v>56000</v>
      </c>
      <c r="Q346" s="4">
        <v>4</v>
      </c>
      <c r="R346" s="4" t="s">
        <v>34</v>
      </c>
      <c r="S346" s="4" t="s">
        <v>115</v>
      </c>
      <c r="T346" s="4" t="s">
        <v>132</v>
      </c>
      <c r="U346" s="6" t="s">
        <v>1550</v>
      </c>
      <c r="V346" s="4" t="s">
        <v>38</v>
      </c>
    </row>
    <row r="347" spans="1:22" x14ac:dyDescent="0.5">
      <c r="A347" s="7" t="s">
        <v>1551</v>
      </c>
      <c r="B347" s="8" t="s">
        <v>53</v>
      </c>
      <c r="C347" s="8" t="s">
        <v>92</v>
      </c>
      <c r="D347" s="8" t="s">
        <v>1302</v>
      </c>
      <c r="E347" s="8" t="s">
        <v>94</v>
      </c>
      <c r="F347" s="8" t="s">
        <v>163</v>
      </c>
      <c r="G347" s="8" t="s">
        <v>28</v>
      </c>
      <c r="H347" s="8" t="s">
        <v>1552</v>
      </c>
      <c r="I347" s="8" t="s">
        <v>138</v>
      </c>
      <c r="J347" s="8" t="s">
        <v>106</v>
      </c>
      <c r="K347" s="8" t="s">
        <v>32</v>
      </c>
      <c r="L347" s="8" t="s">
        <v>97</v>
      </c>
      <c r="M347" s="8">
        <v>18</v>
      </c>
      <c r="N347" s="8">
        <v>3500</v>
      </c>
      <c r="O347" s="58">
        <v>15</v>
      </c>
      <c r="P347" s="8">
        <v>53550</v>
      </c>
      <c r="Q347" s="8">
        <v>5</v>
      </c>
      <c r="R347" s="8" t="s">
        <v>34</v>
      </c>
      <c r="S347" s="8" t="s">
        <v>151</v>
      </c>
      <c r="T347" s="8" t="s">
        <v>62</v>
      </c>
      <c r="U347" s="9" t="s">
        <v>1553</v>
      </c>
      <c r="V347" s="8" t="s">
        <v>69</v>
      </c>
    </row>
    <row r="348" spans="1:22" x14ac:dyDescent="0.5">
      <c r="A348" s="3" t="s">
        <v>1554</v>
      </c>
      <c r="B348" s="4" t="s">
        <v>23</v>
      </c>
      <c r="C348" s="4" t="s">
        <v>259</v>
      </c>
      <c r="D348" s="4" t="s">
        <v>65</v>
      </c>
      <c r="E348" s="4" t="s">
        <v>544</v>
      </c>
      <c r="F348" s="4" t="s">
        <v>27</v>
      </c>
      <c r="G348" s="4" t="s">
        <v>28</v>
      </c>
      <c r="H348" s="4" t="s">
        <v>1555</v>
      </c>
      <c r="I348" s="4" t="s">
        <v>138</v>
      </c>
      <c r="J348" s="4" t="s">
        <v>106</v>
      </c>
      <c r="K348" s="4" t="s">
        <v>122</v>
      </c>
      <c r="L348" s="4" t="s">
        <v>263</v>
      </c>
      <c r="M348" s="4">
        <v>20</v>
      </c>
      <c r="N348" s="4">
        <v>45</v>
      </c>
      <c r="O348" s="57">
        <v>15</v>
      </c>
      <c r="P348" s="4">
        <v>765</v>
      </c>
      <c r="Q348" s="4">
        <v>4</v>
      </c>
      <c r="R348" s="4" t="s">
        <v>34</v>
      </c>
      <c r="S348" s="4" t="s">
        <v>151</v>
      </c>
      <c r="T348" s="4" t="s">
        <v>50</v>
      </c>
      <c r="U348" s="6" t="s">
        <v>1556</v>
      </c>
      <c r="V348" s="4" t="s">
        <v>69</v>
      </c>
    </row>
    <row r="349" spans="1:22" x14ac:dyDescent="0.5">
      <c r="A349" s="7" t="s">
        <v>1557</v>
      </c>
      <c r="B349" s="8" t="s">
        <v>251</v>
      </c>
      <c r="C349" s="8" t="s">
        <v>24</v>
      </c>
      <c r="D349" s="8" t="s">
        <v>1286</v>
      </c>
      <c r="E349" s="8" t="s">
        <v>356</v>
      </c>
      <c r="F349" s="8" t="s">
        <v>254</v>
      </c>
      <c r="G349" s="8" t="s">
        <v>28</v>
      </c>
      <c r="H349" s="8" t="s">
        <v>1558</v>
      </c>
      <c r="I349" s="8" t="s">
        <v>44</v>
      </c>
      <c r="J349" s="8" t="s">
        <v>45</v>
      </c>
      <c r="K349" s="8" t="s">
        <v>32</v>
      </c>
      <c r="L349" s="8" t="s">
        <v>33</v>
      </c>
      <c r="M349" s="8">
        <v>13</v>
      </c>
      <c r="N349" s="8">
        <v>2200</v>
      </c>
      <c r="O349" s="58">
        <v>15</v>
      </c>
      <c r="P349" s="8">
        <v>24310</v>
      </c>
      <c r="Q349" s="8">
        <v>2</v>
      </c>
      <c r="R349" s="8" t="s">
        <v>48</v>
      </c>
      <c r="S349" s="8" t="s">
        <v>115</v>
      </c>
      <c r="T349" s="8" t="s">
        <v>256</v>
      </c>
      <c r="U349" s="9" t="s">
        <v>1559</v>
      </c>
      <c r="V349" s="8" t="s">
        <v>64</v>
      </c>
    </row>
    <row r="350" spans="1:22" x14ac:dyDescent="0.5">
      <c r="A350" s="3" t="s">
        <v>1560</v>
      </c>
      <c r="B350" s="4" t="s">
        <v>53</v>
      </c>
      <c r="C350" s="4" t="s">
        <v>1561</v>
      </c>
      <c r="D350" s="4" t="s">
        <v>340</v>
      </c>
      <c r="E350" s="4" t="s">
        <v>346</v>
      </c>
      <c r="F350" s="4" t="s">
        <v>163</v>
      </c>
      <c r="G350" s="4" t="s">
        <v>28</v>
      </c>
      <c r="H350" s="4" t="s">
        <v>1562</v>
      </c>
      <c r="I350" s="4" t="s">
        <v>294</v>
      </c>
      <c r="J350" s="4" t="s">
        <v>295</v>
      </c>
      <c r="K350" s="4" t="s">
        <v>32</v>
      </c>
      <c r="L350" s="4" t="s">
        <v>174</v>
      </c>
      <c r="M350" s="4">
        <v>11</v>
      </c>
      <c r="N350" s="4">
        <v>8500</v>
      </c>
      <c r="O350" s="57">
        <v>5</v>
      </c>
      <c r="P350" s="4">
        <v>88825</v>
      </c>
      <c r="Q350" s="4">
        <v>1</v>
      </c>
      <c r="R350" s="4" t="s">
        <v>88</v>
      </c>
      <c r="S350" s="4" t="s">
        <v>115</v>
      </c>
      <c r="T350" s="4" t="s">
        <v>62</v>
      </c>
      <c r="U350" s="6" t="s">
        <v>1563</v>
      </c>
      <c r="V350" s="4" t="s">
        <v>69</v>
      </c>
    </row>
    <row r="351" spans="1:22" x14ac:dyDescent="0.5">
      <c r="A351" s="7" t="s">
        <v>1564</v>
      </c>
      <c r="B351" s="8" t="s">
        <v>53</v>
      </c>
      <c r="C351" s="8" t="s">
        <v>24</v>
      </c>
      <c r="D351" s="8" t="s">
        <v>1565</v>
      </c>
      <c r="E351" s="8" t="s">
        <v>1475</v>
      </c>
      <c r="F351" s="8" t="s">
        <v>163</v>
      </c>
      <c r="G351" s="8" t="s">
        <v>28</v>
      </c>
      <c r="H351" s="8" t="s">
        <v>1566</v>
      </c>
      <c r="I351" s="8" t="s">
        <v>212</v>
      </c>
      <c r="J351" s="8" t="s">
        <v>45</v>
      </c>
      <c r="K351" s="8" t="s">
        <v>32</v>
      </c>
      <c r="L351" s="8" t="s">
        <v>33</v>
      </c>
      <c r="M351" s="8">
        <v>2</v>
      </c>
      <c r="N351" s="8">
        <v>2200</v>
      </c>
      <c r="O351" s="58">
        <v>0</v>
      </c>
      <c r="P351" s="8">
        <v>4400</v>
      </c>
      <c r="Q351" s="8">
        <v>4</v>
      </c>
      <c r="R351" s="8" t="s">
        <v>88</v>
      </c>
      <c r="S351" s="8" t="s">
        <v>151</v>
      </c>
      <c r="T351" s="8" t="s">
        <v>62</v>
      </c>
      <c r="U351" s="9" t="s">
        <v>1567</v>
      </c>
      <c r="V351" s="8" t="s">
        <v>64</v>
      </c>
    </row>
    <row r="352" spans="1:22" x14ac:dyDescent="0.5">
      <c r="A352" s="3" t="s">
        <v>1568</v>
      </c>
      <c r="B352" s="4" t="s">
        <v>83</v>
      </c>
      <c r="C352" s="4" t="s">
        <v>184</v>
      </c>
      <c r="D352" s="4" t="s">
        <v>1242</v>
      </c>
      <c r="E352" s="4" t="s">
        <v>720</v>
      </c>
      <c r="F352" s="4" t="s">
        <v>180</v>
      </c>
      <c r="G352" s="4" t="s">
        <v>76</v>
      </c>
      <c r="H352" s="4" t="s">
        <v>1569</v>
      </c>
      <c r="I352" s="4" t="s">
        <v>105</v>
      </c>
      <c r="J352" s="4" t="s">
        <v>106</v>
      </c>
      <c r="K352" s="4" t="s">
        <v>46</v>
      </c>
      <c r="L352" s="4" t="s">
        <v>189</v>
      </c>
      <c r="M352" s="4">
        <v>15</v>
      </c>
      <c r="N352" s="4">
        <v>700</v>
      </c>
      <c r="O352" s="57">
        <v>15</v>
      </c>
      <c r="P352" s="4">
        <v>8925</v>
      </c>
      <c r="Q352" s="4">
        <v>3</v>
      </c>
      <c r="R352" s="4" t="s">
        <v>48</v>
      </c>
      <c r="S352" s="4" t="s">
        <v>115</v>
      </c>
      <c r="T352" s="4" t="s">
        <v>89</v>
      </c>
      <c r="U352" s="6" t="s">
        <v>1570</v>
      </c>
      <c r="V352" s="4" t="s">
        <v>38</v>
      </c>
    </row>
    <row r="353" spans="1:22" x14ac:dyDescent="0.5">
      <c r="A353" s="7" t="s">
        <v>1571</v>
      </c>
      <c r="B353" s="8" t="s">
        <v>127</v>
      </c>
      <c r="C353" s="8" t="s">
        <v>24</v>
      </c>
      <c r="D353" s="8" t="s">
        <v>1572</v>
      </c>
      <c r="E353" s="8" t="s">
        <v>835</v>
      </c>
      <c r="F353" s="8" t="s">
        <v>200</v>
      </c>
      <c r="G353" s="8" t="s">
        <v>76</v>
      </c>
      <c r="H353" s="8" t="s">
        <v>1573</v>
      </c>
      <c r="I353" s="8" t="s">
        <v>138</v>
      </c>
      <c r="J353" s="8" t="s">
        <v>106</v>
      </c>
      <c r="K353" s="8" t="s">
        <v>32</v>
      </c>
      <c r="L353" s="8" t="s">
        <v>33</v>
      </c>
      <c r="M353" s="8">
        <v>5</v>
      </c>
      <c r="N353" s="8">
        <v>2200</v>
      </c>
      <c r="O353" s="58">
        <v>15</v>
      </c>
      <c r="P353" s="8">
        <v>9350</v>
      </c>
      <c r="Q353" s="8">
        <v>1</v>
      </c>
      <c r="R353" s="8" t="s">
        <v>48</v>
      </c>
      <c r="S353" s="8" t="s">
        <v>115</v>
      </c>
      <c r="T353" s="8" t="s">
        <v>132</v>
      </c>
      <c r="U353" s="9" t="s">
        <v>1574</v>
      </c>
      <c r="V353" s="8" t="s">
        <v>64</v>
      </c>
    </row>
    <row r="354" spans="1:22" x14ac:dyDescent="0.5">
      <c r="A354" s="3" t="s">
        <v>1575</v>
      </c>
      <c r="B354" s="4" t="s">
        <v>83</v>
      </c>
      <c r="C354" s="4" t="s">
        <v>72</v>
      </c>
      <c r="D354" s="4" t="s">
        <v>554</v>
      </c>
      <c r="E354" s="4" t="s">
        <v>1480</v>
      </c>
      <c r="F354" s="4" t="s">
        <v>180</v>
      </c>
      <c r="G354" s="4" t="s">
        <v>76</v>
      </c>
      <c r="H354" s="4" t="s">
        <v>1576</v>
      </c>
      <c r="I354" s="4" t="s">
        <v>138</v>
      </c>
      <c r="J354" s="4" t="s">
        <v>106</v>
      </c>
      <c r="K354" s="4" t="s">
        <v>46</v>
      </c>
      <c r="L354" s="4" t="s">
        <v>78</v>
      </c>
      <c r="M354" s="4">
        <v>15</v>
      </c>
      <c r="N354" s="4">
        <v>1200</v>
      </c>
      <c r="O354" s="57">
        <v>0</v>
      </c>
      <c r="P354" s="4">
        <v>18000</v>
      </c>
      <c r="Q354" s="4">
        <v>3</v>
      </c>
      <c r="R354" s="4" t="s">
        <v>48</v>
      </c>
      <c r="S354" s="4" t="s">
        <v>61</v>
      </c>
      <c r="T354" s="4" t="s">
        <v>89</v>
      </c>
      <c r="U354" s="6" t="s">
        <v>1577</v>
      </c>
      <c r="V354" s="4" t="s">
        <v>69</v>
      </c>
    </row>
    <row r="355" spans="1:22" x14ac:dyDescent="0.5">
      <c r="A355" s="7" t="s">
        <v>1578</v>
      </c>
      <c r="B355" s="8" t="s">
        <v>251</v>
      </c>
      <c r="C355" s="8" t="s">
        <v>72</v>
      </c>
      <c r="D355" s="8" t="s">
        <v>161</v>
      </c>
      <c r="E355" s="8" t="s">
        <v>657</v>
      </c>
      <c r="F355" s="8" t="s">
        <v>254</v>
      </c>
      <c r="G355" s="8" t="s">
        <v>28</v>
      </c>
      <c r="H355" s="8" t="s">
        <v>1579</v>
      </c>
      <c r="I355" s="8" t="s">
        <v>105</v>
      </c>
      <c r="J355" s="8" t="s">
        <v>106</v>
      </c>
      <c r="K355" s="8" t="s">
        <v>46</v>
      </c>
      <c r="L355" s="8" t="s">
        <v>78</v>
      </c>
      <c r="M355" s="8">
        <v>19</v>
      </c>
      <c r="N355" s="8">
        <v>1200</v>
      </c>
      <c r="O355" s="58">
        <v>0</v>
      </c>
      <c r="P355" s="8">
        <v>22800</v>
      </c>
      <c r="Q355" s="8">
        <v>1</v>
      </c>
      <c r="R355" s="8" t="s">
        <v>34</v>
      </c>
      <c r="S355" s="8" t="s">
        <v>49</v>
      </c>
      <c r="T355" s="8" t="s">
        <v>256</v>
      </c>
      <c r="U355" s="9" t="s">
        <v>1580</v>
      </c>
      <c r="V355" s="8" t="s">
        <v>69</v>
      </c>
    </row>
    <row r="356" spans="1:22" x14ac:dyDescent="0.5">
      <c r="A356" s="3" t="s">
        <v>1581</v>
      </c>
      <c r="B356" s="4" t="s">
        <v>168</v>
      </c>
      <c r="C356" s="4" t="s">
        <v>40</v>
      </c>
      <c r="D356" s="4" t="s">
        <v>25</v>
      </c>
      <c r="E356" s="4" t="s">
        <v>1582</v>
      </c>
      <c r="F356" s="4" t="s">
        <v>361</v>
      </c>
      <c r="G356" s="4" t="s">
        <v>28</v>
      </c>
      <c r="H356" s="4" t="s">
        <v>1583</v>
      </c>
      <c r="I356" s="4" t="s">
        <v>105</v>
      </c>
      <c r="J356" s="4" t="s">
        <v>106</v>
      </c>
      <c r="K356" s="4" t="s">
        <v>46</v>
      </c>
      <c r="L356" s="4" t="s">
        <v>47</v>
      </c>
      <c r="M356" s="4">
        <v>9</v>
      </c>
      <c r="N356" s="4">
        <v>12000</v>
      </c>
      <c r="O356" s="57">
        <v>15</v>
      </c>
      <c r="P356" s="4">
        <v>91800</v>
      </c>
      <c r="Q356" s="4">
        <v>3</v>
      </c>
      <c r="R356" s="4" t="s">
        <v>88</v>
      </c>
      <c r="S356" s="4" t="s">
        <v>49</v>
      </c>
      <c r="T356" s="4" t="s">
        <v>175</v>
      </c>
      <c r="U356" s="6" t="s">
        <v>1584</v>
      </c>
      <c r="V356" s="4" t="s">
        <v>69</v>
      </c>
    </row>
    <row r="357" spans="1:22" x14ac:dyDescent="0.5">
      <c r="A357" s="7" t="s">
        <v>1585</v>
      </c>
      <c r="B357" s="8" t="s">
        <v>23</v>
      </c>
      <c r="C357" s="8" t="s">
        <v>259</v>
      </c>
      <c r="D357" s="8" t="s">
        <v>345</v>
      </c>
      <c r="E357" s="8" t="s">
        <v>793</v>
      </c>
      <c r="F357" s="8" t="s">
        <v>27</v>
      </c>
      <c r="G357" s="8" t="s">
        <v>28</v>
      </c>
      <c r="H357" s="8" t="s">
        <v>1586</v>
      </c>
      <c r="I357" s="8" t="s">
        <v>212</v>
      </c>
      <c r="J357" s="8" t="s">
        <v>45</v>
      </c>
      <c r="K357" s="8" t="s">
        <v>122</v>
      </c>
      <c r="L357" s="8" t="s">
        <v>263</v>
      </c>
      <c r="M357" s="8">
        <v>5</v>
      </c>
      <c r="N357" s="8">
        <v>45</v>
      </c>
      <c r="O357" s="58">
        <v>5</v>
      </c>
      <c r="P357" s="8">
        <v>213.75</v>
      </c>
      <c r="Q357" s="8">
        <v>1</v>
      </c>
      <c r="R357" s="8" t="s">
        <v>79</v>
      </c>
      <c r="S357" s="8" t="s">
        <v>115</v>
      </c>
      <c r="T357" s="8" t="s">
        <v>50</v>
      </c>
      <c r="U357" s="9" t="s">
        <v>1587</v>
      </c>
      <c r="V357" s="8" t="s">
        <v>38</v>
      </c>
    </row>
    <row r="358" spans="1:22" x14ac:dyDescent="0.5">
      <c r="A358" s="3" t="s">
        <v>1588</v>
      </c>
      <c r="B358" s="4" t="s">
        <v>251</v>
      </c>
      <c r="C358" s="4" t="s">
        <v>184</v>
      </c>
      <c r="D358" s="4" t="s">
        <v>1589</v>
      </c>
      <c r="E358" s="4" t="s">
        <v>1373</v>
      </c>
      <c r="F358" s="4" t="s">
        <v>254</v>
      </c>
      <c r="G358" s="4" t="s">
        <v>28</v>
      </c>
      <c r="H358" s="4" t="s">
        <v>1590</v>
      </c>
      <c r="I358" s="4" t="s">
        <v>105</v>
      </c>
      <c r="J358" s="4" t="s">
        <v>106</v>
      </c>
      <c r="K358" s="4" t="s">
        <v>46</v>
      </c>
      <c r="L358" s="4" t="s">
        <v>189</v>
      </c>
      <c r="M358" s="4">
        <v>3</v>
      </c>
      <c r="N358" s="4">
        <v>700</v>
      </c>
      <c r="O358" s="57">
        <v>15</v>
      </c>
      <c r="P358" s="4">
        <v>1785</v>
      </c>
      <c r="Q358" s="4">
        <v>4</v>
      </c>
      <c r="R358" s="4" t="s">
        <v>34</v>
      </c>
      <c r="S358" s="4" t="s">
        <v>151</v>
      </c>
      <c r="T358" s="4" t="s">
        <v>256</v>
      </c>
      <c r="U358" s="6" t="s">
        <v>1591</v>
      </c>
      <c r="V358" s="4" t="s">
        <v>38</v>
      </c>
    </row>
    <row r="359" spans="1:22" x14ac:dyDescent="0.5">
      <c r="A359" s="7" t="s">
        <v>1592</v>
      </c>
      <c r="B359" s="8" t="s">
        <v>71</v>
      </c>
      <c r="C359" s="8" t="s">
        <v>169</v>
      </c>
      <c r="D359" s="8" t="s">
        <v>454</v>
      </c>
      <c r="E359" s="8" t="s">
        <v>961</v>
      </c>
      <c r="F359" s="8" t="s">
        <v>217</v>
      </c>
      <c r="G359" s="8" t="s">
        <v>76</v>
      </c>
      <c r="H359" s="8" t="s">
        <v>1593</v>
      </c>
      <c r="I359" s="8" t="s">
        <v>212</v>
      </c>
      <c r="J359" s="8" t="s">
        <v>45</v>
      </c>
      <c r="K359" s="8" t="s">
        <v>32</v>
      </c>
      <c r="L359" s="8" t="s">
        <v>174</v>
      </c>
      <c r="M359" s="8">
        <v>12</v>
      </c>
      <c r="N359" s="8">
        <v>8500</v>
      </c>
      <c r="O359" s="58">
        <v>5</v>
      </c>
      <c r="P359" s="8">
        <v>96900</v>
      </c>
      <c r="Q359" s="8">
        <v>3</v>
      </c>
      <c r="R359" s="8" t="s">
        <v>79</v>
      </c>
      <c r="S359" s="8" t="s">
        <v>61</v>
      </c>
      <c r="T359" s="8" t="s">
        <v>80</v>
      </c>
      <c r="U359" s="9" t="s">
        <v>1594</v>
      </c>
      <c r="V359" s="8" t="s">
        <v>64</v>
      </c>
    </row>
    <row r="360" spans="1:22" x14ac:dyDescent="0.5">
      <c r="A360" s="3" t="s">
        <v>1595</v>
      </c>
      <c r="B360" s="4" t="s">
        <v>251</v>
      </c>
      <c r="C360" s="4" t="s">
        <v>169</v>
      </c>
      <c r="D360" s="4" t="s">
        <v>162</v>
      </c>
      <c r="E360" s="4" t="s">
        <v>356</v>
      </c>
      <c r="F360" s="4" t="s">
        <v>254</v>
      </c>
      <c r="G360" s="4" t="s">
        <v>28</v>
      </c>
      <c r="H360" s="4" t="s">
        <v>1596</v>
      </c>
      <c r="I360" s="4" t="s">
        <v>114</v>
      </c>
      <c r="J360" s="4" t="s">
        <v>106</v>
      </c>
      <c r="K360" s="4" t="s">
        <v>32</v>
      </c>
      <c r="L360" s="4" t="s">
        <v>174</v>
      </c>
      <c r="M360" s="4">
        <v>4</v>
      </c>
      <c r="N360" s="4">
        <v>8500</v>
      </c>
      <c r="O360" s="57">
        <v>15</v>
      </c>
      <c r="P360" s="4">
        <v>28900</v>
      </c>
      <c r="Q360" s="4">
        <v>4</v>
      </c>
      <c r="R360" s="4" t="s">
        <v>48</v>
      </c>
      <c r="S360" s="4" t="s">
        <v>61</v>
      </c>
      <c r="T360" s="4" t="s">
        <v>256</v>
      </c>
      <c r="U360" s="6" t="s">
        <v>1597</v>
      </c>
      <c r="V360" s="4" t="s">
        <v>64</v>
      </c>
    </row>
    <row r="361" spans="1:22" x14ac:dyDescent="0.5">
      <c r="A361" s="7" t="s">
        <v>1598</v>
      </c>
      <c r="B361" s="8" t="s">
        <v>127</v>
      </c>
      <c r="C361" s="8" t="s">
        <v>222</v>
      </c>
      <c r="D361" s="8" t="s">
        <v>102</v>
      </c>
      <c r="E361" s="8" t="s">
        <v>953</v>
      </c>
      <c r="F361" s="8" t="s">
        <v>200</v>
      </c>
      <c r="G361" s="8" t="s">
        <v>76</v>
      </c>
      <c r="H361" s="8" t="s">
        <v>1599</v>
      </c>
      <c r="I361" s="8" t="s">
        <v>212</v>
      </c>
      <c r="J361" s="8" t="s">
        <v>45</v>
      </c>
      <c r="K361" s="8" t="s">
        <v>122</v>
      </c>
      <c r="L361" s="8" t="s">
        <v>227</v>
      </c>
      <c r="M361" s="8">
        <v>16</v>
      </c>
      <c r="N361" s="8">
        <v>20</v>
      </c>
      <c r="O361" s="58">
        <v>10</v>
      </c>
      <c r="P361" s="8">
        <v>288</v>
      </c>
      <c r="Q361" s="8">
        <v>4</v>
      </c>
      <c r="R361" s="8" t="s">
        <v>34</v>
      </c>
      <c r="S361" s="8" t="s">
        <v>115</v>
      </c>
      <c r="T361" s="8" t="s">
        <v>132</v>
      </c>
      <c r="U361" s="9" t="s">
        <v>1600</v>
      </c>
      <c r="V361" s="8" t="s">
        <v>69</v>
      </c>
    </row>
    <row r="362" spans="1:22" x14ac:dyDescent="0.5">
      <c r="A362" s="3" t="s">
        <v>1601</v>
      </c>
      <c r="B362" s="4" t="s">
        <v>127</v>
      </c>
      <c r="C362" s="4" t="s">
        <v>118</v>
      </c>
      <c r="D362" s="4" t="s">
        <v>601</v>
      </c>
      <c r="E362" s="4" t="s">
        <v>1602</v>
      </c>
      <c r="F362" s="4" t="s">
        <v>200</v>
      </c>
      <c r="G362" s="4" t="s">
        <v>76</v>
      </c>
      <c r="H362" s="4" t="s">
        <v>1603</v>
      </c>
      <c r="I362" s="4" t="s">
        <v>105</v>
      </c>
      <c r="J362" s="4" t="s">
        <v>106</v>
      </c>
      <c r="K362" s="4" t="s">
        <v>122</v>
      </c>
      <c r="L362" s="4" t="s">
        <v>123</v>
      </c>
      <c r="M362" s="4">
        <v>3</v>
      </c>
      <c r="N362" s="4">
        <v>60</v>
      </c>
      <c r="O362" s="57">
        <v>20</v>
      </c>
      <c r="P362" s="4">
        <v>144</v>
      </c>
      <c r="Q362" s="4">
        <v>4</v>
      </c>
      <c r="R362" s="4" t="s">
        <v>88</v>
      </c>
      <c r="S362" s="4" t="s">
        <v>151</v>
      </c>
      <c r="T362" s="4" t="s">
        <v>132</v>
      </c>
      <c r="U362" s="6" t="s">
        <v>1604</v>
      </c>
      <c r="V362" s="4" t="s">
        <v>64</v>
      </c>
    </row>
    <row r="363" spans="1:22" x14ac:dyDescent="0.5">
      <c r="A363" s="7" t="s">
        <v>1605</v>
      </c>
      <c r="B363" s="8" t="s">
        <v>71</v>
      </c>
      <c r="C363" s="8" t="s">
        <v>24</v>
      </c>
      <c r="D363" s="8" t="s">
        <v>1106</v>
      </c>
      <c r="E363" s="8" t="s">
        <v>155</v>
      </c>
      <c r="F363" s="8" t="s">
        <v>217</v>
      </c>
      <c r="G363" s="8" t="s">
        <v>76</v>
      </c>
      <c r="H363" s="8" t="s">
        <v>1606</v>
      </c>
      <c r="I363" s="8" t="s">
        <v>105</v>
      </c>
      <c r="J363" s="8" t="s">
        <v>106</v>
      </c>
      <c r="K363" s="8" t="s">
        <v>32</v>
      </c>
      <c r="L363" s="8" t="s">
        <v>33</v>
      </c>
      <c r="M363" s="8">
        <v>19</v>
      </c>
      <c r="N363" s="8">
        <v>2200</v>
      </c>
      <c r="O363" s="58">
        <v>10</v>
      </c>
      <c r="P363" s="8">
        <v>37620</v>
      </c>
      <c r="Q363" s="8">
        <v>2</v>
      </c>
      <c r="R363" s="8" t="s">
        <v>34</v>
      </c>
      <c r="S363" s="8" t="s">
        <v>151</v>
      </c>
      <c r="T363" s="8" t="s">
        <v>80</v>
      </c>
      <c r="U363" s="9" t="s">
        <v>1607</v>
      </c>
      <c r="V363" s="8" t="s">
        <v>64</v>
      </c>
    </row>
    <row r="364" spans="1:22" x14ac:dyDescent="0.5">
      <c r="A364" s="3" t="s">
        <v>1608</v>
      </c>
      <c r="B364" s="4" t="s">
        <v>71</v>
      </c>
      <c r="C364" s="4" t="s">
        <v>72</v>
      </c>
      <c r="D364" s="4" t="s">
        <v>1609</v>
      </c>
      <c r="E364" s="4" t="s">
        <v>588</v>
      </c>
      <c r="F364" s="4" t="s">
        <v>217</v>
      </c>
      <c r="G364" s="4" t="s">
        <v>76</v>
      </c>
      <c r="H364" s="4" t="s">
        <v>1610</v>
      </c>
      <c r="I364" s="4" t="s">
        <v>30</v>
      </c>
      <c r="J364" s="4" t="s">
        <v>31</v>
      </c>
      <c r="K364" s="4" t="s">
        <v>46</v>
      </c>
      <c r="L364" s="4" t="s">
        <v>78</v>
      </c>
      <c r="M364" s="4">
        <v>7</v>
      </c>
      <c r="N364" s="4">
        <v>1200</v>
      </c>
      <c r="O364" s="57">
        <v>20</v>
      </c>
      <c r="P364" s="4">
        <v>6720</v>
      </c>
      <c r="Q364" s="4">
        <v>3</v>
      </c>
      <c r="R364" s="4" t="s">
        <v>79</v>
      </c>
      <c r="S364" s="4" t="s">
        <v>115</v>
      </c>
      <c r="T364" s="4" t="s">
        <v>80</v>
      </c>
      <c r="U364" s="6" t="s">
        <v>1611</v>
      </c>
      <c r="V364" s="4" t="s">
        <v>69</v>
      </c>
    </row>
    <row r="365" spans="1:22" x14ac:dyDescent="0.5">
      <c r="A365" s="7" t="s">
        <v>1612</v>
      </c>
      <c r="B365" s="8" t="s">
        <v>53</v>
      </c>
      <c r="C365" s="8" t="s">
        <v>222</v>
      </c>
      <c r="D365" s="8" t="s">
        <v>543</v>
      </c>
      <c r="E365" s="8" t="s">
        <v>65</v>
      </c>
      <c r="F365" s="8" t="s">
        <v>163</v>
      </c>
      <c r="G365" s="8" t="s">
        <v>28</v>
      </c>
      <c r="H365" s="8" t="s">
        <v>1613</v>
      </c>
      <c r="I365" s="8" t="s">
        <v>59</v>
      </c>
      <c r="J365" s="8" t="s">
        <v>31</v>
      </c>
      <c r="K365" s="8" t="s">
        <v>122</v>
      </c>
      <c r="L365" s="8" t="s">
        <v>227</v>
      </c>
      <c r="M365" s="8">
        <v>20</v>
      </c>
      <c r="N365" s="8">
        <v>20</v>
      </c>
      <c r="O365" s="58">
        <v>20</v>
      </c>
      <c r="P365" s="8">
        <v>320</v>
      </c>
      <c r="Q365" s="8">
        <v>5</v>
      </c>
      <c r="R365" s="8" t="s">
        <v>79</v>
      </c>
      <c r="S365" s="8" t="s">
        <v>115</v>
      </c>
      <c r="T365" s="8" t="s">
        <v>62</v>
      </c>
      <c r="U365" s="9" t="s">
        <v>1614</v>
      </c>
      <c r="V365" s="8" t="s">
        <v>64</v>
      </c>
    </row>
    <row r="366" spans="1:22" x14ac:dyDescent="0.5">
      <c r="A366" s="3" t="s">
        <v>1615</v>
      </c>
      <c r="B366" s="4" t="s">
        <v>100</v>
      </c>
      <c r="C366" s="4" t="s">
        <v>72</v>
      </c>
      <c r="D366" s="4" t="s">
        <v>210</v>
      </c>
      <c r="E366" s="4" t="s">
        <v>1616</v>
      </c>
      <c r="F366" s="4" t="s">
        <v>103</v>
      </c>
      <c r="G366" s="4" t="s">
        <v>28</v>
      </c>
      <c r="H366" s="4" t="s">
        <v>1617</v>
      </c>
      <c r="I366" s="4" t="s">
        <v>30</v>
      </c>
      <c r="J366" s="4" t="s">
        <v>31</v>
      </c>
      <c r="K366" s="4" t="s">
        <v>46</v>
      </c>
      <c r="L366" s="4" t="s">
        <v>78</v>
      </c>
      <c r="M366" s="4">
        <v>19</v>
      </c>
      <c r="N366" s="4">
        <v>1200</v>
      </c>
      <c r="O366" s="57">
        <v>5</v>
      </c>
      <c r="P366" s="4">
        <v>21660</v>
      </c>
      <c r="Q366" s="4">
        <v>3</v>
      </c>
      <c r="R366" s="4" t="s">
        <v>79</v>
      </c>
      <c r="S366" s="4" t="s">
        <v>35</v>
      </c>
      <c r="T366" s="4" t="s">
        <v>144</v>
      </c>
      <c r="U366" s="6" t="s">
        <v>1618</v>
      </c>
      <c r="V366" s="4" t="s">
        <v>64</v>
      </c>
    </row>
    <row r="367" spans="1:22" x14ac:dyDescent="0.5">
      <c r="A367" s="7" t="s">
        <v>1619</v>
      </c>
      <c r="B367" s="8" t="s">
        <v>53</v>
      </c>
      <c r="C367" s="8" t="s">
        <v>222</v>
      </c>
      <c r="D367" s="8" t="s">
        <v>1620</v>
      </c>
      <c r="E367" s="8" t="s">
        <v>302</v>
      </c>
      <c r="F367" s="8" t="s">
        <v>163</v>
      </c>
      <c r="G367" s="8" t="s">
        <v>28</v>
      </c>
      <c r="H367" s="8" t="s">
        <v>1621</v>
      </c>
      <c r="I367" s="8" t="s">
        <v>30</v>
      </c>
      <c r="J367" s="8" t="s">
        <v>31</v>
      </c>
      <c r="K367" s="8" t="s">
        <v>122</v>
      </c>
      <c r="L367" s="8" t="s">
        <v>227</v>
      </c>
      <c r="M367" s="8">
        <v>5</v>
      </c>
      <c r="N367" s="8">
        <v>20</v>
      </c>
      <c r="O367" s="58">
        <v>0</v>
      </c>
      <c r="P367" s="8">
        <v>100</v>
      </c>
      <c r="Q367" s="8">
        <v>2</v>
      </c>
      <c r="R367" s="8" t="s">
        <v>88</v>
      </c>
      <c r="S367" s="8" t="s">
        <v>49</v>
      </c>
      <c r="T367" s="8" t="s">
        <v>62</v>
      </c>
      <c r="U367" s="9" t="s">
        <v>1622</v>
      </c>
      <c r="V367" s="8" t="s">
        <v>64</v>
      </c>
    </row>
    <row r="368" spans="1:22" x14ac:dyDescent="0.5">
      <c r="A368" s="3" t="s">
        <v>1623</v>
      </c>
      <c r="B368" s="4" t="s">
        <v>100</v>
      </c>
      <c r="C368" s="4" t="s">
        <v>259</v>
      </c>
      <c r="D368" s="4" t="s">
        <v>797</v>
      </c>
      <c r="E368" s="4" t="s">
        <v>543</v>
      </c>
      <c r="F368" s="4" t="s">
        <v>103</v>
      </c>
      <c r="G368" s="4" t="s">
        <v>28</v>
      </c>
      <c r="H368" s="4" t="s">
        <v>1624</v>
      </c>
      <c r="I368" s="4" t="s">
        <v>212</v>
      </c>
      <c r="J368" s="4" t="s">
        <v>45</v>
      </c>
      <c r="K368" s="4" t="s">
        <v>122</v>
      </c>
      <c r="L368" s="4" t="s">
        <v>263</v>
      </c>
      <c r="M368" s="4">
        <v>16</v>
      </c>
      <c r="N368" s="4">
        <v>45</v>
      </c>
      <c r="O368" s="57">
        <v>15</v>
      </c>
      <c r="P368" s="4">
        <v>612</v>
      </c>
      <c r="Q368" s="4">
        <v>5</v>
      </c>
      <c r="R368" s="4" t="s">
        <v>34</v>
      </c>
      <c r="S368" s="4" t="s">
        <v>61</v>
      </c>
      <c r="T368" s="4" t="s">
        <v>144</v>
      </c>
      <c r="U368" s="6" t="s">
        <v>1625</v>
      </c>
      <c r="V368" s="4" t="s">
        <v>69</v>
      </c>
    </row>
    <row r="369" spans="1:22" x14ac:dyDescent="0.5">
      <c r="A369" s="7" t="s">
        <v>1626</v>
      </c>
      <c r="B369" s="8" t="s">
        <v>23</v>
      </c>
      <c r="C369" s="8" t="s">
        <v>24</v>
      </c>
      <c r="D369" s="8" t="s">
        <v>1263</v>
      </c>
      <c r="E369" s="8" t="s">
        <v>944</v>
      </c>
      <c r="F369" s="8" t="s">
        <v>27</v>
      </c>
      <c r="G369" s="8" t="s">
        <v>28</v>
      </c>
      <c r="H369" s="8" t="s">
        <v>1627</v>
      </c>
      <c r="I369" s="8" t="s">
        <v>212</v>
      </c>
      <c r="J369" s="8" t="s">
        <v>45</v>
      </c>
      <c r="K369" s="8" t="s">
        <v>32</v>
      </c>
      <c r="L369" s="8" t="s">
        <v>33</v>
      </c>
      <c r="M369" s="8">
        <v>1</v>
      </c>
      <c r="N369" s="8">
        <v>2200</v>
      </c>
      <c r="O369" s="58">
        <v>10</v>
      </c>
      <c r="P369" s="8">
        <v>1980</v>
      </c>
      <c r="Q369" s="8">
        <v>5</v>
      </c>
      <c r="R369" s="8" t="s">
        <v>79</v>
      </c>
      <c r="S369" s="8" t="s">
        <v>49</v>
      </c>
      <c r="T369" s="8" t="s">
        <v>50</v>
      </c>
      <c r="U369" s="9" t="s">
        <v>1628</v>
      </c>
      <c r="V369" s="8" t="s">
        <v>38</v>
      </c>
    </row>
    <row r="370" spans="1:22" x14ac:dyDescent="0.5">
      <c r="A370" s="3" t="s">
        <v>1629</v>
      </c>
      <c r="B370" s="4" t="s">
        <v>53</v>
      </c>
      <c r="C370" s="4" t="s">
        <v>118</v>
      </c>
      <c r="D370" s="4" t="s">
        <v>891</v>
      </c>
      <c r="E370" s="4" t="s">
        <v>1630</v>
      </c>
      <c r="F370" s="4" t="s">
        <v>163</v>
      </c>
      <c r="G370" s="4" t="s">
        <v>28</v>
      </c>
      <c r="H370" s="4" t="s">
        <v>1631</v>
      </c>
      <c r="I370" s="4" t="s">
        <v>30</v>
      </c>
      <c r="J370" s="4" t="s">
        <v>31</v>
      </c>
      <c r="K370" s="4" t="s">
        <v>122</v>
      </c>
      <c r="L370" s="4" t="s">
        <v>123</v>
      </c>
      <c r="M370" s="4">
        <v>19</v>
      </c>
      <c r="N370" s="4">
        <v>60</v>
      </c>
      <c r="O370" s="57">
        <v>15</v>
      </c>
      <c r="P370" s="4">
        <v>969</v>
      </c>
      <c r="Q370" s="4">
        <v>4</v>
      </c>
      <c r="R370" s="4" t="s">
        <v>48</v>
      </c>
      <c r="S370" s="4" t="s">
        <v>115</v>
      </c>
      <c r="T370" s="4" t="s">
        <v>62</v>
      </c>
      <c r="U370" s="6" t="s">
        <v>1632</v>
      </c>
      <c r="V370" s="4" t="s">
        <v>69</v>
      </c>
    </row>
    <row r="371" spans="1:22" x14ac:dyDescent="0.5">
      <c r="A371" s="7" t="s">
        <v>1633</v>
      </c>
      <c r="B371" s="8" t="s">
        <v>327</v>
      </c>
      <c r="C371" s="8" t="s">
        <v>54</v>
      </c>
      <c r="D371" s="8"/>
      <c r="E371" s="8" t="s">
        <v>1634</v>
      </c>
      <c r="F371" s="8" t="s">
        <v>394</v>
      </c>
      <c r="G371" s="8" t="s">
        <v>76</v>
      </c>
      <c r="H371" s="8" t="s">
        <v>1635</v>
      </c>
      <c r="I371" s="8" t="s">
        <v>44</v>
      </c>
      <c r="J371" s="8" t="s">
        <v>45</v>
      </c>
      <c r="K371" s="8" t="s">
        <v>46</v>
      </c>
      <c r="L371" s="8" t="s">
        <v>60</v>
      </c>
      <c r="M371" s="8">
        <v>15</v>
      </c>
      <c r="N371" s="8">
        <v>55000</v>
      </c>
      <c r="O371" s="58">
        <v>0</v>
      </c>
      <c r="P371" s="8">
        <v>825000</v>
      </c>
      <c r="Q371" s="8">
        <v>5</v>
      </c>
      <c r="R371" s="8" t="s">
        <v>79</v>
      </c>
      <c r="S371" s="8" t="s">
        <v>115</v>
      </c>
      <c r="T371" s="8" t="s">
        <v>332</v>
      </c>
      <c r="U371" s="9" t="s">
        <v>1636</v>
      </c>
      <c r="V371" s="8" t="s">
        <v>69</v>
      </c>
    </row>
    <row r="372" spans="1:22" x14ac:dyDescent="0.5">
      <c r="A372" s="3" t="s">
        <v>1637</v>
      </c>
      <c r="B372" s="4" t="s">
        <v>71</v>
      </c>
      <c r="C372" s="4" t="s">
        <v>259</v>
      </c>
      <c r="D372" s="4" t="s">
        <v>941</v>
      </c>
      <c r="E372" s="4" t="s">
        <v>1638</v>
      </c>
      <c r="F372" s="4" t="s">
        <v>217</v>
      </c>
      <c r="G372" s="4" t="s">
        <v>76</v>
      </c>
      <c r="H372" s="4" t="s">
        <v>1639</v>
      </c>
      <c r="I372" s="4" t="s">
        <v>59</v>
      </c>
      <c r="J372" s="4" t="s">
        <v>31</v>
      </c>
      <c r="K372" s="4" t="s">
        <v>122</v>
      </c>
      <c r="L372" s="4" t="s">
        <v>263</v>
      </c>
      <c r="M372" s="4">
        <v>11</v>
      </c>
      <c r="N372" s="4">
        <v>45</v>
      </c>
      <c r="O372" s="57">
        <v>5</v>
      </c>
      <c r="P372" s="4">
        <v>470.25</v>
      </c>
      <c r="Q372" s="4">
        <v>5</v>
      </c>
      <c r="R372" s="4" t="s">
        <v>48</v>
      </c>
      <c r="S372" s="4" t="s">
        <v>151</v>
      </c>
      <c r="T372" s="4" t="s">
        <v>80</v>
      </c>
      <c r="U372" s="6" t="s">
        <v>1640</v>
      </c>
      <c r="V372" s="4" t="s">
        <v>38</v>
      </c>
    </row>
    <row r="373" spans="1:22" x14ac:dyDescent="0.5">
      <c r="A373" s="7" t="s">
        <v>1641</v>
      </c>
      <c r="B373" s="8" t="s">
        <v>251</v>
      </c>
      <c r="C373" s="8" t="s">
        <v>222</v>
      </c>
      <c r="D373" s="8" t="s">
        <v>1642</v>
      </c>
      <c r="E373" s="8" t="s">
        <v>1643</v>
      </c>
      <c r="F373" s="8" t="s">
        <v>254</v>
      </c>
      <c r="G373" s="8" t="s">
        <v>28</v>
      </c>
      <c r="H373" s="8" t="s">
        <v>1644</v>
      </c>
      <c r="I373" s="8" t="s">
        <v>212</v>
      </c>
      <c r="J373" s="8" t="s">
        <v>45</v>
      </c>
      <c r="K373" s="8" t="s">
        <v>122</v>
      </c>
      <c r="L373" s="8" t="s">
        <v>227</v>
      </c>
      <c r="M373" s="8">
        <v>9</v>
      </c>
      <c r="N373" s="8">
        <v>20</v>
      </c>
      <c r="O373" s="58">
        <v>10</v>
      </c>
      <c r="P373" s="8">
        <v>162</v>
      </c>
      <c r="Q373" s="8">
        <v>1</v>
      </c>
      <c r="R373" s="8" t="s">
        <v>79</v>
      </c>
      <c r="S373" s="8" t="s">
        <v>49</v>
      </c>
      <c r="T373" s="8" t="s">
        <v>256</v>
      </c>
      <c r="U373" s="9" t="s">
        <v>1645</v>
      </c>
      <c r="V373" s="8" t="s">
        <v>69</v>
      </c>
    </row>
    <row r="374" spans="1:22" x14ac:dyDescent="0.5">
      <c r="A374" s="3" t="s">
        <v>1646</v>
      </c>
      <c r="B374" s="4" t="s">
        <v>168</v>
      </c>
      <c r="C374" s="4" t="s">
        <v>259</v>
      </c>
      <c r="D374" s="4" t="s">
        <v>645</v>
      </c>
      <c r="E374" s="4" t="s">
        <v>980</v>
      </c>
      <c r="F374" s="4" t="s">
        <v>361</v>
      </c>
      <c r="G374" s="4" t="s">
        <v>28</v>
      </c>
      <c r="H374" s="4" t="s">
        <v>1647</v>
      </c>
      <c r="I374" s="4" t="s">
        <v>59</v>
      </c>
      <c r="J374" s="4" t="s">
        <v>31</v>
      </c>
      <c r="K374" s="4" t="s">
        <v>122</v>
      </c>
      <c r="L374" s="4" t="s">
        <v>263</v>
      </c>
      <c r="M374" s="4">
        <v>5</v>
      </c>
      <c r="N374" s="4">
        <v>45</v>
      </c>
      <c r="O374" s="57">
        <v>5</v>
      </c>
      <c r="P374" s="4">
        <v>213.75</v>
      </c>
      <c r="Q374" s="4">
        <v>3</v>
      </c>
      <c r="R374" s="4" t="s">
        <v>79</v>
      </c>
      <c r="S374" s="4" t="s">
        <v>115</v>
      </c>
      <c r="T374" s="4" t="s">
        <v>175</v>
      </c>
      <c r="U374" s="6" t="s">
        <v>1648</v>
      </c>
      <c r="V374" s="4" t="s">
        <v>64</v>
      </c>
    </row>
    <row r="375" spans="1:22" x14ac:dyDescent="0.5">
      <c r="A375" s="7" t="s">
        <v>1649</v>
      </c>
      <c r="B375" s="8" t="s">
        <v>83</v>
      </c>
      <c r="C375" s="8" t="s">
        <v>184</v>
      </c>
      <c r="D375" s="8" t="s">
        <v>1650</v>
      </c>
      <c r="E375" s="8" t="s">
        <v>1102</v>
      </c>
      <c r="F375" s="8" t="s">
        <v>180</v>
      </c>
      <c r="G375" s="8" t="s">
        <v>76</v>
      </c>
      <c r="H375" s="8" t="s">
        <v>1651</v>
      </c>
      <c r="I375" s="8" t="s">
        <v>30</v>
      </c>
      <c r="J375" s="8" t="s">
        <v>31</v>
      </c>
      <c r="K375" s="8" t="s">
        <v>46</v>
      </c>
      <c r="L375" s="8" t="s">
        <v>189</v>
      </c>
      <c r="M375" s="8">
        <v>5</v>
      </c>
      <c r="N375" s="8">
        <v>700</v>
      </c>
      <c r="O375" s="58">
        <v>10</v>
      </c>
      <c r="P375" s="8">
        <v>3150</v>
      </c>
      <c r="Q375" s="8">
        <v>2</v>
      </c>
      <c r="R375" s="8" t="s">
        <v>88</v>
      </c>
      <c r="S375" s="8" t="s">
        <v>49</v>
      </c>
      <c r="T375" s="8" t="s">
        <v>89</v>
      </c>
      <c r="U375" s="9" t="s">
        <v>1652</v>
      </c>
      <c r="V375" s="8" t="s">
        <v>38</v>
      </c>
    </row>
    <row r="376" spans="1:22" x14ac:dyDescent="0.5">
      <c r="A376" s="3" t="s">
        <v>1653</v>
      </c>
      <c r="B376" s="4" t="s">
        <v>221</v>
      </c>
      <c r="C376" s="4" t="s">
        <v>184</v>
      </c>
      <c r="D376" s="4" t="s">
        <v>957</v>
      </c>
      <c r="E376" s="4" t="s">
        <v>1654</v>
      </c>
      <c r="F376" s="4" t="s">
        <v>225</v>
      </c>
      <c r="G376" s="4" t="s">
        <v>76</v>
      </c>
      <c r="H376" s="4" t="s">
        <v>1655</v>
      </c>
      <c r="I376" s="4" t="s">
        <v>294</v>
      </c>
      <c r="J376" s="4" t="s">
        <v>295</v>
      </c>
      <c r="K376" s="4" t="s">
        <v>46</v>
      </c>
      <c r="L376" s="4" t="s">
        <v>189</v>
      </c>
      <c r="M376" s="4">
        <v>1</v>
      </c>
      <c r="N376" s="4">
        <v>700</v>
      </c>
      <c r="O376" s="57">
        <v>0</v>
      </c>
      <c r="P376" s="4">
        <v>700</v>
      </c>
      <c r="Q376" s="4">
        <v>1</v>
      </c>
      <c r="R376" s="4" t="s">
        <v>88</v>
      </c>
      <c r="S376" s="4" t="s">
        <v>151</v>
      </c>
      <c r="T376" s="4" t="s">
        <v>228</v>
      </c>
      <c r="U376" s="6" t="s">
        <v>1656</v>
      </c>
      <c r="V376" s="4" t="s">
        <v>38</v>
      </c>
    </row>
    <row r="377" spans="1:22" x14ac:dyDescent="0.5">
      <c r="A377" s="7" t="s">
        <v>1657</v>
      </c>
      <c r="B377" s="8" t="s">
        <v>23</v>
      </c>
      <c r="C377" s="8" t="s">
        <v>184</v>
      </c>
      <c r="D377" s="8" t="s">
        <v>1368</v>
      </c>
      <c r="E377" s="8" t="s">
        <v>923</v>
      </c>
      <c r="F377" s="8" t="s">
        <v>27</v>
      </c>
      <c r="G377" s="8" t="s">
        <v>28</v>
      </c>
      <c r="H377" s="8" t="s">
        <v>1658</v>
      </c>
      <c r="I377" s="8" t="s">
        <v>105</v>
      </c>
      <c r="J377" s="8" t="s">
        <v>106</v>
      </c>
      <c r="K377" s="8" t="s">
        <v>46</v>
      </c>
      <c r="L377" s="8" t="s">
        <v>189</v>
      </c>
      <c r="M377" s="8">
        <v>13</v>
      </c>
      <c r="N377" s="8">
        <v>700</v>
      </c>
      <c r="O377" s="58">
        <v>20</v>
      </c>
      <c r="P377" s="8">
        <v>7280</v>
      </c>
      <c r="Q377" s="8">
        <v>2</v>
      </c>
      <c r="R377" s="8" t="s">
        <v>79</v>
      </c>
      <c r="S377" s="8" t="s">
        <v>35</v>
      </c>
      <c r="T377" s="8" t="s">
        <v>50</v>
      </c>
      <c r="U377" s="9" t="s">
        <v>1659</v>
      </c>
      <c r="V377" s="8" t="s">
        <v>38</v>
      </c>
    </row>
    <row r="378" spans="1:22" x14ac:dyDescent="0.5">
      <c r="A378" s="3" t="s">
        <v>1660</v>
      </c>
      <c r="B378" s="4" t="s">
        <v>71</v>
      </c>
      <c r="C378" s="4" t="s">
        <v>40</v>
      </c>
      <c r="D378" s="4" t="s">
        <v>1153</v>
      </c>
      <c r="E378" s="4" t="s">
        <v>303</v>
      </c>
      <c r="F378" s="4" t="s">
        <v>217</v>
      </c>
      <c r="G378" s="4" t="s">
        <v>76</v>
      </c>
      <c r="H378" s="4" t="s">
        <v>1661</v>
      </c>
      <c r="I378" s="4" t="s">
        <v>114</v>
      </c>
      <c r="J378" s="4" t="s">
        <v>106</v>
      </c>
      <c r="K378" s="4" t="s">
        <v>46</v>
      </c>
      <c r="L378" s="4" t="s">
        <v>47</v>
      </c>
      <c r="M378" s="4">
        <v>20</v>
      </c>
      <c r="N378" s="4">
        <v>12000</v>
      </c>
      <c r="O378" s="57">
        <v>0</v>
      </c>
      <c r="P378" s="4">
        <v>240000</v>
      </c>
      <c r="Q378" s="4">
        <v>2</v>
      </c>
      <c r="R378" s="4" t="s">
        <v>79</v>
      </c>
      <c r="S378" s="4" t="s">
        <v>115</v>
      </c>
      <c r="T378" s="4" t="s">
        <v>80</v>
      </c>
      <c r="U378" s="6" t="s">
        <v>1662</v>
      </c>
      <c r="V378" s="4" t="s">
        <v>38</v>
      </c>
    </row>
    <row r="379" spans="1:22" x14ac:dyDescent="0.5">
      <c r="A379" s="7" t="s">
        <v>1663</v>
      </c>
      <c r="B379" s="8" t="s">
        <v>83</v>
      </c>
      <c r="C379" s="8" t="s">
        <v>72</v>
      </c>
      <c r="D379" s="8" t="s">
        <v>1198</v>
      </c>
      <c r="E379" s="8" t="s">
        <v>712</v>
      </c>
      <c r="F379" s="8" t="s">
        <v>180</v>
      </c>
      <c r="G379" s="8" t="s">
        <v>76</v>
      </c>
      <c r="H379" s="8" t="s">
        <v>1664</v>
      </c>
      <c r="I379" s="8" t="s">
        <v>294</v>
      </c>
      <c r="J379" s="8" t="s">
        <v>295</v>
      </c>
      <c r="K379" s="8" t="s">
        <v>46</v>
      </c>
      <c r="L379" s="8" t="s">
        <v>78</v>
      </c>
      <c r="M379" s="8">
        <v>9</v>
      </c>
      <c r="N379" s="8">
        <v>1200</v>
      </c>
      <c r="O379" s="58">
        <v>15</v>
      </c>
      <c r="P379" s="8">
        <v>9180</v>
      </c>
      <c r="Q379" s="8">
        <v>1</v>
      </c>
      <c r="R379" s="8" t="s">
        <v>88</v>
      </c>
      <c r="S379" s="8" t="s">
        <v>35</v>
      </c>
      <c r="T379" s="8" t="s">
        <v>89</v>
      </c>
      <c r="U379" s="9" t="s">
        <v>1665</v>
      </c>
      <c r="V379" s="8" t="s">
        <v>64</v>
      </c>
    </row>
    <row r="380" spans="1:22" x14ac:dyDescent="0.5">
      <c r="A380" s="3" t="s">
        <v>1666</v>
      </c>
      <c r="B380" s="4" t="s">
        <v>83</v>
      </c>
      <c r="C380" s="4" t="s">
        <v>222</v>
      </c>
      <c r="D380" s="4" t="s">
        <v>1221</v>
      </c>
      <c r="E380" s="4" t="s">
        <v>1667</v>
      </c>
      <c r="F380" s="4" t="s">
        <v>180</v>
      </c>
      <c r="G380" s="4" t="s">
        <v>76</v>
      </c>
      <c r="H380" s="4" t="s">
        <v>1668</v>
      </c>
      <c r="I380" s="4" t="s">
        <v>212</v>
      </c>
      <c r="J380" s="4" t="s">
        <v>45</v>
      </c>
      <c r="K380" s="4" t="s">
        <v>122</v>
      </c>
      <c r="L380" s="4" t="s">
        <v>227</v>
      </c>
      <c r="M380" s="4">
        <v>3</v>
      </c>
      <c r="N380" s="4">
        <v>20</v>
      </c>
      <c r="O380" s="57">
        <v>15</v>
      </c>
      <c r="P380" s="4">
        <v>51</v>
      </c>
      <c r="Q380" s="4">
        <v>3</v>
      </c>
      <c r="R380" s="4" t="s">
        <v>34</v>
      </c>
      <c r="S380" s="4" t="s">
        <v>115</v>
      </c>
      <c r="T380" s="4" t="s">
        <v>89</v>
      </c>
      <c r="U380" s="6" t="s">
        <v>1669</v>
      </c>
      <c r="V380" s="4" t="s">
        <v>64</v>
      </c>
    </row>
    <row r="381" spans="1:22" x14ac:dyDescent="0.5">
      <c r="A381" s="7" t="s">
        <v>1670</v>
      </c>
      <c r="B381" s="8" t="s">
        <v>251</v>
      </c>
      <c r="C381" s="8" t="s">
        <v>54</v>
      </c>
      <c r="D381" s="8" t="s">
        <v>788</v>
      </c>
      <c r="E381" s="8" t="s">
        <v>455</v>
      </c>
      <c r="F381" s="8" t="s">
        <v>254</v>
      </c>
      <c r="G381" s="8" t="s">
        <v>28</v>
      </c>
      <c r="H381" s="8" t="s">
        <v>1671</v>
      </c>
      <c r="I381" s="8" t="s">
        <v>44</v>
      </c>
      <c r="J381" s="8" t="s">
        <v>45</v>
      </c>
      <c r="K381" s="8" t="s">
        <v>46</v>
      </c>
      <c r="L381" s="8" t="s">
        <v>60</v>
      </c>
      <c r="M381" s="8">
        <v>8</v>
      </c>
      <c r="N381" s="8">
        <v>55000</v>
      </c>
      <c r="O381" s="58">
        <v>20</v>
      </c>
      <c r="P381" s="8">
        <v>352000</v>
      </c>
      <c r="Q381" s="8">
        <v>5</v>
      </c>
      <c r="R381" s="8" t="s">
        <v>79</v>
      </c>
      <c r="S381" s="8" t="s">
        <v>151</v>
      </c>
      <c r="T381" s="8" t="s">
        <v>256</v>
      </c>
      <c r="U381" s="9" t="s">
        <v>1672</v>
      </c>
      <c r="V381" s="8" t="s">
        <v>64</v>
      </c>
    </row>
    <row r="382" spans="1:22" x14ac:dyDescent="0.5">
      <c r="A382" s="3" t="s">
        <v>1673</v>
      </c>
      <c r="B382" s="4" t="s">
        <v>251</v>
      </c>
      <c r="C382" s="4" t="s">
        <v>118</v>
      </c>
      <c r="D382" s="4" t="s">
        <v>1311</v>
      </c>
      <c r="E382" s="4" t="s">
        <v>74</v>
      </c>
      <c r="F382" s="4" t="s">
        <v>254</v>
      </c>
      <c r="G382" s="4" t="s">
        <v>28</v>
      </c>
      <c r="H382" s="4" t="s">
        <v>1674</v>
      </c>
      <c r="I382" s="4" t="s">
        <v>44</v>
      </c>
      <c r="J382" s="4" t="s">
        <v>45</v>
      </c>
      <c r="K382" s="4" t="s">
        <v>122</v>
      </c>
      <c r="L382" s="4" t="s">
        <v>123</v>
      </c>
      <c r="M382" s="4">
        <v>17</v>
      </c>
      <c r="N382" s="4">
        <v>60</v>
      </c>
      <c r="O382" s="57">
        <v>20</v>
      </c>
      <c r="P382" s="4">
        <v>816</v>
      </c>
      <c r="Q382" s="4">
        <v>1</v>
      </c>
      <c r="R382" s="4" t="s">
        <v>88</v>
      </c>
      <c r="S382" s="4" t="s">
        <v>35</v>
      </c>
      <c r="T382" s="4" t="s">
        <v>256</v>
      </c>
      <c r="U382" s="6" t="s">
        <v>1675</v>
      </c>
      <c r="V382" s="4" t="s">
        <v>64</v>
      </c>
    </row>
    <row r="383" spans="1:22" x14ac:dyDescent="0.5">
      <c r="A383" s="7" t="s">
        <v>1676</v>
      </c>
      <c r="B383" s="8" t="s">
        <v>127</v>
      </c>
      <c r="C383" s="8" t="s">
        <v>222</v>
      </c>
      <c r="D383" s="8" t="s">
        <v>1677</v>
      </c>
      <c r="E383" s="8" t="s">
        <v>236</v>
      </c>
      <c r="F383" s="8" t="s">
        <v>200</v>
      </c>
      <c r="G383" s="8" t="s">
        <v>76</v>
      </c>
      <c r="H383" s="8" t="s">
        <v>1678</v>
      </c>
      <c r="I383" s="8" t="s">
        <v>59</v>
      </c>
      <c r="J383" s="8" t="s">
        <v>31</v>
      </c>
      <c r="K383" s="8" t="s">
        <v>122</v>
      </c>
      <c r="L383" s="8" t="s">
        <v>227</v>
      </c>
      <c r="M383" s="8">
        <v>4</v>
      </c>
      <c r="N383" s="8">
        <v>20</v>
      </c>
      <c r="O383" s="58">
        <v>15</v>
      </c>
      <c r="P383" s="8">
        <v>68</v>
      </c>
      <c r="Q383" s="8">
        <v>3</v>
      </c>
      <c r="R383" s="8" t="s">
        <v>48</v>
      </c>
      <c r="S383" s="8" t="s">
        <v>61</v>
      </c>
      <c r="T383" s="8" t="s">
        <v>132</v>
      </c>
      <c r="U383" s="9" t="s">
        <v>1679</v>
      </c>
      <c r="V383" s="8" t="s">
        <v>64</v>
      </c>
    </row>
    <row r="384" spans="1:22" x14ac:dyDescent="0.5">
      <c r="A384" s="3" t="s">
        <v>1680</v>
      </c>
      <c r="B384" s="4" t="s">
        <v>127</v>
      </c>
      <c r="C384" s="4" t="s">
        <v>24</v>
      </c>
      <c r="D384" s="4" t="s">
        <v>1360</v>
      </c>
      <c r="E384" s="4" t="s">
        <v>775</v>
      </c>
      <c r="F384" s="4" t="s">
        <v>1681</v>
      </c>
      <c r="G384" s="4" t="s">
        <v>76</v>
      </c>
      <c r="H384" s="4" t="s">
        <v>1682</v>
      </c>
      <c r="I384" s="4" t="s">
        <v>294</v>
      </c>
      <c r="J384" s="4" t="s">
        <v>295</v>
      </c>
      <c r="K384" s="4" t="s">
        <v>32</v>
      </c>
      <c r="L384" s="4" t="s">
        <v>33</v>
      </c>
      <c r="M384" s="4">
        <v>2</v>
      </c>
      <c r="N384" s="4">
        <v>2200</v>
      </c>
      <c r="O384" s="57">
        <v>10</v>
      </c>
      <c r="P384" s="4">
        <v>3960</v>
      </c>
      <c r="Q384" s="4">
        <v>2</v>
      </c>
      <c r="R384" s="4" t="s">
        <v>88</v>
      </c>
      <c r="S384" s="4" t="s">
        <v>49</v>
      </c>
      <c r="T384" s="4" t="s">
        <v>132</v>
      </c>
      <c r="U384" s="6" t="s">
        <v>1683</v>
      </c>
      <c r="V384" s="4" t="s">
        <v>64</v>
      </c>
    </row>
    <row r="385" spans="1:22" x14ac:dyDescent="0.5">
      <c r="A385" s="7" t="s">
        <v>1684</v>
      </c>
      <c r="B385" s="8" t="s">
        <v>221</v>
      </c>
      <c r="C385" s="8" t="s">
        <v>118</v>
      </c>
      <c r="D385" s="8" t="s">
        <v>366</v>
      </c>
      <c r="E385" s="8" t="s">
        <v>539</v>
      </c>
      <c r="F385" s="8" t="s">
        <v>225</v>
      </c>
      <c r="G385" s="8" t="s">
        <v>76</v>
      </c>
      <c r="H385" s="8" t="s">
        <v>1685</v>
      </c>
      <c r="I385" s="8" t="s">
        <v>59</v>
      </c>
      <c r="J385" s="8" t="s">
        <v>31</v>
      </c>
      <c r="K385" s="8" t="s">
        <v>122</v>
      </c>
      <c r="L385" s="8" t="s">
        <v>123</v>
      </c>
      <c r="M385" s="8">
        <v>5</v>
      </c>
      <c r="N385" s="8">
        <v>60</v>
      </c>
      <c r="O385" s="58">
        <v>5</v>
      </c>
      <c r="P385" s="8">
        <v>285</v>
      </c>
      <c r="Q385" s="8">
        <v>1</v>
      </c>
      <c r="R385" s="8" t="s">
        <v>88</v>
      </c>
      <c r="S385" s="8" t="s">
        <v>35</v>
      </c>
      <c r="T385" s="8" t="s">
        <v>228</v>
      </c>
      <c r="U385" s="9" t="s">
        <v>1686</v>
      </c>
      <c r="V385" s="8" t="s">
        <v>69</v>
      </c>
    </row>
    <row r="386" spans="1:22" x14ac:dyDescent="0.5">
      <c r="A386" s="3" t="s">
        <v>1687</v>
      </c>
      <c r="B386" s="4" t="s">
        <v>127</v>
      </c>
      <c r="C386" s="4" t="s">
        <v>24</v>
      </c>
      <c r="D386" s="4" t="s">
        <v>1688</v>
      </c>
      <c r="E386" s="4" t="s">
        <v>1689</v>
      </c>
      <c r="F386" s="4" t="s">
        <v>200</v>
      </c>
      <c r="G386" s="4" t="s">
        <v>76</v>
      </c>
      <c r="H386" s="4" t="s">
        <v>1690</v>
      </c>
      <c r="I386" s="4" t="s">
        <v>44</v>
      </c>
      <c r="J386" s="4" t="s">
        <v>45</v>
      </c>
      <c r="K386" s="4" t="s">
        <v>32</v>
      </c>
      <c r="L386" s="4" t="s">
        <v>33</v>
      </c>
      <c r="M386" s="4">
        <v>17</v>
      </c>
      <c r="N386" s="4">
        <v>2200</v>
      </c>
      <c r="O386" s="57">
        <v>0</v>
      </c>
      <c r="P386" s="4">
        <v>37400</v>
      </c>
      <c r="Q386" s="4">
        <v>2</v>
      </c>
      <c r="R386" s="4" t="s">
        <v>88</v>
      </c>
      <c r="S386" s="4" t="s">
        <v>151</v>
      </c>
      <c r="T386" s="4" t="s">
        <v>132</v>
      </c>
      <c r="U386" s="6" t="s">
        <v>1691</v>
      </c>
      <c r="V386" s="4" t="s">
        <v>69</v>
      </c>
    </row>
    <row r="387" spans="1:22" x14ac:dyDescent="0.5">
      <c r="A387" s="7" t="s">
        <v>1692</v>
      </c>
      <c r="B387" s="8" t="s">
        <v>168</v>
      </c>
      <c r="C387" s="8" t="s">
        <v>118</v>
      </c>
      <c r="D387" s="8" t="s">
        <v>186</v>
      </c>
      <c r="E387" s="8" t="s">
        <v>610</v>
      </c>
      <c r="F387" s="8" t="s">
        <v>361</v>
      </c>
      <c r="G387" s="8" t="s">
        <v>28</v>
      </c>
      <c r="H387" s="8" t="s">
        <v>1693</v>
      </c>
      <c r="I387" s="8" t="s">
        <v>138</v>
      </c>
      <c r="J387" s="8" t="s">
        <v>106</v>
      </c>
      <c r="K387" s="8" t="s">
        <v>122</v>
      </c>
      <c r="L387" s="8" t="s">
        <v>123</v>
      </c>
      <c r="M387" s="8">
        <v>7</v>
      </c>
      <c r="N387" s="8">
        <v>60</v>
      </c>
      <c r="O387" s="58">
        <v>0</v>
      </c>
      <c r="P387" s="8">
        <v>420</v>
      </c>
      <c r="Q387" s="8">
        <v>2</v>
      </c>
      <c r="R387" s="8" t="s">
        <v>88</v>
      </c>
      <c r="S387" s="8" t="s">
        <v>61</v>
      </c>
      <c r="T387" s="8" t="s">
        <v>175</v>
      </c>
      <c r="U387" s="9" t="s">
        <v>1694</v>
      </c>
      <c r="V387" s="8" t="s">
        <v>64</v>
      </c>
    </row>
    <row r="388" spans="1:22" x14ac:dyDescent="0.5">
      <c r="A388" s="3" t="s">
        <v>1695</v>
      </c>
      <c r="B388" s="4" t="s">
        <v>221</v>
      </c>
      <c r="C388" s="4" t="s">
        <v>54</v>
      </c>
      <c r="D388" s="4" t="s">
        <v>702</v>
      </c>
      <c r="E388" s="4" t="s">
        <v>1696</v>
      </c>
      <c r="F388" s="4" t="s">
        <v>225</v>
      </c>
      <c r="G388" s="4" t="s">
        <v>76</v>
      </c>
      <c r="H388" s="4" t="s">
        <v>1697</v>
      </c>
      <c r="I388" s="4" t="s">
        <v>30</v>
      </c>
      <c r="J388" s="4" t="s">
        <v>31</v>
      </c>
      <c r="K388" s="4" t="s">
        <v>46</v>
      </c>
      <c r="L388" s="4" t="s">
        <v>60</v>
      </c>
      <c r="M388" s="4">
        <v>6</v>
      </c>
      <c r="N388" s="4">
        <v>55000</v>
      </c>
      <c r="O388" s="57">
        <v>5</v>
      </c>
      <c r="P388" s="4">
        <v>313500</v>
      </c>
      <c r="Q388" s="4">
        <v>4</v>
      </c>
      <c r="R388" s="4" t="s">
        <v>79</v>
      </c>
      <c r="S388" s="4" t="s">
        <v>61</v>
      </c>
      <c r="T388" s="4" t="s">
        <v>228</v>
      </c>
      <c r="U388" s="6" t="s">
        <v>1698</v>
      </c>
      <c r="V388" s="4" t="s">
        <v>38</v>
      </c>
    </row>
    <row r="389" spans="1:22" x14ac:dyDescent="0.5">
      <c r="A389" s="7" t="s">
        <v>1699</v>
      </c>
      <c r="B389" s="8" t="s">
        <v>71</v>
      </c>
      <c r="C389" s="8" t="s">
        <v>222</v>
      </c>
      <c r="D389" s="8" t="s">
        <v>1306</v>
      </c>
      <c r="E389" s="8" t="s">
        <v>1700</v>
      </c>
      <c r="F389" s="8" t="s">
        <v>217</v>
      </c>
      <c r="G389" s="8" t="s">
        <v>76</v>
      </c>
      <c r="H389" s="8" t="s">
        <v>1701</v>
      </c>
      <c r="I389" s="8" t="s">
        <v>30</v>
      </c>
      <c r="J389" s="8" t="s">
        <v>31</v>
      </c>
      <c r="K389" s="8" t="s">
        <v>122</v>
      </c>
      <c r="L389" s="8" t="s">
        <v>227</v>
      </c>
      <c r="M389" s="8">
        <v>16</v>
      </c>
      <c r="N389" s="8">
        <v>20</v>
      </c>
      <c r="O389" s="58">
        <v>5</v>
      </c>
      <c r="P389" s="8">
        <v>304</v>
      </c>
      <c r="Q389" s="8">
        <v>1</v>
      </c>
      <c r="R389" s="8" t="s">
        <v>79</v>
      </c>
      <c r="S389" s="8" t="s">
        <v>49</v>
      </c>
      <c r="T389" s="8" t="s">
        <v>80</v>
      </c>
      <c r="U389" s="9" t="s">
        <v>1702</v>
      </c>
      <c r="V389" s="8" t="s">
        <v>38</v>
      </c>
    </row>
    <row r="390" spans="1:22" x14ac:dyDescent="0.5">
      <c r="A390" s="3" t="s">
        <v>1703</v>
      </c>
      <c r="B390" s="4" t="s">
        <v>23</v>
      </c>
      <c r="C390" s="4" t="s">
        <v>24</v>
      </c>
      <c r="D390" s="4" t="s">
        <v>1704</v>
      </c>
      <c r="E390" s="4" t="s">
        <v>1705</v>
      </c>
      <c r="F390" s="4" t="s">
        <v>27</v>
      </c>
      <c r="G390" s="4" t="s">
        <v>28</v>
      </c>
      <c r="H390" s="4" t="s">
        <v>1706</v>
      </c>
      <c r="I390" s="4" t="s">
        <v>294</v>
      </c>
      <c r="J390" s="4" t="s">
        <v>295</v>
      </c>
      <c r="K390" s="4" t="s">
        <v>32</v>
      </c>
      <c r="L390" s="4" t="s">
        <v>33</v>
      </c>
      <c r="M390" s="4">
        <v>11</v>
      </c>
      <c r="N390" s="4">
        <v>2200</v>
      </c>
      <c r="O390" s="57">
        <v>15</v>
      </c>
      <c r="P390" s="4">
        <v>20570</v>
      </c>
      <c r="Q390" s="4">
        <v>1</v>
      </c>
      <c r="R390" s="4" t="s">
        <v>48</v>
      </c>
      <c r="S390" s="4" t="s">
        <v>115</v>
      </c>
      <c r="T390" s="4" t="s">
        <v>50</v>
      </c>
      <c r="U390" s="6" t="s">
        <v>1707</v>
      </c>
      <c r="V390" s="4" t="s">
        <v>69</v>
      </c>
    </row>
    <row r="391" spans="1:22" x14ac:dyDescent="0.5">
      <c r="A391" s="7" t="s">
        <v>1708</v>
      </c>
      <c r="B391" s="8" t="s">
        <v>100</v>
      </c>
      <c r="C391" s="8" t="s">
        <v>222</v>
      </c>
      <c r="D391" s="8" t="s">
        <v>1069</v>
      </c>
      <c r="E391" s="8" t="s">
        <v>1409</v>
      </c>
      <c r="F391" s="8" t="s">
        <v>103</v>
      </c>
      <c r="G391" s="8" t="s">
        <v>28</v>
      </c>
      <c r="H391" s="8" t="s">
        <v>1709</v>
      </c>
      <c r="I391" s="8" t="s">
        <v>114</v>
      </c>
      <c r="J391" s="8" t="s">
        <v>106</v>
      </c>
      <c r="K391" s="8" t="s">
        <v>122</v>
      </c>
      <c r="L391" s="8" t="s">
        <v>227</v>
      </c>
      <c r="M391" s="8">
        <v>19</v>
      </c>
      <c r="N391" s="8">
        <v>20</v>
      </c>
      <c r="O391" s="58">
        <v>5</v>
      </c>
      <c r="P391" s="8">
        <v>361</v>
      </c>
      <c r="Q391" s="8">
        <v>4</v>
      </c>
      <c r="R391" s="8" t="s">
        <v>88</v>
      </c>
      <c r="S391" s="8" t="s">
        <v>35</v>
      </c>
      <c r="T391" s="8" t="s">
        <v>144</v>
      </c>
      <c r="U391" s="9" t="s">
        <v>1710</v>
      </c>
      <c r="V391" s="8" t="s">
        <v>64</v>
      </c>
    </row>
    <row r="392" spans="1:22" x14ac:dyDescent="0.5">
      <c r="A392" s="3" t="s">
        <v>1711</v>
      </c>
      <c r="B392" s="4" t="s">
        <v>100</v>
      </c>
      <c r="C392" s="4" t="s">
        <v>72</v>
      </c>
      <c r="D392" s="4" t="s">
        <v>1712</v>
      </c>
      <c r="E392" s="4" t="s">
        <v>1713</v>
      </c>
      <c r="F392" s="4" t="s">
        <v>103</v>
      </c>
      <c r="G392" s="4" t="s">
        <v>28</v>
      </c>
      <c r="H392" s="4" t="s">
        <v>1714</v>
      </c>
      <c r="I392" s="4" t="s">
        <v>114</v>
      </c>
      <c r="J392" s="4" t="s">
        <v>106</v>
      </c>
      <c r="K392" s="4" t="s">
        <v>46</v>
      </c>
      <c r="L392" s="4" t="s">
        <v>78</v>
      </c>
      <c r="M392" s="4">
        <v>20</v>
      </c>
      <c r="N392" s="4">
        <v>1200</v>
      </c>
      <c r="O392" s="57">
        <v>15</v>
      </c>
      <c r="P392" s="4">
        <v>20400</v>
      </c>
      <c r="Q392" s="4">
        <v>4</v>
      </c>
      <c r="R392" s="4" t="s">
        <v>79</v>
      </c>
      <c r="S392" s="4" t="s">
        <v>35</v>
      </c>
      <c r="T392" s="4" t="s">
        <v>144</v>
      </c>
      <c r="U392" s="6" t="s">
        <v>1715</v>
      </c>
      <c r="V392" s="4" t="s">
        <v>64</v>
      </c>
    </row>
    <row r="393" spans="1:22" x14ac:dyDescent="0.5">
      <c r="A393" s="7" t="s">
        <v>1716</v>
      </c>
      <c r="B393" s="8" t="s">
        <v>53</v>
      </c>
      <c r="C393" s="8" t="s">
        <v>222</v>
      </c>
      <c r="D393" s="8" t="s">
        <v>1717</v>
      </c>
      <c r="E393" s="8" t="s">
        <v>1718</v>
      </c>
      <c r="F393" s="8" t="s">
        <v>163</v>
      </c>
      <c r="G393" s="8" t="s">
        <v>28</v>
      </c>
      <c r="H393" s="8" t="s">
        <v>1719</v>
      </c>
      <c r="I393" s="8" t="s">
        <v>30</v>
      </c>
      <c r="J393" s="8" t="s">
        <v>31</v>
      </c>
      <c r="K393" s="8" t="s">
        <v>122</v>
      </c>
      <c r="L393" s="8" t="s">
        <v>227</v>
      </c>
      <c r="M393" s="8">
        <v>13</v>
      </c>
      <c r="N393" s="8">
        <v>20</v>
      </c>
      <c r="O393" s="58">
        <v>15</v>
      </c>
      <c r="P393" s="8">
        <v>221</v>
      </c>
      <c r="Q393" s="8">
        <v>4</v>
      </c>
      <c r="R393" s="8" t="s">
        <v>34</v>
      </c>
      <c r="S393" s="8" t="s">
        <v>35</v>
      </c>
      <c r="T393" s="8" t="s">
        <v>62</v>
      </c>
      <c r="U393" s="9" t="s">
        <v>1720</v>
      </c>
      <c r="V393" s="8" t="s">
        <v>64</v>
      </c>
    </row>
    <row r="394" spans="1:22" x14ac:dyDescent="0.5">
      <c r="A394" s="3" t="s">
        <v>1721</v>
      </c>
      <c r="B394" s="4" t="s">
        <v>251</v>
      </c>
      <c r="C394" s="4" t="s">
        <v>72</v>
      </c>
      <c r="D394" s="4" t="s">
        <v>205</v>
      </c>
      <c r="E394" s="4" t="s">
        <v>206</v>
      </c>
      <c r="F394" s="4" t="s">
        <v>254</v>
      </c>
      <c r="G394" s="4" t="s">
        <v>28</v>
      </c>
      <c r="H394" s="4" t="s">
        <v>1722</v>
      </c>
      <c r="I394" s="4" t="s">
        <v>44</v>
      </c>
      <c r="J394" s="4" t="s">
        <v>45</v>
      </c>
      <c r="K394" s="4" t="s">
        <v>46</v>
      </c>
      <c r="L394" s="4" t="s">
        <v>78</v>
      </c>
      <c r="M394" s="4">
        <v>12</v>
      </c>
      <c r="N394" s="4">
        <v>1200</v>
      </c>
      <c r="O394" s="57">
        <v>10</v>
      </c>
      <c r="P394" s="4">
        <v>12960</v>
      </c>
      <c r="Q394" s="4">
        <v>3</v>
      </c>
      <c r="R394" s="4" t="s">
        <v>48</v>
      </c>
      <c r="S394" s="4" t="s">
        <v>35</v>
      </c>
      <c r="T394" s="4" t="s">
        <v>256</v>
      </c>
      <c r="U394" s="6" t="s">
        <v>1723</v>
      </c>
      <c r="V394" s="4" t="s">
        <v>64</v>
      </c>
    </row>
    <row r="395" spans="1:22" x14ac:dyDescent="0.5">
      <c r="A395" s="7" t="s">
        <v>1724</v>
      </c>
      <c r="B395" s="8" t="s">
        <v>100</v>
      </c>
      <c r="C395" s="8" t="s">
        <v>169</v>
      </c>
      <c r="D395" s="8" t="s">
        <v>1705</v>
      </c>
      <c r="E395" s="8" t="s">
        <v>783</v>
      </c>
      <c r="F395" s="8" t="s">
        <v>103</v>
      </c>
      <c r="G395" s="8" t="s">
        <v>28</v>
      </c>
      <c r="H395" s="8" t="s">
        <v>1725</v>
      </c>
      <c r="I395" s="8" t="s">
        <v>294</v>
      </c>
      <c r="J395" s="8" t="s">
        <v>295</v>
      </c>
      <c r="K395" s="8" t="s">
        <v>32</v>
      </c>
      <c r="L395" s="8" t="s">
        <v>174</v>
      </c>
      <c r="M395" s="8">
        <v>6</v>
      </c>
      <c r="N395" s="8">
        <v>8500</v>
      </c>
      <c r="O395" s="58">
        <v>5</v>
      </c>
      <c r="P395" s="8">
        <v>48450</v>
      </c>
      <c r="Q395" s="8">
        <v>5</v>
      </c>
      <c r="R395" s="8" t="s">
        <v>34</v>
      </c>
      <c r="S395" s="8" t="s">
        <v>115</v>
      </c>
      <c r="T395" s="8" t="s">
        <v>144</v>
      </c>
      <c r="U395" s="9" t="s">
        <v>1726</v>
      </c>
      <c r="V395" s="8" t="s">
        <v>69</v>
      </c>
    </row>
    <row r="396" spans="1:22" x14ac:dyDescent="0.5">
      <c r="A396" s="3" t="s">
        <v>1727</v>
      </c>
      <c r="B396" s="4" t="s">
        <v>23</v>
      </c>
      <c r="C396" s="4" t="s">
        <v>169</v>
      </c>
      <c r="D396" s="4" t="s">
        <v>1302</v>
      </c>
      <c r="E396" s="4" t="s">
        <v>1728</v>
      </c>
      <c r="F396" s="4" t="s">
        <v>27</v>
      </c>
      <c r="G396" s="4" t="s">
        <v>28</v>
      </c>
      <c r="H396" s="4" t="s">
        <v>1729</v>
      </c>
      <c r="I396" s="4" t="s">
        <v>138</v>
      </c>
      <c r="J396" s="4" t="s">
        <v>106</v>
      </c>
      <c r="K396" s="4" t="s">
        <v>32</v>
      </c>
      <c r="L396" s="4" t="s">
        <v>174</v>
      </c>
      <c r="M396" s="4">
        <v>15</v>
      </c>
      <c r="N396" s="4">
        <v>8500</v>
      </c>
      <c r="O396" s="57">
        <v>10</v>
      </c>
      <c r="P396" s="4">
        <v>114750</v>
      </c>
      <c r="Q396" s="4">
        <v>1</v>
      </c>
      <c r="R396" s="4" t="s">
        <v>34</v>
      </c>
      <c r="S396" s="4" t="s">
        <v>115</v>
      </c>
      <c r="T396" s="4" t="s">
        <v>50</v>
      </c>
      <c r="U396" s="6" t="s">
        <v>1730</v>
      </c>
      <c r="V396" s="4" t="s">
        <v>38</v>
      </c>
    </row>
    <row r="397" spans="1:22" x14ac:dyDescent="0.5">
      <c r="A397" s="7" t="s">
        <v>1731</v>
      </c>
      <c r="B397" s="8" t="s">
        <v>127</v>
      </c>
      <c r="C397" s="8" t="s">
        <v>40</v>
      </c>
      <c r="D397" s="8" t="s">
        <v>1732</v>
      </c>
      <c r="E397" s="8" t="s">
        <v>1733</v>
      </c>
      <c r="F397" s="8" t="s">
        <v>200</v>
      </c>
      <c r="G397" s="8" t="s">
        <v>76</v>
      </c>
      <c r="H397" s="8" t="s">
        <v>1734</v>
      </c>
      <c r="I397" s="8" t="s">
        <v>30</v>
      </c>
      <c r="J397" s="8" t="s">
        <v>31</v>
      </c>
      <c r="K397" s="8" t="s">
        <v>46</v>
      </c>
      <c r="L397" s="8" t="s">
        <v>47</v>
      </c>
      <c r="M397" s="8">
        <v>19</v>
      </c>
      <c r="N397" s="8">
        <v>12000</v>
      </c>
      <c r="O397" s="58">
        <v>20</v>
      </c>
      <c r="P397" s="8">
        <v>182400</v>
      </c>
      <c r="Q397" s="8">
        <v>5</v>
      </c>
      <c r="R397" s="8" t="s">
        <v>34</v>
      </c>
      <c r="S397" s="8" t="s">
        <v>115</v>
      </c>
      <c r="T397" s="8" t="s">
        <v>132</v>
      </c>
      <c r="U397" s="9" t="s">
        <v>1735</v>
      </c>
      <c r="V397" s="8" t="s">
        <v>38</v>
      </c>
    </row>
    <row r="398" spans="1:22" x14ac:dyDescent="0.5">
      <c r="A398" s="3" t="s">
        <v>1736</v>
      </c>
      <c r="B398" s="4" t="s">
        <v>83</v>
      </c>
      <c r="C398" s="4" t="s">
        <v>184</v>
      </c>
      <c r="D398" s="4" t="s">
        <v>142</v>
      </c>
      <c r="E398" s="4" t="s">
        <v>1737</v>
      </c>
      <c r="F398" s="4" t="s">
        <v>180</v>
      </c>
      <c r="G398" s="4" t="s">
        <v>76</v>
      </c>
      <c r="H398" s="4" t="s">
        <v>1738</v>
      </c>
      <c r="I398" s="4" t="s">
        <v>44</v>
      </c>
      <c r="J398" s="4" t="s">
        <v>45</v>
      </c>
      <c r="K398" s="4" t="s">
        <v>46</v>
      </c>
      <c r="L398" s="4" t="s">
        <v>189</v>
      </c>
      <c r="M398" s="4">
        <v>5</v>
      </c>
      <c r="N398" s="4">
        <v>700</v>
      </c>
      <c r="O398" s="57">
        <v>0</v>
      </c>
      <c r="P398" s="4">
        <v>3500</v>
      </c>
      <c r="Q398" s="4">
        <v>2</v>
      </c>
      <c r="R398" s="4" t="s">
        <v>79</v>
      </c>
      <c r="S398" s="4" t="s">
        <v>61</v>
      </c>
      <c r="T398" s="4" t="s">
        <v>89</v>
      </c>
      <c r="U398" s="6" t="s">
        <v>1739</v>
      </c>
      <c r="V398" s="4" t="s">
        <v>69</v>
      </c>
    </row>
    <row r="399" spans="1:22" x14ac:dyDescent="0.5">
      <c r="A399" s="7" t="s">
        <v>1740</v>
      </c>
      <c r="B399" s="8" t="s">
        <v>83</v>
      </c>
      <c r="C399" s="8" t="s">
        <v>40</v>
      </c>
      <c r="D399" s="8" t="s">
        <v>1654</v>
      </c>
      <c r="E399" s="8" t="s">
        <v>765</v>
      </c>
      <c r="F399" s="8" t="s">
        <v>180</v>
      </c>
      <c r="G399" s="8" t="s">
        <v>76</v>
      </c>
      <c r="H399" s="8" t="s">
        <v>1741</v>
      </c>
      <c r="I399" s="8" t="s">
        <v>294</v>
      </c>
      <c r="J399" s="8" t="s">
        <v>295</v>
      </c>
      <c r="K399" s="8" t="s">
        <v>46</v>
      </c>
      <c r="L399" s="8" t="s">
        <v>47</v>
      </c>
      <c r="M399" s="8">
        <v>19</v>
      </c>
      <c r="N399" s="8">
        <v>12000</v>
      </c>
      <c r="O399" s="58">
        <v>0</v>
      </c>
      <c r="P399" s="8">
        <v>228000</v>
      </c>
      <c r="Q399" s="8">
        <v>4</v>
      </c>
      <c r="R399" s="8" t="s">
        <v>88</v>
      </c>
      <c r="S399" s="8" t="s">
        <v>61</v>
      </c>
      <c r="T399" s="8" t="s">
        <v>89</v>
      </c>
      <c r="U399" s="9" t="s">
        <v>1742</v>
      </c>
      <c r="V399" s="8" t="s">
        <v>64</v>
      </c>
    </row>
    <row r="400" spans="1:22" x14ac:dyDescent="0.5">
      <c r="A400" s="3" t="s">
        <v>1743</v>
      </c>
      <c r="B400" s="4" t="s">
        <v>327</v>
      </c>
      <c r="C400" s="4" t="s">
        <v>184</v>
      </c>
      <c r="D400" s="4"/>
      <c r="E400" s="4" t="s">
        <v>1225</v>
      </c>
      <c r="F400" s="4" t="s">
        <v>394</v>
      </c>
      <c r="G400" s="4" t="s">
        <v>76</v>
      </c>
      <c r="H400" s="4" t="s">
        <v>1744</v>
      </c>
      <c r="I400" s="4" t="s">
        <v>59</v>
      </c>
      <c r="J400" s="4" t="s">
        <v>31</v>
      </c>
      <c r="K400" s="4" t="s">
        <v>46</v>
      </c>
      <c r="L400" s="4" t="s">
        <v>189</v>
      </c>
      <c r="M400" s="4">
        <v>12</v>
      </c>
      <c r="N400" s="4">
        <v>700</v>
      </c>
      <c r="O400" s="57">
        <v>15</v>
      </c>
      <c r="P400" s="4">
        <v>7140</v>
      </c>
      <c r="Q400" s="4">
        <v>3</v>
      </c>
      <c r="R400" s="4" t="s">
        <v>79</v>
      </c>
      <c r="S400" s="4" t="s">
        <v>35</v>
      </c>
      <c r="T400" s="4" t="s">
        <v>332</v>
      </c>
      <c r="U400" s="6" t="s">
        <v>1745</v>
      </c>
      <c r="V400" s="4" t="s">
        <v>38</v>
      </c>
    </row>
    <row r="401" spans="1:22" x14ac:dyDescent="0.5">
      <c r="A401" s="7" t="s">
        <v>1746</v>
      </c>
      <c r="B401" s="8" t="s">
        <v>23</v>
      </c>
      <c r="C401" s="8" t="s">
        <v>72</v>
      </c>
      <c r="D401" s="8" t="s">
        <v>1747</v>
      </c>
      <c r="E401" s="8" t="s">
        <v>707</v>
      </c>
      <c r="F401" s="8" t="s">
        <v>27</v>
      </c>
      <c r="G401" s="8" t="s">
        <v>28</v>
      </c>
      <c r="H401" s="8" t="s">
        <v>1748</v>
      </c>
      <c r="I401" s="8" t="s">
        <v>44</v>
      </c>
      <c r="J401" s="8" t="s">
        <v>45</v>
      </c>
      <c r="K401" s="8" t="s">
        <v>46</v>
      </c>
      <c r="L401" s="8" t="s">
        <v>78</v>
      </c>
      <c r="M401" s="8">
        <v>16</v>
      </c>
      <c r="N401" s="8">
        <v>1200</v>
      </c>
      <c r="O401" s="58">
        <v>20</v>
      </c>
      <c r="P401" s="8">
        <v>15360</v>
      </c>
      <c r="Q401" s="8">
        <v>1</v>
      </c>
      <c r="R401" s="8" t="s">
        <v>34</v>
      </c>
      <c r="S401" s="8" t="s">
        <v>49</v>
      </c>
      <c r="T401" s="8" t="s">
        <v>50</v>
      </c>
      <c r="U401" s="9" t="s">
        <v>1749</v>
      </c>
      <c r="V401" s="8" t="s">
        <v>64</v>
      </c>
    </row>
    <row r="402" spans="1:22" x14ac:dyDescent="0.5">
      <c r="A402" s="3" t="s">
        <v>1750</v>
      </c>
      <c r="B402" s="4" t="s">
        <v>71</v>
      </c>
      <c r="C402" s="4" t="s">
        <v>169</v>
      </c>
      <c r="D402" s="4" t="s">
        <v>1052</v>
      </c>
      <c r="E402" s="4" t="s">
        <v>84</v>
      </c>
      <c r="F402" s="4" t="s">
        <v>217</v>
      </c>
      <c r="G402" s="4" t="s">
        <v>76</v>
      </c>
      <c r="H402" s="4" t="s">
        <v>1751</v>
      </c>
      <c r="I402" s="4" t="s">
        <v>30</v>
      </c>
      <c r="J402" s="4" t="s">
        <v>31</v>
      </c>
      <c r="K402" s="4" t="s">
        <v>32</v>
      </c>
      <c r="L402" s="4" t="s">
        <v>174</v>
      </c>
      <c r="M402" s="4">
        <v>10</v>
      </c>
      <c r="N402" s="4">
        <v>8500</v>
      </c>
      <c r="O402" s="57">
        <v>5</v>
      </c>
      <c r="P402" s="4">
        <v>80750</v>
      </c>
      <c r="Q402" s="4">
        <v>5</v>
      </c>
      <c r="R402" s="4" t="s">
        <v>48</v>
      </c>
      <c r="S402" s="4" t="s">
        <v>35</v>
      </c>
      <c r="T402" s="4" t="s">
        <v>80</v>
      </c>
      <c r="U402" s="6" t="s">
        <v>1752</v>
      </c>
      <c r="V402" s="4" t="s">
        <v>38</v>
      </c>
    </row>
    <row r="403" spans="1:22" x14ac:dyDescent="0.5">
      <c r="A403" s="7" t="s">
        <v>1753</v>
      </c>
      <c r="B403" s="8" t="s">
        <v>23</v>
      </c>
      <c r="C403" s="8" t="s">
        <v>222</v>
      </c>
      <c r="D403" s="8" t="s">
        <v>1373</v>
      </c>
      <c r="E403" s="8" t="s">
        <v>386</v>
      </c>
      <c r="F403" s="8" t="s">
        <v>27</v>
      </c>
      <c r="G403" s="8" t="s">
        <v>28</v>
      </c>
      <c r="H403" s="8" t="s">
        <v>1754</v>
      </c>
      <c r="I403" s="8" t="s">
        <v>138</v>
      </c>
      <c r="J403" s="8" t="s">
        <v>106</v>
      </c>
      <c r="K403" s="8" t="s">
        <v>122</v>
      </c>
      <c r="L403" s="8" t="s">
        <v>227</v>
      </c>
      <c r="M403" s="8">
        <v>18</v>
      </c>
      <c r="N403" s="8">
        <v>20</v>
      </c>
      <c r="O403" s="58">
        <v>20</v>
      </c>
      <c r="P403" s="8">
        <v>288</v>
      </c>
      <c r="Q403" s="8">
        <v>1</v>
      </c>
      <c r="R403" s="8" t="s">
        <v>88</v>
      </c>
      <c r="S403" s="8" t="s">
        <v>35</v>
      </c>
      <c r="T403" s="8" t="s">
        <v>50</v>
      </c>
      <c r="U403" s="9" t="s">
        <v>1755</v>
      </c>
      <c r="V403" s="8" t="s">
        <v>64</v>
      </c>
    </row>
    <row r="404" spans="1:22" x14ac:dyDescent="0.5">
      <c r="A404" s="3" t="s">
        <v>1756</v>
      </c>
      <c r="B404" s="4" t="s">
        <v>71</v>
      </c>
      <c r="C404" s="4" t="s">
        <v>169</v>
      </c>
      <c r="D404" s="4" t="s">
        <v>241</v>
      </c>
      <c r="E404" s="4" t="s">
        <v>404</v>
      </c>
      <c r="F404" s="4" t="s">
        <v>217</v>
      </c>
      <c r="G404" s="4" t="s">
        <v>76</v>
      </c>
      <c r="H404" s="4" t="s">
        <v>1757</v>
      </c>
      <c r="I404" s="4" t="s">
        <v>105</v>
      </c>
      <c r="J404" s="4" t="s">
        <v>106</v>
      </c>
      <c r="K404" s="4" t="s">
        <v>32</v>
      </c>
      <c r="L404" s="4" t="s">
        <v>174</v>
      </c>
      <c r="M404" s="4">
        <v>9</v>
      </c>
      <c r="N404" s="4">
        <v>8500</v>
      </c>
      <c r="O404" s="57">
        <v>0</v>
      </c>
      <c r="P404" s="4">
        <v>76500</v>
      </c>
      <c r="Q404" s="4">
        <v>2</v>
      </c>
      <c r="R404" s="4" t="s">
        <v>79</v>
      </c>
      <c r="S404" s="4" t="s">
        <v>35</v>
      </c>
      <c r="T404" s="4" t="s">
        <v>80</v>
      </c>
      <c r="U404" s="6" t="s">
        <v>1758</v>
      </c>
      <c r="V404" s="4" t="s">
        <v>64</v>
      </c>
    </row>
    <row r="405" spans="1:22" x14ac:dyDescent="0.5">
      <c r="A405" s="7" t="s">
        <v>1759</v>
      </c>
      <c r="B405" s="8" t="s">
        <v>23</v>
      </c>
      <c r="C405" s="8" t="s">
        <v>169</v>
      </c>
      <c r="D405" s="8" t="s">
        <v>1221</v>
      </c>
      <c r="E405" s="8" t="s">
        <v>1760</v>
      </c>
      <c r="F405" s="8" t="s">
        <v>27</v>
      </c>
      <c r="G405" s="8" t="s">
        <v>28</v>
      </c>
      <c r="H405" s="8" t="s">
        <v>1761</v>
      </c>
      <c r="I405" s="8" t="s">
        <v>105</v>
      </c>
      <c r="J405" s="8" t="s">
        <v>106</v>
      </c>
      <c r="K405" s="8" t="s">
        <v>32</v>
      </c>
      <c r="L405" s="8" t="s">
        <v>174</v>
      </c>
      <c r="M405" s="8">
        <v>8</v>
      </c>
      <c r="N405" s="8">
        <v>8500</v>
      </c>
      <c r="O405" s="58">
        <v>10</v>
      </c>
      <c r="P405" s="8">
        <v>61200</v>
      </c>
      <c r="Q405" s="8">
        <v>4</v>
      </c>
      <c r="R405" s="8" t="s">
        <v>34</v>
      </c>
      <c r="S405" s="8" t="s">
        <v>115</v>
      </c>
      <c r="T405" s="8" t="s">
        <v>50</v>
      </c>
      <c r="U405" s="9" t="s">
        <v>1762</v>
      </c>
      <c r="V405" s="8" t="s">
        <v>69</v>
      </c>
    </row>
    <row r="406" spans="1:22" x14ac:dyDescent="0.5">
      <c r="A406" s="3" t="s">
        <v>1763</v>
      </c>
      <c r="B406" s="4" t="s">
        <v>53</v>
      </c>
      <c r="C406" s="4" t="s">
        <v>222</v>
      </c>
      <c r="D406" s="4" t="s">
        <v>483</v>
      </c>
      <c r="E406" s="4" t="s">
        <v>1764</v>
      </c>
      <c r="F406" s="4" t="s">
        <v>163</v>
      </c>
      <c r="G406" s="4" t="s">
        <v>28</v>
      </c>
      <c r="H406" s="4" t="s">
        <v>1765</v>
      </c>
      <c r="I406" s="4" t="s">
        <v>114</v>
      </c>
      <c r="J406" s="4" t="s">
        <v>106</v>
      </c>
      <c r="K406" s="4" t="s">
        <v>122</v>
      </c>
      <c r="L406" s="4" t="s">
        <v>227</v>
      </c>
      <c r="M406" s="4">
        <v>3</v>
      </c>
      <c r="N406" s="4">
        <v>20</v>
      </c>
      <c r="O406" s="57">
        <v>10</v>
      </c>
      <c r="P406" s="4">
        <v>54</v>
      </c>
      <c r="Q406" s="4">
        <v>3</v>
      </c>
      <c r="R406" s="4" t="s">
        <v>79</v>
      </c>
      <c r="S406" s="4" t="s">
        <v>151</v>
      </c>
      <c r="T406" s="4" t="s">
        <v>62</v>
      </c>
      <c r="U406" s="6" t="s">
        <v>1766</v>
      </c>
      <c r="V406" s="4" t="s">
        <v>64</v>
      </c>
    </row>
    <row r="407" spans="1:22" x14ac:dyDescent="0.5">
      <c r="A407" s="7" t="s">
        <v>1767</v>
      </c>
      <c r="B407" s="8" t="s">
        <v>168</v>
      </c>
      <c r="C407" s="8" t="s">
        <v>169</v>
      </c>
      <c r="D407" s="8" t="s">
        <v>232</v>
      </c>
      <c r="E407" s="8" t="s">
        <v>641</v>
      </c>
      <c r="F407" s="8" t="s">
        <v>361</v>
      </c>
      <c r="G407" s="8" t="s">
        <v>28</v>
      </c>
      <c r="H407" s="8" t="s">
        <v>1768</v>
      </c>
      <c r="I407" s="8" t="s">
        <v>294</v>
      </c>
      <c r="J407" s="8" t="s">
        <v>295</v>
      </c>
      <c r="K407" s="8" t="s">
        <v>32</v>
      </c>
      <c r="L407" s="8" t="s">
        <v>174</v>
      </c>
      <c r="M407" s="8">
        <v>18</v>
      </c>
      <c r="N407" s="8">
        <v>8500</v>
      </c>
      <c r="O407" s="58">
        <v>10</v>
      </c>
      <c r="P407" s="8">
        <v>137700</v>
      </c>
      <c r="Q407" s="8">
        <v>4</v>
      </c>
      <c r="R407" s="8" t="s">
        <v>34</v>
      </c>
      <c r="S407" s="8" t="s">
        <v>49</v>
      </c>
      <c r="T407" s="8" t="s">
        <v>175</v>
      </c>
      <c r="U407" s="9" t="s">
        <v>1769</v>
      </c>
      <c r="V407" s="8" t="s">
        <v>69</v>
      </c>
    </row>
    <row r="408" spans="1:22" x14ac:dyDescent="0.5">
      <c r="A408" s="3" t="s">
        <v>1770</v>
      </c>
      <c r="B408" s="4" t="s">
        <v>53</v>
      </c>
      <c r="C408" s="4" t="s">
        <v>259</v>
      </c>
      <c r="D408" s="4" t="s">
        <v>308</v>
      </c>
      <c r="E408" s="4" t="s">
        <v>281</v>
      </c>
      <c r="F408" s="4" t="s">
        <v>163</v>
      </c>
      <c r="G408" s="4" t="s">
        <v>28</v>
      </c>
      <c r="H408" s="4" t="s">
        <v>1771</v>
      </c>
      <c r="I408" s="4" t="s">
        <v>114</v>
      </c>
      <c r="J408" s="4" t="s">
        <v>106</v>
      </c>
      <c r="K408" s="4" t="s">
        <v>122</v>
      </c>
      <c r="L408" s="4" t="s">
        <v>263</v>
      </c>
      <c r="M408" s="4">
        <v>5</v>
      </c>
      <c r="N408" s="4">
        <v>45</v>
      </c>
      <c r="O408" s="57">
        <v>10</v>
      </c>
      <c r="P408" s="4">
        <v>202.5</v>
      </c>
      <c r="Q408" s="4">
        <v>3</v>
      </c>
      <c r="R408" s="4" t="s">
        <v>34</v>
      </c>
      <c r="S408" s="4" t="s">
        <v>115</v>
      </c>
      <c r="T408" s="4" t="s">
        <v>62</v>
      </c>
      <c r="U408" s="6" t="s">
        <v>1772</v>
      </c>
      <c r="V408" s="4" t="s">
        <v>64</v>
      </c>
    </row>
    <row r="409" spans="1:22" x14ac:dyDescent="0.5">
      <c r="A409" s="7" t="s">
        <v>1773</v>
      </c>
      <c r="B409" s="8" t="s">
        <v>71</v>
      </c>
      <c r="C409" s="8" t="s">
        <v>259</v>
      </c>
      <c r="D409" s="8" t="s">
        <v>683</v>
      </c>
      <c r="E409" s="8" t="s">
        <v>684</v>
      </c>
      <c r="F409" s="8" t="s">
        <v>217</v>
      </c>
      <c r="G409" s="8" t="s">
        <v>76</v>
      </c>
      <c r="H409" s="8" t="s">
        <v>1774</v>
      </c>
      <c r="I409" s="8" t="s">
        <v>105</v>
      </c>
      <c r="J409" s="8" t="s">
        <v>106</v>
      </c>
      <c r="K409" s="8" t="s">
        <v>122</v>
      </c>
      <c r="L409" s="8" t="s">
        <v>263</v>
      </c>
      <c r="M409" s="8">
        <v>2</v>
      </c>
      <c r="N409" s="8">
        <v>45</v>
      </c>
      <c r="O409" s="58">
        <v>20</v>
      </c>
      <c r="P409" s="8">
        <v>72</v>
      </c>
      <c r="Q409" s="8">
        <v>5</v>
      </c>
      <c r="R409" s="8" t="s">
        <v>88</v>
      </c>
      <c r="S409" s="8" t="s">
        <v>61</v>
      </c>
      <c r="T409" s="8" t="s">
        <v>80</v>
      </c>
      <c r="U409" s="9" t="s">
        <v>1775</v>
      </c>
      <c r="V409" s="8" t="s">
        <v>69</v>
      </c>
    </row>
    <row r="410" spans="1:22" x14ac:dyDescent="0.5">
      <c r="A410" s="3" t="s">
        <v>1776</v>
      </c>
      <c r="B410" s="4" t="s">
        <v>100</v>
      </c>
      <c r="C410" s="4" t="s">
        <v>259</v>
      </c>
      <c r="D410" s="4" t="s">
        <v>1379</v>
      </c>
      <c r="E410" s="4" t="s">
        <v>900</v>
      </c>
      <c r="F410" s="4" t="s">
        <v>103</v>
      </c>
      <c r="G410" s="4" t="s">
        <v>28</v>
      </c>
      <c r="H410" s="4" t="s">
        <v>1777</v>
      </c>
      <c r="I410" s="4" t="s">
        <v>30</v>
      </c>
      <c r="J410" s="4" t="s">
        <v>31</v>
      </c>
      <c r="K410" s="4" t="s">
        <v>122</v>
      </c>
      <c r="L410" s="4" t="s">
        <v>263</v>
      </c>
      <c r="M410" s="4">
        <v>18</v>
      </c>
      <c r="N410" s="4">
        <v>45</v>
      </c>
      <c r="O410" s="57">
        <v>10</v>
      </c>
      <c r="P410" s="4">
        <v>729</v>
      </c>
      <c r="Q410" s="4">
        <v>2</v>
      </c>
      <c r="R410" s="4" t="s">
        <v>48</v>
      </c>
      <c r="S410" s="4" t="s">
        <v>115</v>
      </c>
      <c r="T410" s="4" t="s">
        <v>144</v>
      </c>
      <c r="U410" s="6" t="s">
        <v>1778</v>
      </c>
      <c r="V410" s="4" t="s">
        <v>64</v>
      </c>
    </row>
    <row r="411" spans="1:22" x14ac:dyDescent="0.5">
      <c r="A411" s="7" t="s">
        <v>1779</v>
      </c>
      <c r="B411" s="8" t="s">
        <v>127</v>
      </c>
      <c r="C411" s="8" t="s">
        <v>72</v>
      </c>
      <c r="D411" s="8" t="s">
        <v>463</v>
      </c>
      <c r="E411" s="8" t="s">
        <v>216</v>
      </c>
      <c r="F411" s="8" t="s">
        <v>200</v>
      </c>
      <c r="G411" s="8" t="s">
        <v>76</v>
      </c>
      <c r="H411" s="8" t="s">
        <v>1780</v>
      </c>
      <c r="I411" s="8" t="s">
        <v>294</v>
      </c>
      <c r="J411" s="8" t="s">
        <v>295</v>
      </c>
      <c r="K411" s="8" t="s">
        <v>46</v>
      </c>
      <c r="L411" s="8" t="s">
        <v>78</v>
      </c>
      <c r="M411" s="8">
        <v>13</v>
      </c>
      <c r="N411" s="8">
        <v>1200</v>
      </c>
      <c r="O411" s="58">
        <v>5</v>
      </c>
      <c r="P411" s="8">
        <v>14820</v>
      </c>
      <c r="Q411" s="8">
        <v>4</v>
      </c>
      <c r="R411" s="8" t="s">
        <v>79</v>
      </c>
      <c r="S411" s="8" t="s">
        <v>115</v>
      </c>
      <c r="T411" s="8" t="s">
        <v>132</v>
      </c>
      <c r="U411" s="9" t="s">
        <v>1781</v>
      </c>
      <c r="V411" s="8" t="s">
        <v>38</v>
      </c>
    </row>
    <row r="412" spans="1:22" x14ac:dyDescent="0.5">
      <c r="A412" s="3" t="s">
        <v>1782</v>
      </c>
      <c r="B412" s="4" t="s">
        <v>23</v>
      </c>
      <c r="C412" s="4" t="s">
        <v>222</v>
      </c>
      <c r="D412" s="4" t="s">
        <v>1344</v>
      </c>
      <c r="E412" s="4" t="s">
        <v>1783</v>
      </c>
      <c r="F412" s="4" t="s">
        <v>27</v>
      </c>
      <c r="G412" s="4" t="s">
        <v>28</v>
      </c>
      <c r="H412" s="4" t="s">
        <v>1784</v>
      </c>
      <c r="I412" s="4" t="s">
        <v>30</v>
      </c>
      <c r="J412" s="4" t="s">
        <v>31</v>
      </c>
      <c r="K412" s="4" t="s">
        <v>122</v>
      </c>
      <c r="L412" s="4" t="s">
        <v>227</v>
      </c>
      <c r="M412" s="4">
        <v>14</v>
      </c>
      <c r="N412" s="4">
        <v>20</v>
      </c>
      <c r="O412" s="57">
        <v>20</v>
      </c>
      <c r="P412" s="4">
        <v>224</v>
      </c>
      <c r="Q412" s="4">
        <v>5</v>
      </c>
      <c r="R412" s="4" t="s">
        <v>88</v>
      </c>
      <c r="S412" s="4" t="s">
        <v>49</v>
      </c>
      <c r="T412" s="4" t="s">
        <v>50</v>
      </c>
      <c r="U412" s="6" t="s">
        <v>1785</v>
      </c>
      <c r="V412" s="4" t="s">
        <v>64</v>
      </c>
    </row>
    <row r="413" spans="1:22" x14ac:dyDescent="0.5">
      <c r="A413" s="7" t="s">
        <v>1786</v>
      </c>
      <c r="B413" s="8" t="s">
        <v>100</v>
      </c>
      <c r="C413" s="8" t="s">
        <v>92</v>
      </c>
      <c r="D413" s="8" t="s">
        <v>1787</v>
      </c>
      <c r="E413" s="8" t="s">
        <v>1689</v>
      </c>
      <c r="F413" s="8" t="s">
        <v>103</v>
      </c>
      <c r="G413" s="8" t="s">
        <v>28</v>
      </c>
      <c r="H413" s="8" t="s">
        <v>1788</v>
      </c>
      <c r="I413" s="8" t="s">
        <v>30</v>
      </c>
      <c r="J413" s="8" t="s">
        <v>31</v>
      </c>
      <c r="K413" s="8" t="s">
        <v>32</v>
      </c>
      <c r="L413" s="8" t="s">
        <v>97</v>
      </c>
      <c r="M413" s="8">
        <v>16</v>
      </c>
      <c r="N413" s="8">
        <v>3500</v>
      </c>
      <c r="O413" s="58">
        <v>15</v>
      </c>
      <c r="P413" s="8">
        <v>47600</v>
      </c>
      <c r="Q413" s="8">
        <v>3</v>
      </c>
      <c r="R413" s="8" t="s">
        <v>88</v>
      </c>
      <c r="S413" s="8" t="s">
        <v>61</v>
      </c>
      <c r="T413" s="8" t="s">
        <v>144</v>
      </c>
      <c r="U413" s="9" t="s">
        <v>1789</v>
      </c>
      <c r="V413" s="8" t="s">
        <v>69</v>
      </c>
    </row>
    <row r="414" spans="1:22" x14ac:dyDescent="0.5">
      <c r="A414" s="3" t="s">
        <v>1790</v>
      </c>
      <c r="B414" s="4" t="s">
        <v>251</v>
      </c>
      <c r="C414" s="4" t="s">
        <v>222</v>
      </c>
      <c r="D414" s="4" t="s">
        <v>987</v>
      </c>
      <c r="E414" s="4" t="s">
        <v>1110</v>
      </c>
      <c r="F414" s="4" t="s">
        <v>254</v>
      </c>
      <c r="G414" s="4" t="s">
        <v>28</v>
      </c>
      <c r="H414" s="4" t="s">
        <v>1791</v>
      </c>
      <c r="I414" s="4" t="s">
        <v>59</v>
      </c>
      <c r="J414" s="4" t="s">
        <v>31</v>
      </c>
      <c r="K414" s="4" t="s">
        <v>122</v>
      </c>
      <c r="L414" s="4" t="s">
        <v>227</v>
      </c>
      <c r="M414" s="4">
        <v>20</v>
      </c>
      <c r="N414" s="4">
        <v>20</v>
      </c>
      <c r="O414" s="57">
        <v>15</v>
      </c>
      <c r="P414" s="4">
        <v>340</v>
      </c>
      <c r="Q414" s="4">
        <v>1</v>
      </c>
      <c r="R414" s="4" t="s">
        <v>48</v>
      </c>
      <c r="S414" s="4" t="s">
        <v>61</v>
      </c>
      <c r="T414" s="4" t="s">
        <v>256</v>
      </c>
      <c r="U414" s="6" t="s">
        <v>1792</v>
      </c>
      <c r="V414" s="4" t="s">
        <v>69</v>
      </c>
    </row>
    <row r="415" spans="1:22" x14ac:dyDescent="0.5">
      <c r="A415" s="7" t="s">
        <v>1793</v>
      </c>
      <c r="B415" s="8" t="s">
        <v>168</v>
      </c>
      <c r="C415" s="8" t="s">
        <v>54</v>
      </c>
      <c r="D415" s="8" t="s">
        <v>652</v>
      </c>
      <c r="E415" s="8" t="s">
        <v>666</v>
      </c>
      <c r="F415" s="8" t="s">
        <v>361</v>
      </c>
      <c r="G415" s="8" t="s">
        <v>28</v>
      </c>
      <c r="H415" s="8" t="s">
        <v>1794</v>
      </c>
      <c r="I415" s="8" t="s">
        <v>138</v>
      </c>
      <c r="J415" s="8" t="s">
        <v>106</v>
      </c>
      <c r="K415" s="8" t="s">
        <v>46</v>
      </c>
      <c r="L415" s="8" t="s">
        <v>60</v>
      </c>
      <c r="M415" s="8">
        <v>1</v>
      </c>
      <c r="N415" s="8">
        <v>55000</v>
      </c>
      <c r="O415" s="58">
        <v>15</v>
      </c>
      <c r="P415" s="8">
        <v>46750</v>
      </c>
      <c r="Q415" s="8">
        <v>2</v>
      </c>
      <c r="R415" s="8" t="s">
        <v>88</v>
      </c>
      <c r="S415" s="8" t="s">
        <v>115</v>
      </c>
      <c r="T415" s="8" t="s">
        <v>175</v>
      </c>
      <c r="U415" s="9" t="s">
        <v>1795</v>
      </c>
      <c r="V415" s="8" t="s">
        <v>69</v>
      </c>
    </row>
    <row r="416" spans="1:22" x14ac:dyDescent="0.5">
      <c r="A416" s="3" t="s">
        <v>1796</v>
      </c>
      <c r="B416" s="4" t="s">
        <v>100</v>
      </c>
      <c r="C416" s="4" t="s">
        <v>118</v>
      </c>
      <c r="D416" s="4" t="s">
        <v>142</v>
      </c>
      <c r="E416" s="4" t="s">
        <v>620</v>
      </c>
      <c r="F416" s="4" t="s">
        <v>103</v>
      </c>
      <c r="G416" s="4" t="s">
        <v>28</v>
      </c>
      <c r="H416" s="4" t="s">
        <v>1797</v>
      </c>
      <c r="I416" s="4" t="s">
        <v>138</v>
      </c>
      <c r="J416" s="4" t="s">
        <v>106</v>
      </c>
      <c r="K416" s="4" t="s">
        <v>122</v>
      </c>
      <c r="L416" s="4" t="s">
        <v>123</v>
      </c>
      <c r="M416" s="4">
        <v>15</v>
      </c>
      <c r="N416" s="4">
        <v>60</v>
      </c>
      <c r="O416" s="57">
        <v>5</v>
      </c>
      <c r="P416" s="4">
        <v>855</v>
      </c>
      <c r="Q416" s="4">
        <v>4</v>
      </c>
      <c r="R416" s="4" t="s">
        <v>48</v>
      </c>
      <c r="S416" s="4" t="s">
        <v>61</v>
      </c>
      <c r="T416" s="4" t="s">
        <v>144</v>
      </c>
      <c r="U416" s="6" t="s">
        <v>1798</v>
      </c>
      <c r="V416" s="4" t="s">
        <v>38</v>
      </c>
    </row>
    <row r="417" spans="1:22" x14ac:dyDescent="0.5">
      <c r="A417" s="7" t="s">
        <v>1799</v>
      </c>
      <c r="B417" s="8" t="s">
        <v>83</v>
      </c>
      <c r="C417" s="8" t="s">
        <v>184</v>
      </c>
      <c r="D417" s="8" t="s">
        <v>1800</v>
      </c>
      <c r="E417" s="8" t="s">
        <v>66</v>
      </c>
      <c r="F417" s="8" t="s">
        <v>180</v>
      </c>
      <c r="G417" s="8" t="s">
        <v>76</v>
      </c>
      <c r="H417" s="8" t="s">
        <v>1801</v>
      </c>
      <c r="I417" s="8" t="s">
        <v>105</v>
      </c>
      <c r="J417" s="8" t="s">
        <v>106</v>
      </c>
      <c r="K417" s="8" t="s">
        <v>46</v>
      </c>
      <c r="L417" s="8" t="s">
        <v>189</v>
      </c>
      <c r="M417" s="8">
        <v>15</v>
      </c>
      <c r="N417" s="8">
        <v>700</v>
      </c>
      <c r="O417" s="58">
        <v>0</v>
      </c>
      <c r="P417" s="8">
        <v>10500</v>
      </c>
      <c r="Q417" s="8">
        <v>5</v>
      </c>
      <c r="R417" s="8" t="s">
        <v>48</v>
      </c>
      <c r="S417" s="8" t="s">
        <v>115</v>
      </c>
      <c r="T417" s="8" t="s">
        <v>89</v>
      </c>
      <c r="U417" s="9" t="s">
        <v>1802</v>
      </c>
      <c r="V417" s="8" t="s">
        <v>38</v>
      </c>
    </row>
    <row r="418" spans="1:22" x14ac:dyDescent="0.5">
      <c r="A418" s="3" t="s">
        <v>1803</v>
      </c>
      <c r="B418" s="4" t="s">
        <v>221</v>
      </c>
      <c r="C418" s="4" t="s">
        <v>40</v>
      </c>
      <c r="D418" s="4" t="s">
        <v>1199</v>
      </c>
      <c r="E418" s="4" t="s">
        <v>440</v>
      </c>
      <c r="F418" s="4" t="s">
        <v>225</v>
      </c>
      <c r="G418" s="4" t="s">
        <v>76</v>
      </c>
      <c r="H418" s="4" t="s">
        <v>1804</v>
      </c>
      <c r="I418" s="4" t="s">
        <v>294</v>
      </c>
      <c r="J418" s="4" t="s">
        <v>295</v>
      </c>
      <c r="K418" s="4" t="s">
        <v>46</v>
      </c>
      <c r="L418" s="4" t="s">
        <v>47</v>
      </c>
      <c r="M418" s="4">
        <v>13</v>
      </c>
      <c r="N418" s="4">
        <v>12000</v>
      </c>
      <c r="O418" s="57">
        <v>10</v>
      </c>
      <c r="P418" s="4">
        <v>140400</v>
      </c>
      <c r="Q418" s="4">
        <v>1</v>
      </c>
      <c r="R418" s="4" t="s">
        <v>34</v>
      </c>
      <c r="S418" s="4" t="s">
        <v>151</v>
      </c>
      <c r="T418" s="4" t="s">
        <v>228</v>
      </c>
      <c r="U418" s="6" t="s">
        <v>1805</v>
      </c>
      <c r="V418" s="4" t="s">
        <v>69</v>
      </c>
    </row>
    <row r="419" spans="1:22" x14ac:dyDescent="0.5">
      <c r="A419" s="7" t="s">
        <v>1806</v>
      </c>
      <c r="B419" s="8" t="s">
        <v>83</v>
      </c>
      <c r="C419" s="8" t="s">
        <v>40</v>
      </c>
      <c r="D419" s="8" t="s">
        <v>1807</v>
      </c>
      <c r="E419" s="8" t="s">
        <v>1081</v>
      </c>
      <c r="F419" s="8" t="s">
        <v>180</v>
      </c>
      <c r="G419" s="8" t="s">
        <v>76</v>
      </c>
      <c r="H419" s="8" t="s">
        <v>1808</v>
      </c>
      <c r="I419" s="8" t="s">
        <v>30</v>
      </c>
      <c r="J419" s="8" t="s">
        <v>31</v>
      </c>
      <c r="K419" s="8" t="s">
        <v>46</v>
      </c>
      <c r="L419" s="8" t="s">
        <v>47</v>
      </c>
      <c r="M419" s="8">
        <v>12</v>
      </c>
      <c r="N419" s="8">
        <v>12000</v>
      </c>
      <c r="O419" s="58">
        <v>20</v>
      </c>
      <c r="P419" s="8">
        <v>115200</v>
      </c>
      <c r="Q419" s="8">
        <v>2</v>
      </c>
      <c r="R419" s="8" t="s">
        <v>34</v>
      </c>
      <c r="S419" s="8" t="s">
        <v>35</v>
      </c>
      <c r="T419" s="8" t="s">
        <v>89</v>
      </c>
      <c r="U419" s="9" t="s">
        <v>1809</v>
      </c>
      <c r="V419" s="8" t="s">
        <v>38</v>
      </c>
    </row>
    <row r="420" spans="1:22" x14ac:dyDescent="0.5">
      <c r="A420" s="3" t="s">
        <v>1810</v>
      </c>
      <c r="B420" s="4" t="s">
        <v>83</v>
      </c>
      <c r="C420" s="4" t="s">
        <v>259</v>
      </c>
      <c r="D420" s="4" t="s">
        <v>119</v>
      </c>
      <c r="E420" s="4" t="s">
        <v>1298</v>
      </c>
      <c r="F420" s="4" t="s">
        <v>180</v>
      </c>
      <c r="G420" s="4" t="s">
        <v>76</v>
      </c>
      <c r="H420" s="4" t="s">
        <v>1811</v>
      </c>
      <c r="I420" s="4" t="s">
        <v>105</v>
      </c>
      <c r="J420" s="4" t="s">
        <v>106</v>
      </c>
      <c r="K420" s="4" t="s">
        <v>122</v>
      </c>
      <c r="L420" s="4" t="s">
        <v>263</v>
      </c>
      <c r="M420" s="4">
        <v>10</v>
      </c>
      <c r="N420" s="4">
        <v>45</v>
      </c>
      <c r="O420" s="57">
        <v>0</v>
      </c>
      <c r="P420" s="4">
        <v>450</v>
      </c>
      <c r="Q420" s="4">
        <v>5</v>
      </c>
      <c r="R420" s="4" t="s">
        <v>79</v>
      </c>
      <c r="S420" s="4" t="s">
        <v>115</v>
      </c>
      <c r="T420" s="4" t="s">
        <v>89</v>
      </c>
      <c r="U420" s="6" t="s">
        <v>1812</v>
      </c>
      <c r="V420" s="4" t="s">
        <v>69</v>
      </c>
    </row>
    <row r="421" spans="1:22" x14ac:dyDescent="0.5">
      <c r="A421" s="7" t="s">
        <v>1813</v>
      </c>
      <c r="B421" s="8" t="s">
        <v>127</v>
      </c>
      <c r="C421" s="8" t="s">
        <v>72</v>
      </c>
      <c r="D421" s="8" t="s">
        <v>41</v>
      </c>
      <c r="E421" s="8" t="s">
        <v>596</v>
      </c>
      <c r="F421" s="8" t="s">
        <v>200</v>
      </c>
      <c r="G421" s="8" t="s">
        <v>76</v>
      </c>
      <c r="H421" s="8" t="s">
        <v>1814</v>
      </c>
      <c r="I421" s="8" t="s">
        <v>105</v>
      </c>
      <c r="J421" s="8" t="s">
        <v>106</v>
      </c>
      <c r="K421" s="8" t="s">
        <v>46</v>
      </c>
      <c r="L421" s="8" t="s">
        <v>78</v>
      </c>
      <c r="M421" s="8">
        <v>20</v>
      </c>
      <c r="N421" s="8">
        <v>1200</v>
      </c>
      <c r="O421" s="58">
        <v>20</v>
      </c>
      <c r="P421" s="8">
        <v>19200</v>
      </c>
      <c r="Q421" s="8">
        <v>5</v>
      </c>
      <c r="R421" s="8" t="s">
        <v>48</v>
      </c>
      <c r="S421" s="8" t="s">
        <v>61</v>
      </c>
      <c r="T421" s="8" t="s">
        <v>132</v>
      </c>
      <c r="U421" s="9" t="s">
        <v>1815</v>
      </c>
      <c r="V421" s="8" t="s">
        <v>69</v>
      </c>
    </row>
    <row r="422" spans="1:22" x14ac:dyDescent="0.5">
      <c r="A422" s="3" t="s">
        <v>1816</v>
      </c>
      <c r="B422" s="4" t="s">
        <v>71</v>
      </c>
      <c r="C422" s="4" t="s">
        <v>72</v>
      </c>
      <c r="D422" s="4" t="s">
        <v>128</v>
      </c>
      <c r="E422" s="4" t="s">
        <v>1817</v>
      </c>
      <c r="F422" s="4" t="s">
        <v>217</v>
      </c>
      <c r="G422" s="4" t="s">
        <v>76</v>
      </c>
      <c r="H422" s="4" t="s">
        <v>1818</v>
      </c>
      <c r="I422" s="4" t="s">
        <v>114</v>
      </c>
      <c r="J422" s="4" t="s">
        <v>106</v>
      </c>
      <c r="K422" s="4" t="s">
        <v>46</v>
      </c>
      <c r="L422" s="4" t="s">
        <v>78</v>
      </c>
      <c r="M422" s="4">
        <v>8</v>
      </c>
      <c r="N422" s="4">
        <v>1200</v>
      </c>
      <c r="O422" s="57">
        <v>10</v>
      </c>
      <c r="P422" s="4">
        <v>8640</v>
      </c>
      <c r="Q422" s="4">
        <v>4</v>
      </c>
      <c r="R422" s="4" t="s">
        <v>48</v>
      </c>
      <c r="S422" s="4" t="s">
        <v>61</v>
      </c>
      <c r="T422" s="4" t="s">
        <v>80</v>
      </c>
      <c r="U422" s="6" t="s">
        <v>1819</v>
      </c>
      <c r="V422" s="4" t="s">
        <v>38</v>
      </c>
    </row>
    <row r="423" spans="1:22" x14ac:dyDescent="0.5">
      <c r="A423" s="7" t="s">
        <v>1820</v>
      </c>
      <c r="B423" s="8" t="s">
        <v>127</v>
      </c>
      <c r="C423" s="8" t="s">
        <v>72</v>
      </c>
      <c r="D423" s="8" t="s">
        <v>1085</v>
      </c>
      <c r="E423" s="8" t="s">
        <v>1086</v>
      </c>
      <c r="F423" s="8" t="s">
        <v>200</v>
      </c>
      <c r="G423" s="8" t="s">
        <v>76</v>
      </c>
      <c r="H423" s="8" t="s">
        <v>1821</v>
      </c>
      <c r="I423" s="8" t="s">
        <v>212</v>
      </c>
      <c r="J423" s="8" t="s">
        <v>45</v>
      </c>
      <c r="K423" s="8" t="s">
        <v>46</v>
      </c>
      <c r="L423" s="8" t="s">
        <v>78</v>
      </c>
      <c r="M423" s="8">
        <v>8</v>
      </c>
      <c r="N423" s="8">
        <v>1200</v>
      </c>
      <c r="O423" s="58">
        <v>10</v>
      </c>
      <c r="P423" s="8">
        <v>8640</v>
      </c>
      <c r="Q423" s="8">
        <v>5</v>
      </c>
      <c r="R423" s="8" t="s">
        <v>79</v>
      </c>
      <c r="S423" s="8" t="s">
        <v>49</v>
      </c>
      <c r="T423" s="8" t="s">
        <v>132</v>
      </c>
      <c r="U423" s="9" t="s">
        <v>1822</v>
      </c>
      <c r="V423" s="8" t="s">
        <v>69</v>
      </c>
    </row>
    <row r="424" spans="1:22" x14ac:dyDescent="0.5">
      <c r="A424" s="3" t="s">
        <v>1823</v>
      </c>
      <c r="B424" s="4" t="s">
        <v>327</v>
      </c>
      <c r="C424" s="4" t="s">
        <v>24</v>
      </c>
      <c r="D424" s="4" t="s">
        <v>1824</v>
      </c>
      <c r="E424" s="4" t="s">
        <v>1444</v>
      </c>
      <c r="F424" s="4" t="s">
        <v>394</v>
      </c>
      <c r="G424" s="4" t="s">
        <v>76</v>
      </c>
      <c r="H424" s="4" t="s">
        <v>1825</v>
      </c>
      <c r="I424" s="4" t="s">
        <v>212</v>
      </c>
      <c r="J424" s="4" t="s">
        <v>45</v>
      </c>
      <c r="K424" s="4" t="s">
        <v>32</v>
      </c>
      <c r="L424" s="4" t="s">
        <v>33</v>
      </c>
      <c r="M424" s="4">
        <v>9</v>
      </c>
      <c r="N424" s="4">
        <v>2200</v>
      </c>
      <c r="O424" s="57">
        <v>20</v>
      </c>
      <c r="P424" s="4">
        <v>15840</v>
      </c>
      <c r="Q424" s="4">
        <v>1</v>
      </c>
      <c r="R424" s="4" t="s">
        <v>48</v>
      </c>
      <c r="S424" s="4" t="s">
        <v>115</v>
      </c>
      <c r="T424" s="4" t="s">
        <v>332</v>
      </c>
      <c r="U424" s="6" t="s">
        <v>1826</v>
      </c>
      <c r="V424" s="4" t="s">
        <v>38</v>
      </c>
    </row>
    <row r="425" spans="1:22" x14ac:dyDescent="0.5">
      <c r="A425" s="7" t="s">
        <v>1827</v>
      </c>
      <c r="B425" s="8" t="s">
        <v>127</v>
      </c>
      <c r="C425" s="8" t="s">
        <v>222</v>
      </c>
      <c r="D425" s="8" t="s">
        <v>1268</v>
      </c>
      <c r="E425" s="8" t="s">
        <v>760</v>
      </c>
      <c r="F425" s="8" t="s">
        <v>200</v>
      </c>
      <c r="G425" s="8" t="s">
        <v>76</v>
      </c>
      <c r="H425" s="8" t="s">
        <v>1828</v>
      </c>
      <c r="I425" s="8" t="s">
        <v>294</v>
      </c>
      <c r="J425" s="8" t="s">
        <v>295</v>
      </c>
      <c r="K425" s="8" t="s">
        <v>122</v>
      </c>
      <c r="L425" s="8" t="s">
        <v>227</v>
      </c>
      <c r="M425" s="8">
        <v>8</v>
      </c>
      <c r="N425" s="8">
        <v>20</v>
      </c>
      <c r="O425" s="58">
        <v>20</v>
      </c>
      <c r="P425" s="8">
        <v>128</v>
      </c>
      <c r="Q425" s="8">
        <v>4</v>
      </c>
      <c r="R425" s="8" t="s">
        <v>34</v>
      </c>
      <c r="S425" s="8" t="s">
        <v>35</v>
      </c>
      <c r="T425" s="8" t="s">
        <v>132</v>
      </c>
      <c r="U425" s="9" t="s">
        <v>1829</v>
      </c>
      <c r="V425" s="8" t="s">
        <v>69</v>
      </c>
    </row>
    <row r="426" spans="1:22" x14ac:dyDescent="0.5">
      <c r="A426" s="3" t="s">
        <v>1830</v>
      </c>
      <c r="B426" s="4" t="s">
        <v>221</v>
      </c>
      <c r="C426" s="4" t="s">
        <v>54</v>
      </c>
      <c r="D426" s="4" t="s">
        <v>1176</v>
      </c>
      <c r="E426" s="4" t="s">
        <v>1831</v>
      </c>
      <c r="F426" s="4" t="s">
        <v>225</v>
      </c>
      <c r="G426" s="4" t="s">
        <v>76</v>
      </c>
      <c r="H426" s="4" t="s">
        <v>1006</v>
      </c>
      <c r="I426" s="4" t="s">
        <v>114</v>
      </c>
      <c r="J426" s="4" t="s">
        <v>106</v>
      </c>
      <c r="K426" s="4" t="s">
        <v>46</v>
      </c>
      <c r="L426" s="4" t="s">
        <v>60</v>
      </c>
      <c r="M426" s="4">
        <v>5</v>
      </c>
      <c r="N426" s="4">
        <v>55000</v>
      </c>
      <c r="O426" s="57">
        <v>0</v>
      </c>
      <c r="P426" s="4">
        <v>275000</v>
      </c>
      <c r="Q426" s="4">
        <v>1</v>
      </c>
      <c r="R426" s="4" t="s">
        <v>79</v>
      </c>
      <c r="S426" s="4" t="s">
        <v>115</v>
      </c>
      <c r="T426" s="4" t="s">
        <v>228</v>
      </c>
      <c r="U426" s="6" t="s">
        <v>1832</v>
      </c>
      <c r="V426" s="4" t="s">
        <v>38</v>
      </c>
    </row>
    <row r="427" spans="1:22" x14ac:dyDescent="0.5">
      <c r="A427" s="7" t="s">
        <v>1833</v>
      </c>
      <c r="B427" s="8" t="s">
        <v>100</v>
      </c>
      <c r="C427" s="8" t="s">
        <v>72</v>
      </c>
      <c r="D427" s="8" t="s">
        <v>1834</v>
      </c>
      <c r="E427" s="8" t="s">
        <v>636</v>
      </c>
      <c r="F427" s="8" t="s">
        <v>103</v>
      </c>
      <c r="G427" s="8" t="s">
        <v>28</v>
      </c>
      <c r="H427" s="8" t="s">
        <v>1835</v>
      </c>
      <c r="I427" s="8" t="s">
        <v>105</v>
      </c>
      <c r="J427" s="8" t="s">
        <v>106</v>
      </c>
      <c r="K427" s="8" t="s">
        <v>46</v>
      </c>
      <c r="L427" s="8" t="s">
        <v>78</v>
      </c>
      <c r="M427" s="8">
        <v>13</v>
      </c>
      <c r="N427" s="8">
        <v>1200</v>
      </c>
      <c r="O427" s="58">
        <v>5</v>
      </c>
      <c r="P427" s="8">
        <v>14820</v>
      </c>
      <c r="Q427" s="8">
        <v>2</v>
      </c>
      <c r="R427" s="8" t="s">
        <v>79</v>
      </c>
      <c r="S427" s="8" t="s">
        <v>35</v>
      </c>
      <c r="T427" s="8" t="s">
        <v>144</v>
      </c>
      <c r="U427" s="9" t="s">
        <v>1836</v>
      </c>
      <c r="V427" s="8" t="s">
        <v>69</v>
      </c>
    </row>
    <row r="428" spans="1:22" x14ac:dyDescent="0.5">
      <c r="A428" s="3" t="s">
        <v>1837</v>
      </c>
      <c r="B428" s="4" t="s">
        <v>83</v>
      </c>
      <c r="C428" s="4" t="s">
        <v>169</v>
      </c>
      <c r="D428" s="4" t="s">
        <v>1484</v>
      </c>
      <c r="E428" s="4" t="s">
        <v>1838</v>
      </c>
      <c r="F428" s="4" t="s">
        <v>180</v>
      </c>
      <c r="G428" s="4" t="s">
        <v>76</v>
      </c>
      <c r="H428" s="4" t="s">
        <v>1839</v>
      </c>
      <c r="I428" s="4" t="s">
        <v>212</v>
      </c>
      <c r="J428" s="4" t="s">
        <v>45</v>
      </c>
      <c r="K428" s="4" t="s">
        <v>32</v>
      </c>
      <c r="L428" s="4" t="s">
        <v>174</v>
      </c>
      <c r="M428" s="4">
        <v>13</v>
      </c>
      <c r="N428" s="4">
        <v>8500</v>
      </c>
      <c r="O428" s="57">
        <v>20</v>
      </c>
      <c r="P428" s="4">
        <v>88400</v>
      </c>
      <c r="Q428" s="4">
        <v>5</v>
      </c>
      <c r="R428" s="4" t="s">
        <v>34</v>
      </c>
      <c r="S428" s="4" t="s">
        <v>49</v>
      </c>
      <c r="T428" s="4" t="s">
        <v>89</v>
      </c>
      <c r="U428" s="6" t="s">
        <v>1840</v>
      </c>
      <c r="V428" s="4" t="s">
        <v>64</v>
      </c>
    </row>
    <row r="429" spans="1:22" x14ac:dyDescent="0.5">
      <c r="A429" s="7" t="s">
        <v>1841</v>
      </c>
      <c r="B429" s="8" t="s">
        <v>71</v>
      </c>
      <c r="C429" s="8" t="s">
        <v>118</v>
      </c>
      <c r="D429" s="8" t="s">
        <v>765</v>
      </c>
      <c r="E429" s="8" t="s">
        <v>1842</v>
      </c>
      <c r="F429" s="8" t="s">
        <v>217</v>
      </c>
      <c r="G429" s="8" t="s">
        <v>76</v>
      </c>
      <c r="H429" s="8" t="s">
        <v>1843</v>
      </c>
      <c r="I429" s="8" t="s">
        <v>114</v>
      </c>
      <c r="J429" s="8" t="s">
        <v>106</v>
      </c>
      <c r="K429" s="8" t="s">
        <v>122</v>
      </c>
      <c r="L429" s="8" t="s">
        <v>123</v>
      </c>
      <c r="M429" s="8">
        <v>14</v>
      </c>
      <c r="N429" s="8">
        <v>60</v>
      </c>
      <c r="O429" s="58">
        <v>10</v>
      </c>
      <c r="P429" s="8">
        <v>756</v>
      </c>
      <c r="Q429" s="8">
        <v>1</v>
      </c>
      <c r="R429" s="8" t="s">
        <v>34</v>
      </c>
      <c r="S429" s="8" t="s">
        <v>61</v>
      </c>
      <c r="T429" s="8" t="s">
        <v>80</v>
      </c>
      <c r="U429" s="9" t="s">
        <v>1844</v>
      </c>
      <c r="V429" s="8" t="s">
        <v>69</v>
      </c>
    </row>
    <row r="430" spans="1:22" x14ac:dyDescent="0.5">
      <c r="A430" s="3" t="s">
        <v>1845</v>
      </c>
      <c r="B430" s="4" t="s">
        <v>251</v>
      </c>
      <c r="C430" s="4" t="s">
        <v>24</v>
      </c>
      <c r="D430" s="4" t="s">
        <v>336</v>
      </c>
      <c r="E430" s="4" t="s">
        <v>606</v>
      </c>
      <c r="F430" s="4" t="s">
        <v>254</v>
      </c>
      <c r="G430" s="4" t="s">
        <v>28</v>
      </c>
      <c r="H430" s="4" t="s">
        <v>1846</v>
      </c>
      <c r="I430" s="4" t="s">
        <v>59</v>
      </c>
      <c r="J430" s="4" t="s">
        <v>31</v>
      </c>
      <c r="K430" s="4" t="s">
        <v>32</v>
      </c>
      <c r="L430" s="4" t="s">
        <v>33</v>
      </c>
      <c r="M430" s="4">
        <v>15</v>
      </c>
      <c r="N430" s="4">
        <v>2200</v>
      </c>
      <c r="O430" s="57">
        <v>0</v>
      </c>
      <c r="P430" s="4">
        <v>33000</v>
      </c>
      <c r="Q430" s="4">
        <v>1</v>
      </c>
      <c r="R430" s="4" t="s">
        <v>34</v>
      </c>
      <c r="S430" s="4" t="s">
        <v>61</v>
      </c>
      <c r="T430" s="4" t="s">
        <v>256</v>
      </c>
      <c r="U430" s="6" t="s">
        <v>1847</v>
      </c>
      <c r="V430" s="4" t="s">
        <v>38</v>
      </c>
    </row>
    <row r="431" spans="1:22" x14ac:dyDescent="0.5">
      <c r="A431" s="7" t="s">
        <v>1848</v>
      </c>
      <c r="B431" s="8" t="s">
        <v>83</v>
      </c>
      <c r="C431" s="8" t="s">
        <v>118</v>
      </c>
      <c r="D431" s="8" t="s">
        <v>1849</v>
      </c>
      <c r="E431" s="8" t="s">
        <v>1850</v>
      </c>
      <c r="F431" s="8" t="s">
        <v>180</v>
      </c>
      <c r="G431" s="8" t="s">
        <v>76</v>
      </c>
      <c r="H431" s="8" t="s">
        <v>1851</v>
      </c>
      <c r="I431" s="8" t="s">
        <v>212</v>
      </c>
      <c r="J431" s="8" t="s">
        <v>45</v>
      </c>
      <c r="K431" s="8" t="s">
        <v>122</v>
      </c>
      <c r="L431" s="8" t="s">
        <v>123</v>
      </c>
      <c r="M431" s="8">
        <v>19</v>
      </c>
      <c r="N431" s="8">
        <v>60</v>
      </c>
      <c r="O431" s="58">
        <v>20</v>
      </c>
      <c r="P431" s="8">
        <v>912</v>
      </c>
      <c r="Q431" s="8">
        <v>3</v>
      </c>
      <c r="R431" s="8" t="s">
        <v>34</v>
      </c>
      <c r="S431" s="8" t="s">
        <v>151</v>
      </c>
      <c r="T431" s="8" t="s">
        <v>89</v>
      </c>
      <c r="U431" s="9" t="s">
        <v>1852</v>
      </c>
      <c r="V431" s="8" t="s">
        <v>64</v>
      </c>
    </row>
    <row r="432" spans="1:22" x14ac:dyDescent="0.5">
      <c r="A432" s="3" t="s">
        <v>1853</v>
      </c>
      <c r="B432" s="4" t="s">
        <v>53</v>
      </c>
      <c r="C432" s="4" t="s">
        <v>259</v>
      </c>
      <c r="D432" s="4" t="s">
        <v>1760</v>
      </c>
      <c r="E432" s="4" t="s">
        <v>341</v>
      </c>
      <c r="F432" s="4" t="s">
        <v>163</v>
      </c>
      <c r="G432" s="4" t="s">
        <v>28</v>
      </c>
      <c r="H432" s="4" t="s">
        <v>1854</v>
      </c>
      <c r="I432" s="4" t="s">
        <v>212</v>
      </c>
      <c r="J432" s="4" t="s">
        <v>45</v>
      </c>
      <c r="K432" s="4" t="s">
        <v>122</v>
      </c>
      <c r="L432" s="4" t="s">
        <v>263</v>
      </c>
      <c r="M432" s="4">
        <v>13</v>
      </c>
      <c r="N432" s="4">
        <v>45</v>
      </c>
      <c r="O432" s="57">
        <v>15</v>
      </c>
      <c r="P432" s="4">
        <v>497.25</v>
      </c>
      <c r="Q432" s="4">
        <v>2</v>
      </c>
      <c r="R432" s="4" t="s">
        <v>34</v>
      </c>
      <c r="S432" s="4" t="s">
        <v>49</v>
      </c>
      <c r="T432" s="4" t="s">
        <v>62</v>
      </c>
      <c r="U432" s="6" t="s">
        <v>1855</v>
      </c>
      <c r="V432" s="4" t="s">
        <v>38</v>
      </c>
    </row>
    <row r="433" spans="1:22" x14ac:dyDescent="0.5">
      <c r="A433" s="7" t="s">
        <v>1856</v>
      </c>
      <c r="B433" s="8" t="s">
        <v>251</v>
      </c>
      <c r="C433" s="8" t="s">
        <v>40</v>
      </c>
      <c r="D433" s="8" t="s">
        <v>998</v>
      </c>
      <c r="E433" s="8" t="s">
        <v>1128</v>
      </c>
      <c r="F433" s="8" t="s">
        <v>254</v>
      </c>
      <c r="G433" s="8" t="s">
        <v>28</v>
      </c>
      <c r="H433" s="8" t="s">
        <v>1857</v>
      </c>
      <c r="I433" s="8" t="s">
        <v>105</v>
      </c>
      <c r="J433" s="8" t="s">
        <v>106</v>
      </c>
      <c r="K433" s="8" t="s">
        <v>46</v>
      </c>
      <c r="L433" s="8" t="s">
        <v>47</v>
      </c>
      <c r="M433" s="8">
        <v>7</v>
      </c>
      <c r="N433" s="8">
        <v>12000</v>
      </c>
      <c r="O433" s="58">
        <v>5</v>
      </c>
      <c r="P433" s="8">
        <v>79800</v>
      </c>
      <c r="Q433" s="8">
        <v>4</v>
      </c>
      <c r="R433" s="8" t="s">
        <v>79</v>
      </c>
      <c r="S433" s="8" t="s">
        <v>151</v>
      </c>
      <c r="T433" s="8" t="s">
        <v>256</v>
      </c>
      <c r="U433" s="9" t="s">
        <v>1858</v>
      </c>
      <c r="V433" s="8" t="s">
        <v>69</v>
      </c>
    </row>
    <row r="434" spans="1:22" x14ac:dyDescent="0.5">
      <c r="A434" s="3" t="s">
        <v>1859</v>
      </c>
      <c r="B434" s="4" t="s">
        <v>327</v>
      </c>
      <c r="C434" s="4" t="s">
        <v>222</v>
      </c>
      <c r="D434" s="4" t="s">
        <v>601</v>
      </c>
      <c r="E434" s="4"/>
      <c r="F434" s="4" t="s">
        <v>394</v>
      </c>
      <c r="G434" s="4" t="s">
        <v>76</v>
      </c>
      <c r="H434" s="4" t="s">
        <v>1860</v>
      </c>
      <c r="I434" s="4" t="s">
        <v>294</v>
      </c>
      <c r="J434" s="4" t="s">
        <v>295</v>
      </c>
      <c r="K434" s="4" t="s">
        <v>122</v>
      </c>
      <c r="L434" s="4" t="s">
        <v>227</v>
      </c>
      <c r="M434" s="4">
        <v>8</v>
      </c>
      <c r="N434" s="4">
        <v>20</v>
      </c>
      <c r="O434" s="57">
        <v>0</v>
      </c>
      <c r="P434" s="4">
        <v>160</v>
      </c>
      <c r="Q434" s="4">
        <v>4</v>
      </c>
      <c r="R434" s="4" t="s">
        <v>79</v>
      </c>
      <c r="S434" s="4" t="s">
        <v>61</v>
      </c>
      <c r="T434" s="4" t="s">
        <v>332</v>
      </c>
      <c r="U434" s="6" t="s">
        <v>1861</v>
      </c>
      <c r="V434" s="4" t="s">
        <v>64</v>
      </c>
    </row>
    <row r="435" spans="1:22" x14ac:dyDescent="0.5">
      <c r="A435" s="7" t="s">
        <v>1862</v>
      </c>
      <c r="B435" s="8" t="s">
        <v>23</v>
      </c>
      <c r="C435" s="8" t="s">
        <v>92</v>
      </c>
      <c r="D435" s="8" t="s">
        <v>1863</v>
      </c>
      <c r="E435" s="8" t="s">
        <v>900</v>
      </c>
      <c r="F435" s="8" t="s">
        <v>27</v>
      </c>
      <c r="G435" s="8" t="s">
        <v>28</v>
      </c>
      <c r="H435" s="8" t="s">
        <v>1864</v>
      </c>
      <c r="I435" s="8" t="s">
        <v>294</v>
      </c>
      <c r="J435" s="8" t="s">
        <v>295</v>
      </c>
      <c r="K435" s="8" t="s">
        <v>32</v>
      </c>
      <c r="L435" s="8" t="s">
        <v>97</v>
      </c>
      <c r="M435" s="8">
        <v>16</v>
      </c>
      <c r="N435" s="8">
        <v>3500</v>
      </c>
      <c r="O435" s="58">
        <v>5</v>
      </c>
      <c r="P435" s="8">
        <v>53200</v>
      </c>
      <c r="Q435" s="8">
        <v>1</v>
      </c>
      <c r="R435" s="8" t="s">
        <v>79</v>
      </c>
      <c r="S435" s="8" t="s">
        <v>61</v>
      </c>
      <c r="T435" s="8" t="s">
        <v>50</v>
      </c>
      <c r="U435" s="9" t="s">
        <v>1865</v>
      </c>
      <c r="V435" s="8" t="s">
        <v>69</v>
      </c>
    </row>
    <row r="436" spans="1:22" x14ac:dyDescent="0.5">
      <c r="A436" s="3" t="s">
        <v>1866</v>
      </c>
      <c r="B436" s="4" t="s">
        <v>327</v>
      </c>
      <c r="C436" s="4" t="s">
        <v>169</v>
      </c>
      <c r="D436" s="4" t="s">
        <v>1867</v>
      </c>
      <c r="E436" s="4" t="s">
        <v>1157</v>
      </c>
      <c r="F436" s="4" t="s">
        <v>394</v>
      </c>
      <c r="G436" s="4" t="s">
        <v>76</v>
      </c>
      <c r="H436" s="4" t="s">
        <v>1868</v>
      </c>
      <c r="I436" s="4" t="s">
        <v>105</v>
      </c>
      <c r="J436" s="4" t="s">
        <v>106</v>
      </c>
      <c r="K436" s="4" t="s">
        <v>32</v>
      </c>
      <c r="L436" s="4" t="s">
        <v>174</v>
      </c>
      <c r="M436" s="4">
        <v>12</v>
      </c>
      <c r="N436" s="4">
        <v>8500</v>
      </c>
      <c r="O436" s="57">
        <v>10</v>
      </c>
      <c r="P436" s="4">
        <v>91800</v>
      </c>
      <c r="Q436" s="4">
        <v>3</v>
      </c>
      <c r="R436" s="4" t="s">
        <v>79</v>
      </c>
      <c r="S436" s="4" t="s">
        <v>35</v>
      </c>
      <c r="T436" s="4" t="s">
        <v>332</v>
      </c>
      <c r="U436" s="6" t="s">
        <v>1869</v>
      </c>
      <c r="V436" s="4" t="s">
        <v>38</v>
      </c>
    </row>
    <row r="437" spans="1:22" x14ac:dyDescent="0.5">
      <c r="A437" s="7" t="s">
        <v>1870</v>
      </c>
      <c r="B437" s="8" t="s">
        <v>23</v>
      </c>
      <c r="C437" s="8" t="s">
        <v>118</v>
      </c>
      <c r="D437" s="8" t="s">
        <v>539</v>
      </c>
      <c r="E437" s="8" t="s">
        <v>1114</v>
      </c>
      <c r="F437" s="8" t="s">
        <v>27</v>
      </c>
      <c r="G437" s="8" t="s">
        <v>28</v>
      </c>
      <c r="H437" s="8" t="s">
        <v>1871</v>
      </c>
      <c r="I437" s="8" t="s">
        <v>138</v>
      </c>
      <c r="J437" s="8" t="s">
        <v>106</v>
      </c>
      <c r="K437" s="8" t="s">
        <v>122</v>
      </c>
      <c r="L437" s="8" t="s">
        <v>123</v>
      </c>
      <c r="M437" s="8">
        <v>1</v>
      </c>
      <c r="N437" s="8">
        <v>60</v>
      </c>
      <c r="O437" s="58">
        <v>20</v>
      </c>
      <c r="P437" s="8">
        <v>48</v>
      </c>
      <c r="Q437" s="8">
        <v>2</v>
      </c>
      <c r="R437" s="8" t="s">
        <v>79</v>
      </c>
      <c r="S437" s="8" t="s">
        <v>151</v>
      </c>
      <c r="T437" s="8" t="s">
        <v>50</v>
      </c>
      <c r="U437" s="9" t="s">
        <v>1872</v>
      </c>
      <c r="V437" s="8" t="s">
        <v>38</v>
      </c>
    </row>
    <row r="438" spans="1:22" x14ac:dyDescent="0.5">
      <c r="A438" s="3" t="s">
        <v>1873</v>
      </c>
      <c r="B438" s="4" t="s">
        <v>127</v>
      </c>
      <c r="C438" s="4" t="s">
        <v>118</v>
      </c>
      <c r="D438" s="4" t="s">
        <v>507</v>
      </c>
      <c r="E438" s="4" t="s">
        <v>535</v>
      </c>
      <c r="F438" s="4" t="s">
        <v>200</v>
      </c>
      <c r="G438" s="4" t="s">
        <v>76</v>
      </c>
      <c r="H438" s="4" t="s">
        <v>1874</v>
      </c>
      <c r="I438" s="4" t="s">
        <v>30</v>
      </c>
      <c r="J438" s="4" t="s">
        <v>31</v>
      </c>
      <c r="K438" s="4" t="s">
        <v>122</v>
      </c>
      <c r="L438" s="4" t="s">
        <v>123</v>
      </c>
      <c r="M438" s="4">
        <v>3</v>
      </c>
      <c r="N438" s="4">
        <v>60</v>
      </c>
      <c r="O438" s="57">
        <v>15</v>
      </c>
      <c r="P438" s="4">
        <v>153</v>
      </c>
      <c r="Q438" s="4">
        <v>4</v>
      </c>
      <c r="R438" s="4" t="s">
        <v>79</v>
      </c>
      <c r="S438" s="4" t="s">
        <v>35</v>
      </c>
      <c r="T438" s="4" t="s">
        <v>132</v>
      </c>
      <c r="U438" s="6" t="s">
        <v>1875</v>
      </c>
      <c r="V438" s="4" t="s">
        <v>38</v>
      </c>
    </row>
    <row r="439" spans="1:22" x14ac:dyDescent="0.5">
      <c r="A439" s="7" t="s">
        <v>1876</v>
      </c>
      <c r="B439" s="8" t="s">
        <v>100</v>
      </c>
      <c r="C439" s="8" t="s">
        <v>184</v>
      </c>
      <c r="D439" s="8" t="s">
        <v>568</v>
      </c>
      <c r="E439" s="8" t="s">
        <v>119</v>
      </c>
      <c r="F439" s="8" t="s">
        <v>103</v>
      </c>
      <c r="G439" s="8" t="s">
        <v>28</v>
      </c>
      <c r="H439" s="8" t="s">
        <v>1877</v>
      </c>
      <c r="I439" s="8" t="s">
        <v>294</v>
      </c>
      <c r="J439" s="8" t="s">
        <v>295</v>
      </c>
      <c r="K439" s="8" t="s">
        <v>46</v>
      </c>
      <c r="L439" s="8" t="s">
        <v>189</v>
      </c>
      <c r="M439" s="8">
        <v>10</v>
      </c>
      <c r="N439" s="8">
        <v>700</v>
      </c>
      <c r="O439" s="58">
        <v>15</v>
      </c>
      <c r="P439" s="8">
        <v>5950</v>
      </c>
      <c r="Q439" s="8">
        <v>3</v>
      </c>
      <c r="R439" s="8" t="s">
        <v>48</v>
      </c>
      <c r="S439" s="8" t="s">
        <v>35</v>
      </c>
      <c r="T439" s="8" t="s">
        <v>144</v>
      </c>
      <c r="U439" s="9" t="s">
        <v>1878</v>
      </c>
      <c r="V439" s="8" t="s">
        <v>64</v>
      </c>
    </row>
    <row r="440" spans="1:22" x14ac:dyDescent="0.5">
      <c r="A440" s="3" t="s">
        <v>1879</v>
      </c>
      <c r="B440" s="4" t="s">
        <v>83</v>
      </c>
      <c r="C440" s="4" t="s">
        <v>222</v>
      </c>
      <c r="D440" s="4" t="s">
        <v>1880</v>
      </c>
      <c r="E440" s="4" t="s">
        <v>1881</v>
      </c>
      <c r="F440" s="4" t="s">
        <v>180</v>
      </c>
      <c r="G440" s="4" t="s">
        <v>76</v>
      </c>
      <c r="H440" s="4" t="s">
        <v>1882</v>
      </c>
      <c r="I440" s="4" t="s">
        <v>138</v>
      </c>
      <c r="J440" s="4" t="s">
        <v>106</v>
      </c>
      <c r="K440" s="4" t="s">
        <v>122</v>
      </c>
      <c r="L440" s="4" t="s">
        <v>227</v>
      </c>
      <c r="M440" s="4">
        <v>2</v>
      </c>
      <c r="N440" s="4">
        <v>20</v>
      </c>
      <c r="O440" s="57">
        <v>10</v>
      </c>
      <c r="P440" s="4">
        <v>36</v>
      </c>
      <c r="Q440" s="4">
        <v>2</v>
      </c>
      <c r="R440" s="4" t="s">
        <v>88</v>
      </c>
      <c r="S440" s="4" t="s">
        <v>61</v>
      </c>
      <c r="T440" s="4" t="s">
        <v>89</v>
      </c>
      <c r="U440" s="6" t="s">
        <v>1883</v>
      </c>
      <c r="V440" s="4" t="s">
        <v>38</v>
      </c>
    </row>
    <row r="441" spans="1:22" x14ac:dyDescent="0.5">
      <c r="A441" s="7" t="s">
        <v>1884</v>
      </c>
      <c r="B441" s="8" t="s">
        <v>83</v>
      </c>
      <c r="C441" s="8" t="s">
        <v>222</v>
      </c>
      <c r="D441" s="8" t="s">
        <v>1885</v>
      </c>
      <c r="E441" s="8" t="s">
        <v>1199</v>
      </c>
      <c r="F441" s="8" t="s">
        <v>180</v>
      </c>
      <c r="G441" s="8" t="s">
        <v>76</v>
      </c>
      <c r="H441" s="8" t="s">
        <v>1886</v>
      </c>
      <c r="I441" s="8" t="s">
        <v>44</v>
      </c>
      <c r="J441" s="8" t="s">
        <v>45</v>
      </c>
      <c r="K441" s="8" t="s">
        <v>122</v>
      </c>
      <c r="L441" s="8" t="s">
        <v>227</v>
      </c>
      <c r="M441" s="8">
        <v>14</v>
      </c>
      <c r="N441" s="8">
        <v>20</v>
      </c>
      <c r="O441" s="58">
        <v>20</v>
      </c>
      <c r="P441" s="8">
        <v>224</v>
      </c>
      <c r="Q441" s="8">
        <v>5</v>
      </c>
      <c r="R441" s="8" t="s">
        <v>34</v>
      </c>
      <c r="S441" s="8" t="s">
        <v>151</v>
      </c>
      <c r="T441" s="8" t="s">
        <v>89</v>
      </c>
      <c r="U441" s="9" t="s">
        <v>1887</v>
      </c>
      <c r="V441" s="8" t="s">
        <v>64</v>
      </c>
    </row>
    <row r="442" spans="1:22" x14ac:dyDescent="0.5">
      <c r="A442" s="3" t="s">
        <v>1888</v>
      </c>
      <c r="B442" s="4" t="s">
        <v>327</v>
      </c>
      <c r="C442" s="4" t="s">
        <v>92</v>
      </c>
      <c r="D442" s="4" t="s">
        <v>1713</v>
      </c>
      <c r="E442" s="4" t="s">
        <v>193</v>
      </c>
      <c r="F442" s="4" t="s">
        <v>394</v>
      </c>
      <c r="G442" s="4" t="s">
        <v>76</v>
      </c>
      <c r="H442" s="4" t="s">
        <v>1889</v>
      </c>
      <c r="I442" s="4" t="s">
        <v>138</v>
      </c>
      <c r="J442" s="4" t="s">
        <v>106</v>
      </c>
      <c r="K442" s="4" t="s">
        <v>32</v>
      </c>
      <c r="L442" s="4" t="s">
        <v>97</v>
      </c>
      <c r="M442" s="4">
        <v>4</v>
      </c>
      <c r="N442" s="4">
        <v>3500</v>
      </c>
      <c r="O442" s="57">
        <v>0</v>
      </c>
      <c r="P442" s="4">
        <v>14000</v>
      </c>
      <c r="Q442" s="4">
        <v>2</v>
      </c>
      <c r="R442" s="4" t="s">
        <v>88</v>
      </c>
      <c r="S442" s="4" t="s">
        <v>35</v>
      </c>
      <c r="T442" s="4" t="s">
        <v>332</v>
      </c>
      <c r="U442" s="6" t="s">
        <v>1890</v>
      </c>
      <c r="V442" s="4" t="s">
        <v>69</v>
      </c>
    </row>
    <row r="443" spans="1:22" x14ac:dyDescent="0.5">
      <c r="A443" s="7" t="s">
        <v>1891</v>
      </c>
      <c r="B443" s="8" t="s">
        <v>83</v>
      </c>
      <c r="C443" s="8" t="s">
        <v>92</v>
      </c>
      <c r="D443" s="8" t="s">
        <v>318</v>
      </c>
      <c r="E443" s="8" t="s">
        <v>1119</v>
      </c>
      <c r="F443" s="8" t="s">
        <v>180</v>
      </c>
      <c r="G443" s="8" t="s">
        <v>76</v>
      </c>
      <c r="H443" s="8" t="s">
        <v>1892</v>
      </c>
      <c r="I443" s="8" t="s">
        <v>212</v>
      </c>
      <c r="J443" s="8" t="s">
        <v>45</v>
      </c>
      <c r="K443" s="8" t="s">
        <v>32</v>
      </c>
      <c r="L443" s="8" t="s">
        <v>97</v>
      </c>
      <c r="M443" s="8">
        <v>9</v>
      </c>
      <c r="N443" s="8">
        <v>3500</v>
      </c>
      <c r="O443" s="58">
        <v>5</v>
      </c>
      <c r="P443" s="8">
        <v>29925</v>
      </c>
      <c r="Q443" s="8">
        <v>3</v>
      </c>
      <c r="R443" s="8" t="s">
        <v>79</v>
      </c>
      <c r="S443" s="8" t="s">
        <v>61</v>
      </c>
      <c r="T443" s="8" t="s">
        <v>89</v>
      </c>
      <c r="U443" s="9" t="s">
        <v>1893</v>
      </c>
      <c r="V443" s="8" t="s">
        <v>38</v>
      </c>
    </row>
    <row r="444" spans="1:22" x14ac:dyDescent="0.5">
      <c r="A444" s="3" t="s">
        <v>1894</v>
      </c>
      <c r="B444" s="4" t="s">
        <v>127</v>
      </c>
      <c r="C444" s="4" t="s">
        <v>118</v>
      </c>
      <c r="D444" s="4" t="s">
        <v>683</v>
      </c>
      <c r="E444" s="4" t="s">
        <v>1465</v>
      </c>
      <c r="F444" s="4" t="s">
        <v>200</v>
      </c>
      <c r="G444" s="4" t="s">
        <v>76</v>
      </c>
      <c r="H444" s="4" t="s">
        <v>1895</v>
      </c>
      <c r="I444" s="4" t="s">
        <v>105</v>
      </c>
      <c r="J444" s="4" t="s">
        <v>106</v>
      </c>
      <c r="K444" s="4" t="s">
        <v>122</v>
      </c>
      <c r="L444" s="4" t="s">
        <v>123</v>
      </c>
      <c r="M444" s="4">
        <v>9</v>
      </c>
      <c r="N444" s="4">
        <v>60</v>
      </c>
      <c r="O444" s="57">
        <v>0</v>
      </c>
      <c r="P444" s="4">
        <v>540</v>
      </c>
      <c r="Q444" s="4">
        <v>3</v>
      </c>
      <c r="R444" s="4" t="s">
        <v>88</v>
      </c>
      <c r="S444" s="4" t="s">
        <v>35</v>
      </c>
      <c r="T444" s="4" t="s">
        <v>132</v>
      </c>
      <c r="U444" s="6" t="s">
        <v>1896</v>
      </c>
      <c r="V444" s="4" t="s">
        <v>64</v>
      </c>
    </row>
    <row r="445" spans="1:22" x14ac:dyDescent="0.5">
      <c r="A445" s="7" t="s">
        <v>1897</v>
      </c>
      <c r="B445" s="8" t="s">
        <v>168</v>
      </c>
      <c r="C445" s="8" t="s">
        <v>72</v>
      </c>
      <c r="D445" s="8" t="s">
        <v>1898</v>
      </c>
      <c r="E445" s="8" t="s">
        <v>1263</v>
      </c>
      <c r="F445" s="8" t="s">
        <v>361</v>
      </c>
      <c r="G445" s="8" t="s">
        <v>28</v>
      </c>
      <c r="H445" s="8" t="s">
        <v>1899</v>
      </c>
      <c r="I445" s="8" t="s">
        <v>138</v>
      </c>
      <c r="J445" s="8" t="s">
        <v>106</v>
      </c>
      <c r="K445" s="8" t="s">
        <v>46</v>
      </c>
      <c r="L445" s="8" t="s">
        <v>78</v>
      </c>
      <c r="M445" s="8">
        <v>4</v>
      </c>
      <c r="N445" s="8">
        <v>1200</v>
      </c>
      <c r="O445" s="58">
        <v>0</v>
      </c>
      <c r="P445" s="8">
        <v>4800</v>
      </c>
      <c r="Q445" s="8">
        <v>1</v>
      </c>
      <c r="R445" s="8" t="s">
        <v>48</v>
      </c>
      <c r="S445" s="8" t="s">
        <v>61</v>
      </c>
      <c r="T445" s="8" t="s">
        <v>175</v>
      </c>
      <c r="U445" s="9" t="s">
        <v>1900</v>
      </c>
      <c r="V445" s="8" t="s">
        <v>38</v>
      </c>
    </row>
    <row r="446" spans="1:22" x14ac:dyDescent="0.5">
      <c r="A446" s="3" t="s">
        <v>1901</v>
      </c>
      <c r="B446" s="4" t="s">
        <v>53</v>
      </c>
      <c r="C446" s="4" t="s">
        <v>54</v>
      </c>
      <c r="D446" s="4" t="s">
        <v>1620</v>
      </c>
      <c r="E446" s="4" t="s">
        <v>302</v>
      </c>
      <c r="F446" s="4" t="s">
        <v>163</v>
      </c>
      <c r="G446" s="4" t="s">
        <v>28</v>
      </c>
      <c r="H446" s="4" t="s">
        <v>1902</v>
      </c>
      <c r="I446" s="4" t="s">
        <v>30</v>
      </c>
      <c r="J446" s="4" t="s">
        <v>31</v>
      </c>
      <c r="K446" s="4" t="s">
        <v>46</v>
      </c>
      <c r="L446" s="4" t="s">
        <v>60</v>
      </c>
      <c r="M446" s="4">
        <v>10</v>
      </c>
      <c r="N446" s="4">
        <v>55000</v>
      </c>
      <c r="O446" s="57">
        <v>5</v>
      </c>
      <c r="P446" s="4">
        <v>522500</v>
      </c>
      <c r="Q446" s="4">
        <v>5</v>
      </c>
      <c r="R446" s="4" t="s">
        <v>88</v>
      </c>
      <c r="S446" s="4" t="s">
        <v>115</v>
      </c>
      <c r="T446" s="4" t="s">
        <v>62</v>
      </c>
      <c r="U446" s="6" t="s">
        <v>1903</v>
      </c>
      <c r="V446" s="4" t="s">
        <v>38</v>
      </c>
    </row>
    <row r="447" spans="1:22" x14ac:dyDescent="0.5">
      <c r="A447" s="7" t="s">
        <v>1904</v>
      </c>
      <c r="B447" s="8" t="s">
        <v>221</v>
      </c>
      <c r="C447" s="8" t="s">
        <v>259</v>
      </c>
      <c r="D447" s="8" t="s">
        <v>1905</v>
      </c>
      <c r="E447" s="8" t="s">
        <v>881</v>
      </c>
      <c r="F447" s="8" t="s">
        <v>225</v>
      </c>
      <c r="G447" s="8" t="s">
        <v>76</v>
      </c>
      <c r="H447" s="8" t="s">
        <v>1906</v>
      </c>
      <c r="I447" s="8" t="s">
        <v>30</v>
      </c>
      <c r="J447" s="8" t="s">
        <v>31</v>
      </c>
      <c r="K447" s="8" t="s">
        <v>122</v>
      </c>
      <c r="L447" s="8" t="s">
        <v>263</v>
      </c>
      <c r="M447" s="8">
        <v>20</v>
      </c>
      <c r="N447" s="8">
        <v>45</v>
      </c>
      <c r="O447" s="58">
        <v>15</v>
      </c>
      <c r="P447" s="8">
        <v>765</v>
      </c>
      <c r="Q447" s="8">
        <v>2</v>
      </c>
      <c r="R447" s="8" t="s">
        <v>79</v>
      </c>
      <c r="S447" s="8" t="s">
        <v>35</v>
      </c>
      <c r="T447" s="8" t="s">
        <v>228</v>
      </c>
      <c r="U447" s="9" t="s">
        <v>1907</v>
      </c>
      <c r="V447" s="8" t="s">
        <v>69</v>
      </c>
    </row>
    <row r="448" spans="1:22" x14ac:dyDescent="0.5">
      <c r="A448" s="3" t="s">
        <v>1908</v>
      </c>
      <c r="B448" s="4" t="s">
        <v>23</v>
      </c>
      <c r="C448" s="4" t="s">
        <v>222</v>
      </c>
      <c r="D448" s="4" t="s">
        <v>314</v>
      </c>
      <c r="E448" s="4" t="s">
        <v>170</v>
      </c>
      <c r="F448" s="4" t="s">
        <v>27</v>
      </c>
      <c r="G448" s="4" t="s">
        <v>28</v>
      </c>
      <c r="H448" s="4" t="s">
        <v>1909</v>
      </c>
      <c r="I448" s="4" t="s">
        <v>105</v>
      </c>
      <c r="J448" s="4" t="s">
        <v>106</v>
      </c>
      <c r="K448" s="4" t="s">
        <v>122</v>
      </c>
      <c r="L448" s="4" t="s">
        <v>227</v>
      </c>
      <c r="M448" s="4">
        <v>9</v>
      </c>
      <c r="N448" s="4">
        <v>20</v>
      </c>
      <c r="O448" s="57">
        <v>20</v>
      </c>
      <c r="P448" s="4">
        <v>144</v>
      </c>
      <c r="Q448" s="4">
        <v>3</v>
      </c>
      <c r="R448" s="4" t="s">
        <v>79</v>
      </c>
      <c r="S448" s="4" t="s">
        <v>61</v>
      </c>
      <c r="T448" s="4" t="s">
        <v>50</v>
      </c>
      <c r="U448" s="6" t="s">
        <v>1910</v>
      </c>
      <c r="V448" s="4" t="s">
        <v>38</v>
      </c>
    </row>
    <row r="449" spans="1:22" x14ac:dyDescent="0.5">
      <c r="A449" s="7" t="s">
        <v>1911</v>
      </c>
      <c r="B449" s="8" t="s">
        <v>23</v>
      </c>
      <c r="C449" s="8" t="s">
        <v>54</v>
      </c>
      <c r="D449" s="8" t="s">
        <v>1912</v>
      </c>
      <c r="E449" s="8" t="s">
        <v>910</v>
      </c>
      <c r="F449" s="8" t="s">
        <v>27</v>
      </c>
      <c r="G449" s="8" t="s">
        <v>28</v>
      </c>
      <c r="H449" s="8" t="s">
        <v>1913</v>
      </c>
      <c r="I449" s="8" t="s">
        <v>114</v>
      </c>
      <c r="J449" s="8" t="s">
        <v>106</v>
      </c>
      <c r="K449" s="8" t="s">
        <v>46</v>
      </c>
      <c r="L449" s="8" t="s">
        <v>60</v>
      </c>
      <c r="M449" s="8">
        <v>8</v>
      </c>
      <c r="N449" s="8">
        <v>55000</v>
      </c>
      <c r="O449" s="58">
        <v>0</v>
      </c>
      <c r="P449" s="8">
        <v>440000</v>
      </c>
      <c r="Q449" s="8">
        <v>4</v>
      </c>
      <c r="R449" s="8" t="s">
        <v>34</v>
      </c>
      <c r="S449" s="8" t="s">
        <v>115</v>
      </c>
      <c r="T449" s="8" t="s">
        <v>50</v>
      </c>
      <c r="U449" s="9" t="s">
        <v>1914</v>
      </c>
      <c r="V449" s="8" t="s">
        <v>38</v>
      </c>
    </row>
    <row r="450" spans="1:22" x14ac:dyDescent="0.5">
      <c r="A450" s="3" t="s">
        <v>1915</v>
      </c>
      <c r="B450" s="4" t="s">
        <v>327</v>
      </c>
      <c r="C450" s="4" t="s">
        <v>72</v>
      </c>
      <c r="D450" s="4" t="s">
        <v>1916</v>
      </c>
      <c r="E450" s="4" t="s">
        <v>1430</v>
      </c>
      <c r="F450" s="4" t="s">
        <v>394</v>
      </c>
      <c r="G450" s="4" t="s">
        <v>76</v>
      </c>
      <c r="H450" s="4" t="s">
        <v>1917</v>
      </c>
      <c r="I450" s="4" t="s">
        <v>138</v>
      </c>
      <c r="J450" s="4" t="s">
        <v>106</v>
      </c>
      <c r="K450" s="4" t="s">
        <v>46</v>
      </c>
      <c r="L450" s="4" t="s">
        <v>78</v>
      </c>
      <c r="M450" s="4">
        <v>4</v>
      </c>
      <c r="N450" s="4">
        <v>1200</v>
      </c>
      <c r="O450" s="57">
        <v>10</v>
      </c>
      <c r="P450" s="4">
        <v>4320</v>
      </c>
      <c r="Q450" s="4">
        <v>4</v>
      </c>
      <c r="R450" s="4" t="s">
        <v>88</v>
      </c>
      <c r="S450" s="4" t="s">
        <v>35</v>
      </c>
      <c r="T450" s="5" t="s">
        <v>1918</v>
      </c>
      <c r="U450" s="6" t="s">
        <v>1919</v>
      </c>
      <c r="V450" s="4" t="s">
        <v>69</v>
      </c>
    </row>
    <row r="451" spans="1:22" x14ac:dyDescent="0.5">
      <c r="A451" s="7" t="s">
        <v>1920</v>
      </c>
      <c r="B451" s="8" t="s">
        <v>327</v>
      </c>
      <c r="C451" s="8" t="s">
        <v>169</v>
      </c>
      <c r="D451" s="8" t="s">
        <v>518</v>
      </c>
      <c r="E451" s="8" t="s">
        <v>426</v>
      </c>
      <c r="F451" s="8" t="s">
        <v>394</v>
      </c>
      <c r="G451" s="8" t="s">
        <v>76</v>
      </c>
      <c r="H451" s="8" t="s">
        <v>1921</v>
      </c>
      <c r="I451" s="8" t="s">
        <v>294</v>
      </c>
      <c r="J451" s="8" t="s">
        <v>295</v>
      </c>
      <c r="K451" s="8" t="s">
        <v>32</v>
      </c>
      <c r="L451" s="8" t="s">
        <v>174</v>
      </c>
      <c r="M451" s="8">
        <v>14</v>
      </c>
      <c r="N451" s="8">
        <v>8500</v>
      </c>
      <c r="O451" s="58">
        <v>10</v>
      </c>
      <c r="P451" s="8">
        <v>107100</v>
      </c>
      <c r="Q451" s="8">
        <v>4</v>
      </c>
      <c r="R451" s="8" t="s">
        <v>34</v>
      </c>
      <c r="S451" s="8" t="s">
        <v>35</v>
      </c>
      <c r="T451" s="8" t="s">
        <v>332</v>
      </c>
      <c r="U451" s="9" t="s">
        <v>1922</v>
      </c>
      <c r="V451" s="8" t="s">
        <v>38</v>
      </c>
    </row>
    <row r="452" spans="1:22" x14ac:dyDescent="0.5">
      <c r="A452" s="3" t="s">
        <v>1923</v>
      </c>
      <c r="B452" s="4" t="s">
        <v>71</v>
      </c>
      <c r="C452" s="4" t="s">
        <v>259</v>
      </c>
      <c r="D452" s="4" t="s">
        <v>683</v>
      </c>
      <c r="E452" s="4" t="s">
        <v>1924</v>
      </c>
      <c r="F452" s="4" t="s">
        <v>217</v>
      </c>
      <c r="G452" s="4" t="s">
        <v>76</v>
      </c>
      <c r="H452" s="4" t="s">
        <v>1925</v>
      </c>
      <c r="I452" s="4" t="s">
        <v>30</v>
      </c>
      <c r="J452" s="4" t="s">
        <v>31</v>
      </c>
      <c r="K452" s="4" t="s">
        <v>122</v>
      </c>
      <c r="L452" s="4" t="s">
        <v>263</v>
      </c>
      <c r="M452" s="4">
        <v>1</v>
      </c>
      <c r="N452" s="4">
        <v>45</v>
      </c>
      <c r="O452" s="57">
        <v>0</v>
      </c>
      <c r="P452" s="4">
        <v>45</v>
      </c>
      <c r="Q452" s="4">
        <v>3</v>
      </c>
      <c r="R452" s="4" t="s">
        <v>88</v>
      </c>
      <c r="S452" s="4" t="s">
        <v>151</v>
      </c>
      <c r="T452" s="4" t="s">
        <v>80</v>
      </c>
      <c r="U452" s="6" t="s">
        <v>1926</v>
      </c>
      <c r="V452" s="4" t="s">
        <v>69</v>
      </c>
    </row>
    <row r="453" spans="1:22" x14ac:dyDescent="0.5">
      <c r="A453" s="7" t="s">
        <v>1927</v>
      </c>
      <c r="B453" s="8" t="s">
        <v>71</v>
      </c>
      <c r="C453" s="8" t="s">
        <v>54</v>
      </c>
      <c r="D453" s="8" t="s">
        <v>901</v>
      </c>
      <c r="E453" s="8" t="s">
        <v>1069</v>
      </c>
      <c r="F453" s="8" t="s">
        <v>217</v>
      </c>
      <c r="G453" s="8" t="s">
        <v>76</v>
      </c>
      <c r="H453" s="8" t="s">
        <v>1928</v>
      </c>
      <c r="I453" s="8" t="s">
        <v>44</v>
      </c>
      <c r="J453" s="8" t="s">
        <v>45</v>
      </c>
      <c r="K453" s="8" t="s">
        <v>46</v>
      </c>
      <c r="L453" s="8" t="s">
        <v>60</v>
      </c>
      <c r="M453" s="8">
        <v>16</v>
      </c>
      <c r="N453" s="8">
        <v>55000</v>
      </c>
      <c r="O453" s="58">
        <v>15</v>
      </c>
      <c r="P453" s="8">
        <v>748000</v>
      </c>
      <c r="Q453" s="8">
        <v>1</v>
      </c>
      <c r="R453" s="8" t="s">
        <v>79</v>
      </c>
      <c r="S453" s="8" t="s">
        <v>151</v>
      </c>
      <c r="T453" s="8" t="s">
        <v>80</v>
      </c>
      <c r="U453" s="9" t="s">
        <v>1929</v>
      </c>
      <c r="V453" s="8" t="s">
        <v>69</v>
      </c>
    </row>
    <row r="454" spans="1:22" x14ac:dyDescent="0.5">
      <c r="A454" s="3" t="s">
        <v>1930</v>
      </c>
      <c r="B454" s="4" t="s">
        <v>53</v>
      </c>
      <c r="C454" s="4" t="s">
        <v>184</v>
      </c>
      <c r="D454" s="4" t="s">
        <v>1931</v>
      </c>
      <c r="E454" s="4" t="s">
        <v>1932</v>
      </c>
      <c r="F454" s="4" t="s">
        <v>163</v>
      </c>
      <c r="G454" s="4" t="s">
        <v>28</v>
      </c>
      <c r="H454" s="4" t="s">
        <v>1933</v>
      </c>
      <c r="I454" s="4" t="s">
        <v>138</v>
      </c>
      <c r="J454" s="4" t="s">
        <v>106</v>
      </c>
      <c r="K454" s="4" t="s">
        <v>46</v>
      </c>
      <c r="L454" s="4" t="s">
        <v>189</v>
      </c>
      <c r="M454" s="4">
        <v>8</v>
      </c>
      <c r="N454" s="4">
        <v>700</v>
      </c>
      <c r="O454" s="57">
        <v>0</v>
      </c>
      <c r="P454" s="4">
        <v>5600</v>
      </c>
      <c r="Q454" s="4">
        <v>3</v>
      </c>
      <c r="R454" s="4" t="s">
        <v>34</v>
      </c>
      <c r="S454" s="4" t="s">
        <v>49</v>
      </c>
      <c r="T454" s="4" t="s">
        <v>62</v>
      </c>
      <c r="U454" s="6" t="s">
        <v>1934</v>
      </c>
      <c r="V454" s="4" t="s">
        <v>38</v>
      </c>
    </row>
    <row r="455" spans="1:22" x14ac:dyDescent="0.5">
      <c r="A455" s="7" t="s">
        <v>1935</v>
      </c>
      <c r="B455" s="8" t="s">
        <v>251</v>
      </c>
      <c r="C455" s="8" t="s">
        <v>72</v>
      </c>
      <c r="D455" s="8" t="s">
        <v>66</v>
      </c>
      <c r="E455" s="8" t="s">
        <v>1936</v>
      </c>
      <c r="F455" s="8" t="s">
        <v>254</v>
      </c>
      <c r="G455" s="8" t="s">
        <v>28</v>
      </c>
      <c r="H455" s="8" t="s">
        <v>1937</v>
      </c>
      <c r="I455" s="8" t="s">
        <v>138</v>
      </c>
      <c r="J455" s="8" t="s">
        <v>106</v>
      </c>
      <c r="K455" s="8" t="s">
        <v>46</v>
      </c>
      <c r="L455" s="8" t="s">
        <v>78</v>
      </c>
      <c r="M455" s="8">
        <v>3</v>
      </c>
      <c r="N455" s="8">
        <v>1200</v>
      </c>
      <c r="O455" s="58">
        <v>0</v>
      </c>
      <c r="P455" s="8">
        <v>3600</v>
      </c>
      <c r="Q455" s="8">
        <v>1</v>
      </c>
      <c r="R455" s="8" t="s">
        <v>79</v>
      </c>
      <c r="S455" s="8" t="s">
        <v>49</v>
      </c>
      <c r="T455" s="8" t="s">
        <v>256</v>
      </c>
      <c r="U455" s="9" t="s">
        <v>1938</v>
      </c>
      <c r="V455" s="8" t="s">
        <v>69</v>
      </c>
    </row>
    <row r="456" spans="1:22" x14ac:dyDescent="0.5">
      <c r="A456" s="3" t="s">
        <v>1939</v>
      </c>
      <c r="B456" s="4" t="s">
        <v>71</v>
      </c>
      <c r="C456" s="4" t="s">
        <v>92</v>
      </c>
      <c r="D456" s="4" t="s">
        <v>988</v>
      </c>
      <c r="E456" s="4" t="s">
        <v>387</v>
      </c>
      <c r="F456" s="4" t="s">
        <v>217</v>
      </c>
      <c r="G456" s="4" t="s">
        <v>76</v>
      </c>
      <c r="H456" s="4" t="s">
        <v>1940</v>
      </c>
      <c r="I456" s="4" t="s">
        <v>294</v>
      </c>
      <c r="J456" s="4" t="s">
        <v>295</v>
      </c>
      <c r="K456" s="4" t="s">
        <v>32</v>
      </c>
      <c r="L456" s="4" t="s">
        <v>97</v>
      </c>
      <c r="M456" s="4">
        <v>7</v>
      </c>
      <c r="N456" s="4">
        <v>3500</v>
      </c>
      <c r="O456" s="57">
        <v>15</v>
      </c>
      <c r="P456" s="4">
        <v>20825</v>
      </c>
      <c r="Q456" s="4">
        <v>4</v>
      </c>
      <c r="R456" s="4" t="s">
        <v>79</v>
      </c>
      <c r="S456" s="4" t="s">
        <v>61</v>
      </c>
      <c r="T456" s="4" t="s">
        <v>80</v>
      </c>
      <c r="U456" s="6" t="s">
        <v>1941</v>
      </c>
      <c r="V456" s="4" t="s">
        <v>64</v>
      </c>
    </row>
    <row r="457" spans="1:22" x14ac:dyDescent="0.5">
      <c r="A457" s="7" t="s">
        <v>1942</v>
      </c>
      <c r="B457" s="8" t="s">
        <v>53</v>
      </c>
      <c r="C457" s="8" t="s">
        <v>54</v>
      </c>
      <c r="D457" s="8" t="s">
        <v>1932</v>
      </c>
      <c r="E457" s="8" t="s">
        <v>740</v>
      </c>
      <c r="F457" s="8" t="s">
        <v>163</v>
      </c>
      <c r="G457" s="8" t="s">
        <v>28</v>
      </c>
      <c r="H457" s="8" t="s">
        <v>1943</v>
      </c>
      <c r="I457" s="8" t="s">
        <v>114</v>
      </c>
      <c r="J457" s="8" t="s">
        <v>106</v>
      </c>
      <c r="K457" s="8" t="s">
        <v>46</v>
      </c>
      <c r="L457" s="8" t="s">
        <v>60</v>
      </c>
      <c r="M457" s="8">
        <v>9</v>
      </c>
      <c r="N457" s="8">
        <v>55000</v>
      </c>
      <c r="O457" s="58">
        <v>15</v>
      </c>
      <c r="P457" s="8">
        <v>420750</v>
      </c>
      <c r="Q457" s="8">
        <v>3</v>
      </c>
      <c r="R457" s="8" t="s">
        <v>88</v>
      </c>
      <c r="S457" s="8" t="s">
        <v>35</v>
      </c>
      <c r="T457" s="8" t="s">
        <v>62</v>
      </c>
      <c r="U457" s="9" t="s">
        <v>1944</v>
      </c>
      <c r="V457" s="8" t="s">
        <v>69</v>
      </c>
    </row>
    <row r="458" spans="1:22" x14ac:dyDescent="0.5">
      <c r="A458" s="3" t="s">
        <v>1945</v>
      </c>
      <c r="B458" s="4" t="s">
        <v>327</v>
      </c>
      <c r="C458" s="4" t="s">
        <v>40</v>
      </c>
      <c r="D458" s="4" t="s">
        <v>185</v>
      </c>
      <c r="E458" s="4" t="s">
        <v>918</v>
      </c>
      <c r="F458" s="4" t="s">
        <v>394</v>
      </c>
      <c r="G458" s="4" t="s">
        <v>76</v>
      </c>
      <c r="H458" s="4" t="s">
        <v>1946</v>
      </c>
      <c r="I458" s="4" t="s">
        <v>59</v>
      </c>
      <c r="J458" s="4" t="s">
        <v>31</v>
      </c>
      <c r="K458" s="4" t="s">
        <v>46</v>
      </c>
      <c r="L458" s="4" t="s">
        <v>47</v>
      </c>
      <c r="M458" s="4">
        <v>12</v>
      </c>
      <c r="N458" s="4">
        <v>12000</v>
      </c>
      <c r="O458" s="57">
        <v>0</v>
      </c>
      <c r="P458" s="4">
        <v>144000</v>
      </c>
      <c r="Q458" s="4">
        <v>3</v>
      </c>
      <c r="R458" s="4" t="s">
        <v>79</v>
      </c>
      <c r="S458" s="4" t="s">
        <v>151</v>
      </c>
      <c r="T458" s="4" t="s">
        <v>332</v>
      </c>
      <c r="U458" s="6" t="s">
        <v>1947</v>
      </c>
      <c r="V458" s="4" t="s">
        <v>69</v>
      </c>
    </row>
    <row r="459" spans="1:22" x14ac:dyDescent="0.5">
      <c r="A459" s="7" t="s">
        <v>1948</v>
      </c>
      <c r="B459" s="8" t="s">
        <v>100</v>
      </c>
      <c r="C459" s="8" t="s">
        <v>118</v>
      </c>
      <c r="D459" s="8" t="s">
        <v>42</v>
      </c>
      <c r="E459" s="8" t="s">
        <v>597</v>
      </c>
      <c r="F459" s="8" t="s">
        <v>103</v>
      </c>
      <c r="G459" s="8" t="s">
        <v>28</v>
      </c>
      <c r="H459" s="8" t="s">
        <v>1949</v>
      </c>
      <c r="I459" s="8" t="s">
        <v>138</v>
      </c>
      <c r="J459" s="8" t="s">
        <v>106</v>
      </c>
      <c r="K459" s="8" t="s">
        <v>122</v>
      </c>
      <c r="L459" s="8" t="s">
        <v>123</v>
      </c>
      <c r="M459" s="8">
        <v>7</v>
      </c>
      <c r="N459" s="8">
        <v>60</v>
      </c>
      <c r="O459" s="58">
        <v>10</v>
      </c>
      <c r="P459" s="8">
        <v>378</v>
      </c>
      <c r="Q459" s="8">
        <v>4</v>
      </c>
      <c r="R459" s="8" t="s">
        <v>34</v>
      </c>
      <c r="S459" s="8" t="s">
        <v>49</v>
      </c>
      <c r="T459" s="8" t="s">
        <v>144</v>
      </c>
      <c r="U459" s="9" t="s">
        <v>1950</v>
      </c>
      <c r="V459" s="8" t="s">
        <v>69</v>
      </c>
    </row>
    <row r="460" spans="1:22" x14ac:dyDescent="0.5">
      <c r="A460" s="3" t="s">
        <v>1951</v>
      </c>
      <c r="B460" s="4" t="s">
        <v>221</v>
      </c>
      <c r="C460" s="4" t="s">
        <v>24</v>
      </c>
      <c r="D460" s="4" t="s">
        <v>377</v>
      </c>
      <c r="E460" s="4" t="s">
        <v>674</v>
      </c>
      <c r="F460" s="4" t="s">
        <v>225</v>
      </c>
      <c r="G460" s="4" t="s">
        <v>76</v>
      </c>
      <c r="H460" s="4" t="s">
        <v>1952</v>
      </c>
      <c r="I460" s="4" t="s">
        <v>105</v>
      </c>
      <c r="J460" s="4" t="s">
        <v>106</v>
      </c>
      <c r="K460" s="4" t="s">
        <v>32</v>
      </c>
      <c r="L460" s="4" t="s">
        <v>33</v>
      </c>
      <c r="M460" s="4">
        <v>17</v>
      </c>
      <c r="N460" s="4">
        <v>2200</v>
      </c>
      <c r="O460" s="57">
        <v>15</v>
      </c>
      <c r="P460" s="4">
        <v>31790</v>
      </c>
      <c r="Q460" s="4">
        <v>3</v>
      </c>
      <c r="R460" s="4" t="s">
        <v>88</v>
      </c>
      <c r="S460" s="4" t="s">
        <v>151</v>
      </c>
      <c r="T460" s="4" t="s">
        <v>228</v>
      </c>
      <c r="U460" s="6" t="s">
        <v>1953</v>
      </c>
      <c r="V460" s="4" t="s">
        <v>64</v>
      </c>
    </row>
    <row r="461" spans="1:22" x14ac:dyDescent="0.5">
      <c r="A461" s="7" t="s">
        <v>1954</v>
      </c>
      <c r="B461" s="8" t="s">
        <v>327</v>
      </c>
      <c r="C461" s="8" t="s">
        <v>184</v>
      </c>
      <c r="D461" s="8" t="s">
        <v>351</v>
      </c>
      <c r="E461" s="8" t="s">
        <v>1537</v>
      </c>
      <c r="F461" s="8" t="s">
        <v>394</v>
      </c>
      <c r="G461" s="8" t="s">
        <v>76</v>
      </c>
      <c r="H461" s="8" t="s">
        <v>1955</v>
      </c>
      <c r="I461" s="8" t="s">
        <v>59</v>
      </c>
      <c r="J461" s="8" t="s">
        <v>31</v>
      </c>
      <c r="K461" s="8" t="s">
        <v>46</v>
      </c>
      <c r="L461" s="8" t="s">
        <v>189</v>
      </c>
      <c r="M461" s="8">
        <v>17</v>
      </c>
      <c r="N461" s="8">
        <v>700</v>
      </c>
      <c r="O461" s="58">
        <v>10</v>
      </c>
      <c r="P461" s="8">
        <v>10710</v>
      </c>
      <c r="Q461" s="8">
        <v>2</v>
      </c>
      <c r="R461" s="8" t="s">
        <v>34</v>
      </c>
      <c r="S461" s="8" t="s">
        <v>61</v>
      </c>
      <c r="T461" s="8" t="s">
        <v>332</v>
      </c>
      <c r="U461" s="9" t="s">
        <v>1956</v>
      </c>
      <c r="V461" s="8" t="s">
        <v>64</v>
      </c>
    </row>
    <row r="462" spans="1:22" x14ac:dyDescent="0.5">
      <c r="A462" s="3" t="s">
        <v>1957</v>
      </c>
      <c r="B462" s="4" t="s">
        <v>327</v>
      </c>
      <c r="C462" s="4" t="s">
        <v>54</v>
      </c>
      <c r="D462" s="4" t="s">
        <v>1958</v>
      </c>
      <c r="E462" s="4" t="s">
        <v>1188</v>
      </c>
      <c r="F462" s="4" t="s">
        <v>394</v>
      </c>
      <c r="G462" s="4" t="s">
        <v>76</v>
      </c>
      <c r="H462" s="4" t="s">
        <v>1959</v>
      </c>
      <c r="I462" s="4" t="s">
        <v>44</v>
      </c>
      <c r="J462" s="4" t="s">
        <v>45</v>
      </c>
      <c r="K462" s="4" t="s">
        <v>46</v>
      </c>
      <c r="L462" s="4" t="s">
        <v>60</v>
      </c>
      <c r="M462" s="4">
        <v>19</v>
      </c>
      <c r="N462" s="4">
        <v>55000</v>
      </c>
      <c r="O462" s="57">
        <v>20</v>
      </c>
      <c r="P462" s="4">
        <v>836000</v>
      </c>
      <c r="Q462" s="4">
        <v>5</v>
      </c>
      <c r="R462" s="4" t="s">
        <v>48</v>
      </c>
      <c r="S462" s="4" t="s">
        <v>61</v>
      </c>
      <c r="T462" s="4" t="s">
        <v>332</v>
      </c>
      <c r="U462" s="6" t="s">
        <v>1960</v>
      </c>
      <c r="V462" s="4" t="s">
        <v>38</v>
      </c>
    </row>
    <row r="463" spans="1:22" x14ac:dyDescent="0.5">
      <c r="A463" s="7" t="s">
        <v>1961</v>
      </c>
      <c r="B463" s="8" t="s">
        <v>127</v>
      </c>
      <c r="C463" s="8" t="s">
        <v>118</v>
      </c>
      <c r="D463" s="8" t="s">
        <v>1172</v>
      </c>
      <c r="E463" s="8" t="s">
        <v>128</v>
      </c>
      <c r="F463" s="8" t="s">
        <v>200</v>
      </c>
      <c r="G463" s="8" t="s">
        <v>76</v>
      </c>
      <c r="H463" s="8" t="s">
        <v>1962</v>
      </c>
      <c r="I463" s="8" t="s">
        <v>44</v>
      </c>
      <c r="J463" s="8" t="s">
        <v>45</v>
      </c>
      <c r="K463" s="8" t="s">
        <v>122</v>
      </c>
      <c r="L463" s="8" t="s">
        <v>123</v>
      </c>
      <c r="M463" s="8">
        <v>1</v>
      </c>
      <c r="N463" s="8">
        <v>60</v>
      </c>
      <c r="O463" s="58">
        <v>10</v>
      </c>
      <c r="P463" s="8">
        <v>54</v>
      </c>
      <c r="Q463" s="8">
        <v>4</v>
      </c>
      <c r="R463" s="8" t="s">
        <v>48</v>
      </c>
      <c r="S463" s="8"/>
      <c r="T463" s="10" t="s">
        <v>1963</v>
      </c>
      <c r="U463" s="9" t="s">
        <v>1964</v>
      </c>
      <c r="V463" s="8" t="s">
        <v>69</v>
      </c>
    </row>
    <row r="464" spans="1:22" x14ac:dyDescent="0.5">
      <c r="A464" s="3" t="s">
        <v>1965</v>
      </c>
      <c r="B464" s="4" t="s">
        <v>71</v>
      </c>
      <c r="C464" s="4" t="s">
        <v>92</v>
      </c>
      <c r="D464" s="4" t="s">
        <v>1142</v>
      </c>
      <c r="E464" s="4" t="s">
        <v>554</v>
      </c>
      <c r="F464" s="4" t="s">
        <v>217</v>
      </c>
      <c r="G464" s="4" t="s">
        <v>76</v>
      </c>
      <c r="H464" s="4" t="s">
        <v>1966</v>
      </c>
      <c r="I464" s="4" t="s">
        <v>30</v>
      </c>
      <c r="J464" s="4" t="s">
        <v>31</v>
      </c>
      <c r="K464" s="4" t="s">
        <v>32</v>
      </c>
      <c r="L464" s="4" t="s">
        <v>97</v>
      </c>
      <c r="M464" s="4">
        <v>16</v>
      </c>
      <c r="N464" s="4">
        <v>3500</v>
      </c>
      <c r="O464" s="57">
        <v>0</v>
      </c>
      <c r="P464" s="4">
        <v>56000</v>
      </c>
      <c r="Q464" s="4">
        <v>4</v>
      </c>
      <c r="R464" s="4" t="s">
        <v>48</v>
      </c>
      <c r="S464" s="4" t="s">
        <v>35</v>
      </c>
      <c r="T464" s="4" t="s">
        <v>80</v>
      </c>
      <c r="U464" s="6" t="s">
        <v>1967</v>
      </c>
      <c r="V464" s="4" t="s">
        <v>64</v>
      </c>
    </row>
    <row r="465" spans="1:22" x14ac:dyDescent="0.5">
      <c r="A465" s="7" t="s">
        <v>1968</v>
      </c>
      <c r="B465" s="8" t="s">
        <v>127</v>
      </c>
      <c r="C465" s="8" t="s">
        <v>222</v>
      </c>
      <c r="D465" s="8" t="s">
        <v>957</v>
      </c>
      <c r="E465" s="8" t="s">
        <v>766</v>
      </c>
      <c r="F465" s="8" t="s">
        <v>200</v>
      </c>
      <c r="G465" s="8" t="s">
        <v>76</v>
      </c>
      <c r="H465" s="8" t="s">
        <v>1295</v>
      </c>
      <c r="I465" s="8" t="s">
        <v>114</v>
      </c>
      <c r="J465" s="8" t="s">
        <v>106</v>
      </c>
      <c r="K465" s="8" t="s">
        <v>122</v>
      </c>
      <c r="L465" s="8" t="s">
        <v>227</v>
      </c>
      <c r="M465" s="8">
        <v>14</v>
      </c>
      <c r="N465" s="8">
        <v>20</v>
      </c>
      <c r="O465" s="58">
        <v>10</v>
      </c>
      <c r="P465" s="8">
        <v>252</v>
      </c>
      <c r="Q465" s="8">
        <v>1</v>
      </c>
      <c r="R465" s="8" t="s">
        <v>48</v>
      </c>
      <c r="S465" s="8" t="s">
        <v>61</v>
      </c>
      <c r="T465" s="8" t="s">
        <v>132</v>
      </c>
      <c r="U465" s="9" t="s">
        <v>1969</v>
      </c>
      <c r="V465" s="8" t="s">
        <v>64</v>
      </c>
    </row>
    <row r="466" spans="1:22" x14ac:dyDescent="0.5">
      <c r="A466" s="3" t="s">
        <v>1970</v>
      </c>
      <c r="B466" s="4" t="s">
        <v>71</v>
      </c>
      <c r="C466" s="4" t="s">
        <v>24</v>
      </c>
      <c r="D466" s="4" t="s">
        <v>473</v>
      </c>
      <c r="E466" s="4" t="s">
        <v>454</v>
      </c>
      <c r="F466" s="4" t="s">
        <v>217</v>
      </c>
      <c r="G466" s="4" t="s">
        <v>76</v>
      </c>
      <c r="H466" s="4" t="s">
        <v>1971</v>
      </c>
      <c r="I466" s="4" t="s">
        <v>59</v>
      </c>
      <c r="J466" s="4" t="s">
        <v>31</v>
      </c>
      <c r="K466" s="4" t="s">
        <v>32</v>
      </c>
      <c r="L466" s="4" t="s">
        <v>33</v>
      </c>
      <c r="M466" s="4">
        <v>11</v>
      </c>
      <c r="N466" s="4">
        <v>2200</v>
      </c>
      <c r="O466" s="57">
        <v>15</v>
      </c>
      <c r="P466" s="4">
        <v>20570</v>
      </c>
      <c r="Q466" s="4">
        <v>4</v>
      </c>
      <c r="R466" s="4" t="s">
        <v>48</v>
      </c>
      <c r="S466" s="4" t="s">
        <v>49</v>
      </c>
      <c r="T466" s="4" t="s">
        <v>80</v>
      </c>
      <c r="U466" s="6" t="s">
        <v>1972</v>
      </c>
      <c r="V466" s="4" t="s">
        <v>69</v>
      </c>
    </row>
    <row r="467" spans="1:22" x14ac:dyDescent="0.5">
      <c r="A467" s="7" t="s">
        <v>1973</v>
      </c>
      <c r="B467" s="8" t="s">
        <v>83</v>
      </c>
      <c r="C467" s="8" t="s">
        <v>54</v>
      </c>
      <c r="D467" s="8" t="s">
        <v>756</v>
      </c>
      <c r="E467" s="8" t="s">
        <v>1282</v>
      </c>
      <c r="F467" s="8" t="s">
        <v>180</v>
      </c>
      <c r="G467" s="8" t="s">
        <v>76</v>
      </c>
      <c r="H467" s="8" t="s">
        <v>1974</v>
      </c>
      <c r="I467" s="8" t="s">
        <v>212</v>
      </c>
      <c r="J467" s="8" t="s">
        <v>45</v>
      </c>
      <c r="K467" s="8" t="s">
        <v>46</v>
      </c>
      <c r="L467" s="8" t="s">
        <v>60</v>
      </c>
      <c r="M467" s="8">
        <v>2</v>
      </c>
      <c r="N467" s="8">
        <v>55000</v>
      </c>
      <c r="O467" s="58">
        <v>0</v>
      </c>
      <c r="P467" s="8">
        <v>110000</v>
      </c>
      <c r="Q467" s="8">
        <v>4</v>
      </c>
      <c r="R467" s="8" t="s">
        <v>48</v>
      </c>
      <c r="S467" s="8" t="s">
        <v>49</v>
      </c>
      <c r="T467" s="8" t="s">
        <v>89</v>
      </c>
      <c r="U467" s="9" t="s">
        <v>1975</v>
      </c>
      <c r="V467" s="8" t="s">
        <v>69</v>
      </c>
    </row>
    <row r="468" spans="1:22" x14ac:dyDescent="0.5">
      <c r="A468" s="3" t="s">
        <v>1976</v>
      </c>
      <c r="B468" s="4" t="s">
        <v>53</v>
      </c>
      <c r="C468" s="4" t="s">
        <v>24</v>
      </c>
      <c r="D468" s="4" t="s">
        <v>512</v>
      </c>
      <c r="E468" s="4" t="s">
        <v>513</v>
      </c>
      <c r="F468" s="4" t="s">
        <v>163</v>
      </c>
      <c r="G468" s="4" t="s">
        <v>28</v>
      </c>
      <c r="H468" s="4" t="s">
        <v>1977</v>
      </c>
      <c r="I468" s="4" t="s">
        <v>114</v>
      </c>
      <c r="J468" s="4" t="s">
        <v>106</v>
      </c>
      <c r="K468" s="4" t="s">
        <v>32</v>
      </c>
      <c r="L468" s="4" t="s">
        <v>33</v>
      </c>
      <c r="M468" s="4">
        <v>7</v>
      </c>
      <c r="N468" s="4">
        <v>2200</v>
      </c>
      <c r="O468" s="57">
        <v>5</v>
      </c>
      <c r="P468" s="4">
        <v>14630</v>
      </c>
      <c r="Q468" s="4">
        <v>4</v>
      </c>
      <c r="R468" s="4" t="s">
        <v>79</v>
      </c>
      <c r="S468" s="4" t="s">
        <v>115</v>
      </c>
      <c r="T468" s="4" t="s">
        <v>62</v>
      </c>
      <c r="U468" s="6" t="s">
        <v>1978</v>
      </c>
      <c r="V468" s="4" t="s">
        <v>69</v>
      </c>
    </row>
    <row r="469" spans="1:22" x14ac:dyDescent="0.5">
      <c r="A469" s="7" t="s">
        <v>1979</v>
      </c>
      <c r="B469" s="8" t="s">
        <v>23</v>
      </c>
      <c r="C469" s="8" t="s">
        <v>259</v>
      </c>
      <c r="D469" s="8" t="s">
        <v>1507</v>
      </c>
      <c r="E469" s="8" t="s">
        <v>577</v>
      </c>
      <c r="F469" s="8" t="s">
        <v>27</v>
      </c>
      <c r="G469" s="8" t="s">
        <v>28</v>
      </c>
      <c r="H469" s="8" t="s">
        <v>1980</v>
      </c>
      <c r="I469" s="8" t="s">
        <v>138</v>
      </c>
      <c r="J469" s="8" t="s">
        <v>106</v>
      </c>
      <c r="K469" s="8" t="s">
        <v>122</v>
      </c>
      <c r="L469" s="8" t="s">
        <v>263</v>
      </c>
      <c r="M469" s="8">
        <v>11</v>
      </c>
      <c r="N469" s="8">
        <v>45</v>
      </c>
      <c r="O469" s="58">
        <v>15</v>
      </c>
      <c r="P469" s="8">
        <v>420.75</v>
      </c>
      <c r="Q469" s="8">
        <v>4</v>
      </c>
      <c r="R469" s="8" t="s">
        <v>79</v>
      </c>
      <c r="S469" s="8" t="s">
        <v>61</v>
      </c>
      <c r="T469" s="8" t="s">
        <v>50</v>
      </c>
      <c r="U469" s="9" t="s">
        <v>1981</v>
      </c>
      <c r="V469" s="8" t="s">
        <v>64</v>
      </c>
    </row>
    <row r="470" spans="1:22" x14ac:dyDescent="0.5">
      <c r="A470" s="3" t="s">
        <v>1982</v>
      </c>
      <c r="B470" s="4" t="s">
        <v>100</v>
      </c>
      <c r="C470" s="4" t="s">
        <v>118</v>
      </c>
      <c r="D470" s="4" t="s">
        <v>1114</v>
      </c>
      <c r="E470" s="4" t="s">
        <v>210</v>
      </c>
      <c r="F470" s="4" t="s">
        <v>103</v>
      </c>
      <c r="G470" s="4" t="s">
        <v>28</v>
      </c>
      <c r="H470" s="4" t="s">
        <v>1983</v>
      </c>
      <c r="I470" s="4" t="s">
        <v>105</v>
      </c>
      <c r="J470" s="4" t="s">
        <v>106</v>
      </c>
      <c r="K470" s="4" t="s">
        <v>122</v>
      </c>
      <c r="L470" s="4" t="s">
        <v>123</v>
      </c>
      <c r="M470" s="4">
        <v>16</v>
      </c>
      <c r="N470" s="4">
        <v>60</v>
      </c>
      <c r="O470" s="57">
        <v>5</v>
      </c>
      <c r="P470" s="4">
        <v>912</v>
      </c>
      <c r="Q470" s="4">
        <v>2</v>
      </c>
      <c r="R470" s="4" t="s">
        <v>34</v>
      </c>
      <c r="S470" s="4" t="s">
        <v>115</v>
      </c>
      <c r="T470" s="4" t="s">
        <v>144</v>
      </c>
      <c r="U470" s="6" t="s">
        <v>1984</v>
      </c>
      <c r="V470" s="4" t="s">
        <v>69</v>
      </c>
    </row>
    <row r="471" spans="1:22" x14ac:dyDescent="0.5">
      <c r="A471" s="7" t="s">
        <v>1985</v>
      </c>
      <c r="B471" s="8" t="s">
        <v>327</v>
      </c>
      <c r="C471" s="8" t="s">
        <v>54</v>
      </c>
      <c r="D471" s="8" t="s">
        <v>1102</v>
      </c>
      <c r="E471" s="8" t="s">
        <v>864</v>
      </c>
      <c r="F471" s="8" t="s">
        <v>394</v>
      </c>
      <c r="G471" s="8" t="s">
        <v>76</v>
      </c>
      <c r="H471" s="8" t="s">
        <v>1986</v>
      </c>
      <c r="I471" s="8" t="s">
        <v>114</v>
      </c>
      <c r="J471" s="8" t="s">
        <v>106</v>
      </c>
      <c r="K471" s="8" t="s">
        <v>46</v>
      </c>
      <c r="L471" s="8" t="s">
        <v>60</v>
      </c>
      <c r="M471" s="8">
        <v>18</v>
      </c>
      <c r="N471" s="8">
        <v>55000</v>
      </c>
      <c r="O471" s="58">
        <v>0</v>
      </c>
      <c r="P471" s="8">
        <v>990000</v>
      </c>
      <c r="Q471" s="8">
        <v>5</v>
      </c>
      <c r="R471" s="8" t="s">
        <v>48</v>
      </c>
      <c r="S471" s="8" t="s">
        <v>49</v>
      </c>
      <c r="T471" s="8" t="s">
        <v>332</v>
      </c>
      <c r="U471" s="9" t="s">
        <v>1987</v>
      </c>
      <c r="V471" s="8" t="s">
        <v>64</v>
      </c>
    </row>
    <row r="472" spans="1:22" x14ac:dyDescent="0.5">
      <c r="A472" s="3" t="s">
        <v>1988</v>
      </c>
      <c r="B472" s="4" t="s">
        <v>23</v>
      </c>
      <c r="C472" s="4" t="s">
        <v>72</v>
      </c>
      <c r="D472" s="4" t="s">
        <v>1989</v>
      </c>
      <c r="E472" s="4" t="s">
        <v>1880</v>
      </c>
      <c r="F472" s="4" t="s">
        <v>27</v>
      </c>
      <c r="G472" s="4" t="s">
        <v>28</v>
      </c>
      <c r="H472" s="4" t="s">
        <v>1990</v>
      </c>
      <c r="I472" s="4" t="s">
        <v>59</v>
      </c>
      <c r="J472" s="4" t="s">
        <v>31</v>
      </c>
      <c r="K472" s="4" t="s">
        <v>46</v>
      </c>
      <c r="L472" s="4" t="s">
        <v>78</v>
      </c>
      <c r="M472" s="4">
        <v>17</v>
      </c>
      <c r="N472" s="4">
        <v>1200</v>
      </c>
      <c r="O472" s="57">
        <v>5</v>
      </c>
      <c r="P472" s="4">
        <v>19380</v>
      </c>
      <c r="Q472" s="4">
        <v>1</v>
      </c>
      <c r="R472" s="4" t="s">
        <v>48</v>
      </c>
      <c r="S472" s="4" t="s">
        <v>35</v>
      </c>
      <c r="T472" s="4" t="s">
        <v>50</v>
      </c>
      <c r="U472" s="6" t="s">
        <v>1991</v>
      </c>
      <c r="V472" s="4" t="s">
        <v>64</v>
      </c>
    </row>
    <row r="473" spans="1:22" x14ac:dyDescent="0.5">
      <c r="A473" s="7" t="s">
        <v>1992</v>
      </c>
      <c r="B473" s="8" t="s">
        <v>53</v>
      </c>
      <c r="C473" s="8" t="s">
        <v>54</v>
      </c>
      <c r="D473" s="8" t="s">
        <v>41</v>
      </c>
      <c r="E473" s="8" t="s">
        <v>199</v>
      </c>
      <c r="F473" s="8" t="s">
        <v>163</v>
      </c>
      <c r="G473" s="8" t="s">
        <v>28</v>
      </c>
      <c r="H473" s="8" t="s">
        <v>1993</v>
      </c>
      <c r="I473" s="8" t="s">
        <v>114</v>
      </c>
      <c r="J473" s="8" t="s">
        <v>106</v>
      </c>
      <c r="K473" s="8" t="s">
        <v>46</v>
      </c>
      <c r="L473" s="8" t="s">
        <v>60</v>
      </c>
      <c r="M473" s="8">
        <v>11</v>
      </c>
      <c r="N473" s="8">
        <v>55000</v>
      </c>
      <c r="O473" s="58">
        <v>0</v>
      </c>
      <c r="P473" s="8">
        <v>605000</v>
      </c>
      <c r="Q473" s="8">
        <v>2</v>
      </c>
      <c r="R473" s="8" t="s">
        <v>34</v>
      </c>
      <c r="S473" s="8" t="s">
        <v>61</v>
      </c>
      <c r="T473" s="8" t="s">
        <v>62</v>
      </c>
      <c r="U473" s="9" t="s">
        <v>1994</v>
      </c>
      <c r="V473" s="8" t="s">
        <v>64</v>
      </c>
    </row>
    <row r="474" spans="1:22" x14ac:dyDescent="0.5">
      <c r="A474" s="3" t="s">
        <v>1995</v>
      </c>
      <c r="B474" s="4" t="s">
        <v>251</v>
      </c>
      <c r="C474" s="4" t="s">
        <v>184</v>
      </c>
      <c r="D474" s="4" t="s">
        <v>236</v>
      </c>
      <c r="E474" s="4" t="s">
        <v>678</v>
      </c>
      <c r="F474" s="4" t="s">
        <v>254</v>
      </c>
      <c r="G474" s="4" t="s">
        <v>28</v>
      </c>
      <c r="H474" s="4" t="s">
        <v>1996</v>
      </c>
      <c r="I474" s="4" t="s">
        <v>44</v>
      </c>
      <c r="J474" s="4" t="s">
        <v>45</v>
      </c>
      <c r="K474" s="4" t="s">
        <v>46</v>
      </c>
      <c r="L474" s="4" t="s">
        <v>189</v>
      </c>
      <c r="M474" s="4">
        <v>20</v>
      </c>
      <c r="N474" s="4">
        <v>700</v>
      </c>
      <c r="O474" s="57">
        <v>20</v>
      </c>
      <c r="P474" s="4">
        <v>11200</v>
      </c>
      <c r="Q474" s="4">
        <v>5</v>
      </c>
      <c r="R474" s="4" t="s">
        <v>48</v>
      </c>
      <c r="S474" s="4" t="s">
        <v>61</v>
      </c>
      <c r="T474" s="4" t="s">
        <v>256</v>
      </c>
      <c r="U474" s="6" t="s">
        <v>1997</v>
      </c>
      <c r="V474" s="4" t="s">
        <v>38</v>
      </c>
    </row>
    <row r="475" spans="1:22" x14ac:dyDescent="0.5">
      <c r="A475" s="7" t="s">
        <v>1998</v>
      </c>
      <c r="B475" s="8" t="s">
        <v>71</v>
      </c>
      <c r="C475" s="8" t="s">
        <v>222</v>
      </c>
      <c r="D475" s="8" t="s">
        <v>484</v>
      </c>
      <c r="E475" s="8" t="s">
        <v>322</v>
      </c>
      <c r="F475" s="8" t="s">
        <v>217</v>
      </c>
      <c r="G475" s="8" t="s">
        <v>76</v>
      </c>
      <c r="H475" s="8" t="s">
        <v>1999</v>
      </c>
      <c r="I475" s="8" t="s">
        <v>44</v>
      </c>
      <c r="J475" s="8" t="s">
        <v>45</v>
      </c>
      <c r="K475" s="8" t="s">
        <v>122</v>
      </c>
      <c r="L475" s="8" t="s">
        <v>227</v>
      </c>
      <c r="M475" s="8">
        <v>5</v>
      </c>
      <c r="N475" s="8">
        <v>20</v>
      </c>
      <c r="O475" s="58">
        <v>5</v>
      </c>
      <c r="P475" s="8">
        <v>95</v>
      </c>
      <c r="Q475" s="8">
        <v>4</v>
      </c>
      <c r="R475" s="8" t="s">
        <v>34</v>
      </c>
      <c r="S475" s="8" t="s">
        <v>49</v>
      </c>
      <c r="T475" s="8" t="s">
        <v>80</v>
      </c>
      <c r="U475" s="9" t="s">
        <v>2000</v>
      </c>
      <c r="V475" s="8" t="s">
        <v>69</v>
      </c>
    </row>
    <row r="476" spans="1:22" x14ac:dyDescent="0.5">
      <c r="A476" s="3" t="s">
        <v>2001</v>
      </c>
      <c r="B476" s="4" t="s">
        <v>327</v>
      </c>
      <c r="C476" s="4" t="s">
        <v>54</v>
      </c>
      <c r="D476" s="4" t="s">
        <v>765</v>
      </c>
      <c r="E476" s="4" t="s">
        <v>1373</v>
      </c>
      <c r="F476" s="4" t="s">
        <v>394</v>
      </c>
      <c r="G476" s="4" t="s">
        <v>76</v>
      </c>
      <c r="H476" s="4" t="s">
        <v>2002</v>
      </c>
      <c r="I476" s="4" t="s">
        <v>105</v>
      </c>
      <c r="J476" s="4" t="s">
        <v>106</v>
      </c>
      <c r="K476" s="4" t="s">
        <v>46</v>
      </c>
      <c r="L476" s="4" t="s">
        <v>60</v>
      </c>
      <c r="M476" s="4">
        <v>13</v>
      </c>
      <c r="N476" s="4">
        <v>55000</v>
      </c>
      <c r="O476" s="57">
        <v>5</v>
      </c>
      <c r="P476" s="4">
        <v>679250</v>
      </c>
      <c r="Q476" s="4">
        <v>1</v>
      </c>
      <c r="R476" s="4" t="s">
        <v>48</v>
      </c>
      <c r="S476" s="4" t="s">
        <v>49</v>
      </c>
      <c r="T476" s="4" t="s">
        <v>332</v>
      </c>
      <c r="U476" s="6" t="s">
        <v>2003</v>
      </c>
      <c r="V476" s="4" t="s">
        <v>64</v>
      </c>
    </row>
    <row r="477" spans="1:22" x14ac:dyDescent="0.5">
      <c r="A477" s="7" t="s">
        <v>2004</v>
      </c>
      <c r="B477" s="8" t="s">
        <v>127</v>
      </c>
      <c r="C477" s="8" t="s">
        <v>54</v>
      </c>
      <c r="D477" s="8" t="s">
        <v>102</v>
      </c>
      <c r="E477" s="8" t="s">
        <v>1114</v>
      </c>
      <c r="F477" s="8" t="s">
        <v>200</v>
      </c>
      <c r="G477" s="8" t="s">
        <v>76</v>
      </c>
      <c r="H477" s="8" t="s">
        <v>2005</v>
      </c>
      <c r="I477" s="8" t="s">
        <v>294</v>
      </c>
      <c r="J477" s="8" t="s">
        <v>295</v>
      </c>
      <c r="K477" s="8" t="s">
        <v>46</v>
      </c>
      <c r="L477" s="8" t="s">
        <v>60</v>
      </c>
      <c r="M477" s="8">
        <v>12</v>
      </c>
      <c r="N477" s="8">
        <v>55000</v>
      </c>
      <c r="O477" s="58">
        <v>5</v>
      </c>
      <c r="P477" s="8">
        <v>627000</v>
      </c>
      <c r="Q477" s="8">
        <v>1</v>
      </c>
      <c r="R477" s="8" t="s">
        <v>48</v>
      </c>
      <c r="S477" s="8" t="s">
        <v>115</v>
      </c>
      <c r="T477" s="8" t="s">
        <v>132</v>
      </c>
      <c r="U477" s="9" t="s">
        <v>2006</v>
      </c>
      <c r="V477" s="8" t="s">
        <v>69</v>
      </c>
    </row>
    <row r="478" spans="1:22" x14ac:dyDescent="0.5">
      <c r="A478" s="3" t="s">
        <v>2007</v>
      </c>
      <c r="B478" s="4" t="s">
        <v>53</v>
      </c>
      <c r="C478" s="4" t="s">
        <v>259</v>
      </c>
      <c r="D478" s="4" t="s">
        <v>761</v>
      </c>
      <c r="E478" s="4" t="s">
        <v>1705</v>
      </c>
      <c r="F478" s="4" t="s">
        <v>163</v>
      </c>
      <c r="G478" s="4" t="s">
        <v>28</v>
      </c>
      <c r="H478" s="4" t="s">
        <v>2008</v>
      </c>
      <c r="I478" s="4" t="s">
        <v>105</v>
      </c>
      <c r="J478" s="4" t="s">
        <v>106</v>
      </c>
      <c r="K478" s="4" t="s">
        <v>122</v>
      </c>
      <c r="L478" s="4" t="s">
        <v>263</v>
      </c>
      <c r="M478" s="4">
        <v>16</v>
      </c>
      <c r="N478" s="4">
        <v>45</v>
      </c>
      <c r="O478" s="57">
        <v>20</v>
      </c>
      <c r="P478" s="4">
        <v>576</v>
      </c>
      <c r="Q478" s="4">
        <v>2</v>
      </c>
      <c r="R478" s="4" t="s">
        <v>34</v>
      </c>
      <c r="S478" s="4" t="s">
        <v>49</v>
      </c>
      <c r="T478" s="4" t="s">
        <v>62</v>
      </c>
      <c r="U478" s="6" t="s">
        <v>2009</v>
      </c>
      <c r="V478" s="4" t="s">
        <v>64</v>
      </c>
    </row>
    <row r="479" spans="1:22" x14ac:dyDescent="0.5">
      <c r="A479" s="7" t="s">
        <v>2010</v>
      </c>
      <c r="B479" s="8" t="s">
        <v>23</v>
      </c>
      <c r="C479" s="8" t="s">
        <v>72</v>
      </c>
      <c r="D479" s="8" t="s">
        <v>25</v>
      </c>
      <c r="E479" s="8" t="s">
        <v>73</v>
      </c>
      <c r="F479" s="8" t="s">
        <v>27</v>
      </c>
      <c r="G479" s="8" t="s">
        <v>28</v>
      </c>
      <c r="H479" s="8" t="s">
        <v>2011</v>
      </c>
      <c r="I479" s="8" t="s">
        <v>59</v>
      </c>
      <c r="J479" s="8" t="s">
        <v>31</v>
      </c>
      <c r="K479" s="8" t="s">
        <v>46</v>
      </c>
      <c r="L479" s="8" t="s">
        <v>78</v>
      </c>
      <c r="M479" s="8">
        <v>5</v>
      </c>
      <c r="N479" s="8">
        <v>1200</v>
      </c>
      <c r="O479" s="58">
        <v>10</v>
      </c>
      <c r="P479" s="8">
        <v>5400</v>
      </c>
      <c r="Q479" s="8">
        <v>1</v>
      </c>
      <c r="R479" s="8" t="s">
        <v>34</v>
      </c>
      <c r="S479" s="8"/>
      <c r="T479" s="10" t="s">
        <v>2012</v>
      </c>
      <c r="U479" s="9" t="s">
        <v>2013</v>
      </c>
      <c r="V479" s="8" t="s">
        <v>38</v>
      </c>
    </row>
    <row r="480" spans="1:22" x14ac:dyDescent="0.5">
      <c r="A480" s="3" t="s">
        <v>2014</v>
      </c>
      <c r="B480" s="4" t="s">
        <v>168</v>
      </c>
      <c r="C480" s="4" t="s">
        <v>259</v>
      </c>
      <c r="D480" s="4" t="s">
        <v>282</v>
      </c>
      <c r="E480" s="4" t="s">
        <v>702</v>
      </c>
      <c r="F480" s="4" t="s">
        <v>2015</v>
      </c>
      <c r="G480" s="4" t="s">
        <v>28</v>
      </c>
      <c r="H480" s="4" t="s">
        <v>2016</v>
      </c>
      <c r="I480" s="4" t="s">
        <v>294</v>
      </c>
      <c r="J480" s="4" t="s">
        <v>295</v>
      </c>
      <c r="K480" s="4" t="s">
        <v>122</v>
      </c>
      <c r="L480" s="4" t="s">
        <v>263</v>
      </c>
      <c r="M480" s="4">
        <v>2</v>
      </c>
      <c r="N480" s="4">
        <v>45</v>
      </c>
      <c r="O480" s="57">
        <v>10</v>
      </c>
      <c r="P480" s="4">
        <v>81</v>
      </c>
      <c r="Q480" s="4">
        <v>4</v>
      </c>
      <c r="R480" s="4" t="s">
        <v>88</v>
      </c>
      <c r="S480" s="4" t="s">
        <v>49</v>
      </c>
      <c r="T480" s="4" t="s">
        <v>175</v>
      </c>
      <c r="U480" s="6" t="s">
        <v>2017</v>
      </c>
      <c r="V480" s="4" t="s">
        <v>64</v>
      </c>
    </row>
    <row r="481" spans="1:22" x14ac:dyDescent="0.5">
      <c r="A481" s="7" t="s">
        <v>2018</v>
      </c>
      <c r="B481" s="8" t="s">
        <v>127</v>
      </c>
      <c r="C481" s="8" t="s">
        <v>40</v>
      </c>
      <c r="D481" s="8" t="s">
        <v>85</v>
      </c>
      <c r="E481" s="8" t="s">
        <v>587</v>
      </c>
      <c r="F481" s="8" t="s">
        <v>200</v>
      </c>
      <c r="G481" s="8" t="s">
        <v>76</v>
      </c>
      <c r="H481" s="8" t="s">
        <v>2019</v>
      </c>
      <c r="I481" s="8" t="s">
        <v>138</v>
      </c>
      <c r="J481" s="8" t="s">
        <v>106</v>
      </c>
      <c r="K481" s="8" t="s">
        <v>46</v>
      </c>
      <c r="L481" s="8" t="s">
        <v>47</v>
      </c>
      <c r="M481" s="8">
        <v>3</v>
      </c>
      <c r="N481" s="8">
        <v>12000</v>
      </c>
      <c r="O481" s="58">
        <v>0</v>
      </c>
      <c r="P481" s="8">
        <v>36000</v>
      </c>
      <c r="Q481" s="8">
        <v>2</v>
      </c>
      <c r="R481" s="8" t="s">
        <v>88</v>
      </c>
      <c r="S481" s="8" t="s">
        <v>151</v>
      </c>
      <c r="T481" s="8" t="s">
        <v>132</v>
      </c>
      <c r="U481" s="9" t="s">
        <v>2020</v>
      </c>
      <c r="V481" s="8" t="s">
        <v>64</v>
      </c>
    </row>
    <row r="482" spans="1:22" x14ac:dyDescent="0.5">
      <c r="A482" s="3" t="s">
        <v>2021</v>
      </c>
      <c r="B482" s="4" t="s">
        <v>23</v>
      </c>
      <c r="C482" s="4" t="s">
        <v>40</v>
      </c>
      <c r="D482" s="4" t="s">
        <v>2022</v>
      </c>
      <c r="E482" s="4" t="s">
        <v>1863</v>
      </c>
      <c r="F482" s="4" t="s">
        <v>95</v>
      </c>
      <c r="G482" s="4" t="s">
        <v>28</v>
      </c>
      <c r="H482" s="4" t="s">
        <v>2023</v>
      </c>
      <c r="I482" s="4" t="s">
        <v>59</v>
      </c>
      <c r="J482" s="4" t="s">
        <v>31</v>
      </c>
      <c r="K482" s="4" t="s">
        <v>46</v>
      </c>
      <c r="L482" s="4" t="s">
        <v>47</v>
      </c>
      <c r="M482" s="4">
        <v>3</v>
      </c>
      <c r="N482" s="4">
        <v>12000</v>
      </c>
      <c r="O482" s="57">
        <v>20</v>
      </c>
      <c r="P482" s="4">
        <v>28800</v>
      </c>
      <c r="Q482" s="4">
        <v>3</v>
      </c>
      <c r="R482" s="4" t="s">
        <v>88</v>
      </c>
      <c r="S482" s="4" t="s">
        <v>115</v>
      </c>
      <c r="T482" s="4" t="s">
        <v>50</v>
      </c>
      <c r="U482" s="6" t="s">
        <v>2024</v>
      </c>
      <c r="V482" s="4" t="s">
        <v>38</v>
      </c>
    </row>
    <row r="483" spans="1:22" x14ac:dyDescent="0.5">
      <c r="A483" s="7" t="s">
        <v>2025</v>
      </c>
      <c r="B483" s="8" t="s">
        <v>127</v>
      </c>
      <c r="C483" s="8" t="s">
        <v>169</v>
      </c>
      <c r="D483" s="8" t="s">
        <v>892</v>
      </c>
      <c r="E483" s="8" t="s">
        <v>161</v>
      </c>
      <c r="F483" s="8" t="s">
        <v>200</v>
      </c>
      <c r="G483" s="8" t="s">
        <v>76</v>
      </c>
      <c r="H483" s="8" t="s">
        <v>2026</v>
      </c>
      <c r="I483" s="8" t="s">
        <v>294</v>
      </c>
      <c r="J483" s="8" t="s">
        <v>295</v>
      </c>
      <c r="K483" s="8" t="s">
        <v>32</v>
      </c>
      <c r="L483" s="8" t="s">
        <v>174</v>
      </c>
      <c r="M483" s="8">
        <v>9</v>
      </c>
      <c r="N483" s="8">
        <v>8500</v>
      </c>
      <c r="O483" s="58">
        <v>15</v>
      </c>
      <c r="P483" s="8">
        <v>65025</v>
      </c>
      <c r="Q483" s="8">
        <v>5</v>
      </c>
      <c r="R483" s="8" t="s">
        <v>34</v>
      </c>
      <c r="S483" s="8" t="s">
        <v>49</v>
      </c>
      <c r="T483" s="8" t="s">
        <v>132</v>
      </c>
      <c r="U483" s="9" t="s">
        <v>2027</v>
      </c>
      <c r="V483" s="8" t="s">
        <v>64</v>
      </c>
    </row>
    <row r="484" spans="1:22" x14ac:dyDescent="0.5">
      <c r="A484" s="3" t="s">
        <v>2028</v>
      </c>
      <c r="B484" s="4" t="s">
        <v>71</v>
      </c>
      <c r="C484" s="4" t="s">
        <v>184</v>
      </c>
      <c r="D484" s="4" t="s">
        <v>261</v>
      </c>
      <c r="E484" s="4" t="s">
        <v>881</v>
      </c>
      <c r="F484" s="4" t="s">
        <v>2029</v>
      </c>
      <c r="G484" s="4" t="s">
        <v>76</v>
      </c>
      <c r="H484" s="4" t="s">
        <v>2030</v>
      </c>
      <c r="I484" s="4" t="s">
        <v>294</v>
      </c>
      <c r="J484" s="4" t="s">
        <v>295</v>
      </c>
      <c r="K484" s="4" t="s">
        <v>46</v>
      </c>
      <c r="L484" s="4" t="s">
        <v>189</v>
      </c>
      <c r="M484" s="4">
        <v>17</v>
      </c>
      <c r="N484" s="4">
        <v>700</v>
      </c>
      <c r="O484" s="57">
        <v>0</v>
      </c>
      <c r="P484" s="4">
        <v>11900</v>
      </c>
      <c r="Q484" s="4">
        <v>2</v>
      </c>
      <c r="R484" s="4" t="s">
        <v>34</v>
      </c>
      <c r="S484" s="4" t="s">
        <v>61</v>
      </c>
      <c r="T484" s="4" t="s">
        <v>80</v>
      </c>
      <c r="U484" s="6" t="s">
        <v>2031</v>
      </c>
      <c r="V484" s="4" t="s">
        <v>69</v>
      </c>
    </row>
    <row r="485" spans="1:22" x14ac:dyDescent="0.5">
      <c r="A485" s="7" t="s">
        <v>2032</v>
      </c>
      <c r="B485" s="8" t="s">
        <v>23</v>
      </c>
      <c r="C485" s="8" t="s">
        <v>184</v>
      </c>
      <c r="D485" s="8" t="s">
        <v>1249</v>
      </c>
      <c r="E485" s="8" t="s">
        <v>1572</v>
      </c>
      <c r="F485" s="8" t="s">
        <v>27</v>
      </c>
      <c r="G485" s="8" t="s">
        <v>28</v>
      </c>
      <c r="H485" s="8" t="s">
        <v>2033</v>
      </c>
      <c r="I485" s="8" t="s">
        <v>30</v>
      </c>
      <c r="J485" s="8" t="s">
        <v>31</v>
      </c>
      <c r="K485" s="8" t="s">
        <v>46</v>
      </c>
      <c r="L485" s="8" t="s">
        <v>189</v>
      </c>
      <c r="M485" s="8">
        <v>20</v>
      </c>
      <c r="N485" s="8">
        <v>700</v>
      </c>
      <c r="O485" s="58">
        <v>5</v>
      </c>
      <c r="P485" s="8">
        <v>13300</v>
      </c>
      <c r="Q485" s="8">
        <v>2</v>
      </c>
      <c r="R485" s="8" t="s">
        <v>88</v>
      </c>
      <c r="S485" s="8" t="s">
        <v>35</v>
      </c>
      <c r="T485" s="8" t="s">
        <v>50</v>
      </c>
      <c r="U485" s="9" t="s">
        <v>2034</v>
      </c>
      <c r="V485" s="8" t="s">
        <v>38</v>
      </c>
    </row>
    <row r="486" spans="1:22" x14ac:dyDescent="0.5">
      <c r="A486" s="3" t="s">
        <v>2035</v>
      </c>
      <c r="B486" s="4" t="s">
        <v>327</v>
      </c>
      <c r="C486" s="4" t="s">
        <v>72</v>
      </c>
      <c r="D486" s="4" t="s">
        <v>554</v>
      </c>
      <c r="E486" s="4" t="s">
        <v>65</v>
      </c>
      <c r="F486" s="4" t="s">
        <v>2036</v>
      </c>
      <c r="G486" s="4" t="s">
        <v>76</v>
      </c>
      <c r="H486" s="4" t="s">
        <v>2037</v>
      </c>
      <c r="I486" s="4" t="s">
        <v>138</v>
      </c>
      <c r="J486" s="4" t="s">
        <v>106</v>
      </c>
      <c r="K486" s="4" t="s">
        <v>46</v>
      </c>
      <c r="L486" s="4" t="s">
        <v>78</v>
      </c>
      <c r="M486" s="4">
        <v>13</v>
      </c>
      <c r="N486" s="4">
        <v>1200</v>
      </c>
      <c r="O486" s="57">
        <v>20</v>
      </c>
      <c r="P486" s="4">
        <v>12480</v>
      </c>
      <c r="Q486" s="4">
        <v>5</v>
      </c>
      <c r="R486" s="4" t="s">
        <v>79</v>
      </c>
      <c r="S486" s="4" t="s">
        <v>115</v>
      </c>
      <c r="T486" s="4" t="s">
        <v>332</v>
      </c>
      <c r="U486" s="6" t="s">
        <v>2038</v>
      </c>
      <c r="V486" s="4" t="s">
        <v>38</v>
      </c>
    </row>
    <row r="487" spans="1:22" x14ac:dyDescent="0.5">
      <c r="A487" s="7" t="s">
        <v>2039</v>
      </c>
      <c r="B487" s="8" t="s">
        <v>100</v>
      </c>
      <c r="C487" s="8" t="s">
        <v>54</v>
      </c>
      <c r="D487" s="8" t="s">
        <v>2040</v>
      </c>
      <c r="E487" s="8" t="s">
        <v>1932</v>
      </c>
      <c r="F487" s="8" t="s">
        <v>103</v>
      </c>
      <c r="G487" s="8" t="s">
        <v>28</v>
      </c>
      <c r="H487" s="8" t="s">
        <v>1082</v>
      </c>
      <c r="I487" s="8" t="s">
        <v>212</v>
      </c>
      <c r="J487" s="8" t="s">
        <v>45</v>
      </c>
      <c r="K487" s="8" t="s">
        <v>46</v>
      </c>
      <c r="L487" s="8" t="s">
        <v>60</v>
      </c>
      <c r="M487" s="8">
        <v>20</v>
      </c>
      <c r="N487" s="8">
        <v>55000</v>
      </c>
      <c r="O487" s="58">
        <v>10</v>
      </c>
      <c r="P487" s="8">
        <v>990000</v>
      </c>
      <c r="Q487" s="8">
        <v>1</v>
      </c>
      <c r="R487" s="8" t="s">
        <v>88</v>
      </c>
      <c r="S487" s="8" t="s">
        <v>35</v>
      </c>
      <c r="T487" s="8" t="s">
        <v>144</v>
      </c>
      <c r="U487" s="9" t="s">
        <v>2041</v>
      </c>
      <c r="V487" s="8" t="s">
        <v>64</v>
      </c>
    </row>
    <row r="488" spans="1:22" x14ac:dyDescent="0.5">
      <c r="A488" s="3" t="s">
        <v>2042</v>
      </c>
      <c r="B488" s="4" t="s">
        <v>251</v>
      </c>
      <c r="C488" s="4" t="s">
        <v>72</v>
      </c>
      <c r="D488" s="4" t="s">
        <v>531</v>
      </c>
      <c r="E488" s="4" t="s">
        <v>291</v>
      </c>
      <c r="F488" s="4" t="s">
        <v>254</v>
      </c>
      <c r="G488" s="4" t="s">
        <v>28</v>
      </c>
      <c r="H488" s="4" t="s">
        <v>2043</v>
      </c>
      <c r="I488" s="4" t="s">
        <v>294</v>
      </c>
      <c r="J488" s="4" t="s">
        <v>295</v>
      </c>
      <c r="K488" s="4" t="s">
        <v>46</v>
      </c>
      <c r="L488" s="4" t="s">
        <v>78</v>
      </c>
      <c r="M488" s="4">
        <v>8</v>
      </c>
      <c r="N488" s="4">
        <v>1200</v>
      </c>
      <c r="O488" s="57">
        <v>0</v>
      </c>
      <c r="P488" s="4">
        <v>9600</v>
      </c>
      <c r="Q488" s="4">
        <v>2</v>
      </c>
      <c r="R488" s="4" t="s">
        <v>48</v>
      </c>
      <c r="S488" s="4" t="s">
        <v>151</v>
      </c>
      <c r="T488" s="4" t="s">
        <v>256</v>
      </c>
      <c r="U488" s="6" t="s">
        <v>2044</v>
      </c>
      <c r="V488" s="4" t="s">
        <v>38</v>
      </c>
    </row>
    <row r="489" spans="1:22" x14ac:dyDescent="0.5">
      <c r="A489" s="7" t="s">
        <v>2045</v>
      </c>
      <c r="B489" s="8" t="s">
        <v>53</v>
      </c>
      <c r="C489" s="8" t="s">
        <v>222</v>
      </c>
      <c r="D489" s="8" t="s">
        <v>2046</v>
      </c>
      <c r="E489" s="8" t="s">
        <v>1238</v>
      </c>
      <c r="F489" s="8" t="s">
        <v>163</v>
      </c>
      <c r="G489" s="8" t="s">
        <v>28</v>
      </c>
      <c r="H489" s="8" t="s">
        <v>2047</v>
      </c>
      <c r="I489" s="8" t="s">
        <v>294</v>
      </c>
      <c r="J489" s="8" t="s">
        <v>295</v>
      </c>
      <c r="K489" s="8" t="s">
        <v>122</v>
      </c>
      <c r="L489" s="8" t="s">
        <v>227</v>
      </c>
      <c r="M489" s="8">
        <v>18</v>
      </c>
      <c r="N489" s="8">
        <v>20</v>
      </c>
      <c r="O489" s="58">
        <v>10</v>
      </c>
      <c r="P489" s="8">
        <v>324</v>
      </c>
      <c r="Q489" s="8">
        <v>5</v>
      </c>
      <c r="R489" s="8" t="s">
        <v>79</v>
      </c>
      <c r="S489" s="8"/>
      <c r="T489" s="10" t="s">
        <v>2048</v>
      </c>
      <c r="U489" s="9" t="s">
        <v>2049</v>
      </c>
      <c r="V489" s="8" t="s">
        <v>64</v>
      </c>
    </row>
    <row r="490" spans="1:22" x14ac:dyDescent="0.5">
      <c r="A490" s="3" t="s">
        <v>2050</v>
      </c>
      <c r="B490" s="4" t="s">
        <v>168</v>
      </c>
      <c r="C490" s="4" t="s">
        <v>40</v>
      </c>
      <c r="D490" s="4" t="s">
        <v>2051</v>
      </c>
      <c r="E490" s="4" t="s">
        <v>272</v>
      </c>
      <c r="F490" s="4" t="s">
        <v>361</v>
      </c>
      <c r="G490" s="4" t="s">
        <v>28</v>
      </c>
      <c r="H490" s="4" t="s">
        <v>2052</v>
      </c>
      <c r="I490" s="4" t="s">
        <v>114</v>
      </c>
      <c r="J490" s="4" t="s">
        <v>106</v>
      </c>
      <c r="K490" s="4" t="s">
        <v>46</v>
      </c>
      <c r="L490" s="4" t="s">
        <v>47</v>
      </c>
      <c r="M490" s="4">
        <v>11</v>
      </c>
      <c r="N490" s="4">
        <v>12000</v>
      </c>
      <c r="O490" s="57">
        <v>10</v>
      </c>
      <c r="P490" s="4">
        <v>118800</v>
      </c>
      <c r="Q490" s="4">
        <v>1</v>
      </c>
      <c r="R490" s="4" t="s">
        <v>79</v>
      </c>
      <c r="S490" s="4" t="s">
        <v>49</v>
      </c>
      <c r="T490" s="4" t="s">
        <v>175</v>
      </c>
      <c r="U490" s="6" t="s">
        <v>2053</v>
      </c>
      <c r="V490" s="4" t="s">
        <v>69</v>
      </c>
    </row>
    <row r="491" spans="1:22" x14ac:dyDescent="0.5">
      <c r="A491" s="7" t="s">
        <v>2054</v>
      </c>
      <c r="B491" s="8" t="s">
        <v>327</v>
      </c>
      <c r="C491" s="8" t="s">
        <v>169</v>
      </c>
      <c r="D491" s="8" t="s">
        <v>142</v>
      </c>
      <c r="E491" s="8" t="s">
        <v>1378</v>
      </c>
      <c r="F491" s="8" t="s">
        <v>394</v>
      </c>
      <c r="G491" s="8" t="s">
        <v>76</v>
      </c>
      <c r="H491" s="8" t="s">
        <v>2055</v>
      </c>
      <c r="I491" s="8" t="s">
        <v>30</v>
      </c>
      <c r="J491" s="8" t="s">
        <v>31</v>
      </c>
      <c r="K491" s="8" t="s">
        <v>32</v>
      </c>
      <c r="L491" s="8" t="s">
        <v>174</v>
      </c>
      <c r="M491" s="8">
        <v>2</v>
      </c>
      <c r="N491" s="8">
        <v>8500</v>
      </c>
      <c r="O491" s="58">
        <v>5</v>
      </c>
      <c r="P491" s="8">
        <v>16150</v>
      </c>
      <c r="Q491" s="8">
        <v>1</v>
      </c>
      <c r="R491" s="8" t="s">
        <v>79</v>
      </c>
      <c r="S491" s="8" t="s">
        <v>61</v>
      </c>
      <c r="T491" s="8" t="s">
        <v>332</v>
      </c>
      <c r="U491" s="9" t="s">
        <v>2056</v>
      </c>
      <c r="V491" s="8" t="s">
        <v>38</v>
      </c>
    </row>
    <row r="492" spans="1:22" x14ac:dyDescent="0.5">
      <c r="A492" s="3" t="s">
        <v>2057</v>
      </c>
      <c r="B492" s="4" t="s">
        <v>100</v>
      </c>
      <c r="C492" s="4" t="s">
        <v>24</v>
      </c>
      <c r="D492" s="4" t="s">
        <v>328</v>
      </c>
      <c r="E492" s="4" t="s">
        <v>1507</v>
      </c>
      <c r="F492" s="4" t="s">
        <v>2058</v>
      </c>
      <c r="G492" s="4" t="s">
        <v>28</v>
      </c>
      <c r="H492" s="4" t="s">
        <v>2059</v>
      </c>
      <c r="I492" s="4" t="s">
        <v>114</v>
      </c>
      <c r="J492" s="4" t="s">
        <v>106</v>
      </c>
      <c r="K492" s="4" t="s">
        <v>32</v>
      </c>
      <c r="L492" s="4" t="s">
        <v>33</v>
      </c>
      <c r="M492" s="4">
        <v>7</v>
      </c>
      <c r="N492" s="4">
        <v>2200</v>
      </c>
      <c r="O492" s="57">
        <v>0</v>
      </c>
      <c r="P492" s="4">
        <v>15400</v>
      </c>
      <c r="Q492" s="4">
        <v>5</v>
      </c>
      <c r="R492" s="4" t="s">
        <v>48</v>
      </c>
      <c r="S492" s="4" t="s">
        <v>35</v>
      </c>
      <c r="T492" s="4" t="s">
        <v>144</v>
      </c>
      <c r="U492" s="6" t="s">
        <v>2060</v>
      </c>
      <c r="V492" s="4" t="s">
        <v>64</v>
      </c>
    </row>
    <row r="493" spans="1:22" x14ac:dyDescent="0.5">
      <c r="A493" s="7" t="s">
        <v>2061</v>
      </c>
      <c r="B493" s="8" t="s">
        <v>83</v>
      </c>
      <c r="C493" s="8" t="s">
        <v>169</v>
      </c>
      <c r="D493" s="8" t="s">
        <v>1916</v>
      </c>
      <c r="E493" s="8" t="s">
        <v>1098</v>
      </c>
      <c r="F493" s="8" t="s">
        <v>180</v>
      </c>
      <c r="G493" s="8" t="s">
        <v>76</v>
      </c>
      <c r="H493" s="8" t="s">
        <v>2062</v>
      </c>
      <c r="I493" s="8" t="s">
        <v>44</v>
      </c>
      <c r="J493" s="8" t="s">
        <v>45</v>
      </c>
      <c r="K493" s="8" t="s">
        <v>32</v>
      </c>
      <c r="L493" s="8" t="s">
        <v>174</v>
      </c>
      <c r="M493" s="8">
        <v>20</v>
      </c>
      <c r="N493" s="8">
        <v>8500</v>
      </c>
      <c r="O493" s="58">
        <v>0</v>
      </c>
      <c r="P493" s="8">
        <v>170000</v>
      </c>
      <c r="Q493" s="8">
        <v>3</v>
      </c>
      <c r="R493" s="8" t="s">
        <v>48</v>
      </c>
      <c r="S493" s="8" t="s">
        <v>49</v>
      </c>
      <c r="T493" s="8" t="s">
        <v>89</v>
      </c>
      <c r="U493" s="9" t="s">
        <v>2063</v>
      </c>
      <c r="V493" s="8" t="s">
        <v>38</v>
      </c>
    </row>
    <row r="494" spans="1:22" x14ac:dyDescent="0.5">
      <c r="A494" s="3" t="s">
        <v>2064</v>
      </c>
      <c r="B494" s="4" t="s">
        <v>127</v>
      </c>
      <c r="C494" s="4" t="s">
        <v>72</v>
      </c>
      <c r="D494" s="4" t="s">
        <v>1106</v>
      </c>
      <c r="E494" s="4" t="s">
        <v>839</v>
      </c>
      <c r="F494" s="4" t="s">
        <v>2065</v>
      </c>
      <c r="G494" s="4" t="s">
        <v>76</v>
      </c>
      <c r="H494" s="4" t="s">
        <v>2066</v>
      </c>
      <c r="I494" s="4" t="s">
        <v>30</v>
      </c>
      <c r="J494" s="4" t="s">
        <v>31</v>
      </c>
      <c r="K494" s="4" t="s">
        <v>46</v>
      </c>
      <c r="L494" s="4" t="s">
        <v>78</v>
      </c>
      <c r="M494" s="4">
        <v>11</v>
      </c>
      <c r="N494" s="4">
        <v>1200</v>
      </c>
      <c r="O494" s="57">
        <v>5</v>
      </c>
      <c r="P494" s="4">
        <v>12540</v>
      </c>
      <c r="Q494" s="4">
        <v>2</v>
      </c>
      <c r="R494" s="4" t="s">
        <v>34</v>
      </c>
      <c r="S494" s="4" t="s">
        <v>35</v>
      </c>
      <c r="T494" s="4" t="s">
        <v>132</v>
      </c>
      <c r="U494" s="6" t="s">
        <v>2067</v>
      </c>
      <c r="V494" s="4" t="s">
        <v>64</v>
      </c>
    </row>
    <row r="495" spans="1:22" x14ac:dyDescent="0.5">
      <c r="A495" s="7" t="s">
        <v>2068</v>
      </c>
      <c r="B495" s="8" t="s">
        <v>83</v>
      </c>
      <c r="C495" s="8" t="s">
        <v>184</v>
      </c>
      <c r="D495" s="8" t="s">
        <v>839</v>
      </c>
      <c r="E495" s="8" t="s">
        <v>756</v>
      </c>
      <c r="F495" s="8" t="s">
        <v>180</v>
      </c>
      <c r="G495" s="8" t="s">
        <v>76</v>
      </c>
      <c r="H495" s="8" t="s">
        <v>2069</v>
      </c>
      <c r="I495" s="8" t="s">
        <v>138</v>
      </c>
      <c r="J495" s="8" t="s">
        <v>106</v>
      </c>
      <c r="K495" s="8" t="s">
        <v>46</v>
      </c>
      <c r="L495" s="8" t="s">
        <v>189</v>
      </c>
      <c r="M495" s="8">
        <v>14</v>
      </c>
      <c r="N495" s="8">
        <v>700</v>
      </c>
      <c r="O495" s="58">
        <v>0</v>
      </c>
      <c r="P495" s="8">
        <v>9800</v>
      </c>
      <c r="Q495" s="8">
        <v>2</v>
      </c>
      <c r="R495" s="8" t="s">
        <v>79</v>
      </c>
      <c r="S495" s="8" t="s">
        <v>151</v>
      </c>
      <c r="T495" s="8" t="s">
        <v>89</v>
      </c>
      <c r="U495" s="9" t="s">
        <v>2070</v>
      </c>
      <c r="V495" s="8" t="s">
        <v>69</v>
      </c>
    </row>
    <row r="496" spans="1:22" x14ac:dyDescent="0.5">
      <c r="A496" s="3" t="s">
        <v>2071</v>
      </c>
      <c r="B496" s="4" t="s">
        <v>71</v>
      </c>
      <c r="C496" s="4" t="s">
        <v>72</v>
      </c>
      <c r="D496" s="4" t="s">
        <v>793</v>
      </c>
      <c r="E496" s="4" t="s">
        <v>1650</v>
      </c>
      <c r="F496" s="4" t="s">
        <v>217</v>
      </c>
      <c r="G496" s="4" t="s">
        <v>76</v>
      </c>
      <c r="H496" s="4" t="s">
        <v>2072</v>
      </c>
      <c r="I496" s="4" t="s">
        <v>114</v>
      </c>
      <c r="J496" s="4" t="s">
        <v>106</v>
      </c>
      <c r="K496" s="4" t="s">
        <v>46</v>
      </c>
      <c r="L496" s="4" t="s">
        <v>78</v>
      </c>
      <c r="M496" s="4">
        <v>16</v>
      </c>
      <c r="N496" s="4">
        <v>1200</v>
      </c>
      <c r="O496" s="57">
        <v>15</v>
      </c>
      <c r="P496" s="4">
        <v>16320</v>
      </c>
      <c r="Q496" s="4">
        <v>4</v>
      </c>
      <c r="R496" s="4" t="s">
        <v>34</v>
      </c>
      <c r="S496" s="4" t="s">
        <v>151</v>
      </c>
      <c r="T496" s="4" t="s">
        <v>80</v>
      </c>
      <c r="U496" s="6" t="s">
        <v>2073</v>
      </c>
      <c r="V496" s="4" t="s">
        <v>64</v>
      </c>
    </row>
    <row r="497" spans="1:22" x14ac:dyDescent="0.5">
      <c r="A497" s="7" t="s">
        <v>2074</v>
      </c>
      <c r="B497" s="8" t="s">
        <v>168</v>
      </c>
      <c r="C497" s="8" t="s">
        <v>24</v>
      </c>
      <c r="D497" s="8" t="s">
        <v>493</v>
      </c>
      <c r="E497" s="8" t="s">
        <v>1932</v>
      </c>
      <c r="F497" s="8" t="s">
        <v>2075</v>
      </c>
      <c r="G497" s="8" t="s">
        <v>28</v>
      </c>
      <c r="H497" s="8" t="s">
        <v>2076</v>
      </c>
      <c r="I497" s="8" t="s">
        <v>212</v>
      </c>
      <c r="J497" s="8" t="s">
        <v>45</v>
      </c>
      <c r="K497" s="8" t="s">
        <v>32</v>
      </c>
      <c r="L497" s="8" t="s">
        <v>33</v>
      </c>
      <c r="M497" s="8">
        <v>20</v>
      </c>
      <c r="N497" s="8">
        <v>2200</v>
      </c>
      <c r="O497" s="58">
        <v>0</v>
      </c>
      <c r="P497" s="8">
        <v>44000</v>
      </c>
      <c r="Q497" s="8">
        <v>5</v>
      </c>
      <c r="R497" s="8" t="s">
        <v>34</v>
      </c>
      <c r="S497" s="8" t="s">
        <v>35</v>
      </c>
      <c r="T497" s="8" t="s">
        <v>175</v>
      </c>
      <c r="U497" s="9" t="s">
        <v>2077</v>
      </c>
      <c r="V497" s="8" t="s">
        <v>69</v>
      </c>
    </row>
    <row r="498" spans="1:22" x14ac:dyDescent="0.5">
      <c r="A498" s="3" t="s">
        <v>2078</v>
      </c>
      <c r="B498" s="4" t="s">
        <v>83</v>
      </c>
      <c r="C498" s="4" t="s">
        <v>40</v>
      </c>
      <c r="D498" s="4" t="s">
        <v>2051</v>
      </c>
      <c r="E498" s="4" t="s">
        <v>272</v>
      </c>
      <c r="F498" s="4" t="s">
        <v>180</v>
      </c>
      <c r="G498" s="4" t="s">
        <v>76</v>
      </c>
      <c r="H498" s="4" t="s">
        <v>2079</v>
      </c>
      <c r="I498" s="4" t="s">
        <v>212</v>
      </c>
      <c r="J498" s="4" t="s">
        <v>45</v>
      </c>
      <c r="K498" s="4" t="s">
        <v>46</v>
      </c>
      <c r="L498" s="4" t="s">
        <v>47</v>
      </c>
      <c r="M498" s="4">
        <v>12</v>
      </c>
      <c r="N498" s="4">
        <v>12000</v>
      </c>
      <c r="O498" s="57">
        <v>15</v>
      </c>
      <c r="P498" s="4">
        <v>122400</v>
      </c>
      <c r="Q498" s="4">
        <v>5</v>
      </c>
      <c r="R498" s="4" t="s">
        <v>34</v>
      </c>
      <c r="S498" s="4" t="s">
        <v>151</v>
      </c>
      <c r="T498" s="4" t="s">
        <v>89</v>
      </c>
      <c r="U498" s="6" t="s">
        <v>2080</v>
      </c>
      <c r="V498" s="4" t="s">
        <v>38</v>
      </c>
    </row>
    <row r="499" spans="1:22" x14ac:dyDescent="0.5">
      <c r="A499" s="7" t="s">
        <v>2081</v>
      </c>
      <c r="B499" s="8" t="s">
        <v>221</v>
      </c>
      <c r="C499" s="8" t="s">
        <v>72</v>
      </c>
      <c r="D499" s="8" t="s">
        <v>610</v>
      </c>
      <c r="E499" s="8" t="s">
        <v>611</v>
      </c>
      <c r="F499" s="8" t="s">
        <v>225</v>
      </c>
      <c r="G499" s="8" t="s">
        <v>76</v>
      </c>
      <c r="H499" s="8" t="s">
        <v>2082</v>
      </c>
      <c r="I499" s="8" t="s">
        <v>44</v>
      </c>
      <c r="J499" s="8" t="s">
        <v>45</v>
      </c>
      <c r="K499" s="8" t="s">
        <v>46</v>
      </c>
      <c r="L499" s="8" t="s">
        <v>78</v>
      </c>
      <c r="M499" s="8">
        <v>3</v>
      </c>
      <c r="N499" s="8">
        <v>1200</v>
      </c>
      <c r="O499" s="58">
        <v>20</v>
      </c>
      <c r="P499" s="8">
        <v>2880</v>
      </c>
      <c r="Q499" s="8">
        <v>2</v>
      </c>
      <c r="R499" s="8" t="s">
        <v>48</v>
      </c>
      <c r="S499" s="8" t="s">
        <v>115</v>
      </c>
      <c r="T499" s="8" t="s">
        <v>907</v>
      </c>
      <c r="U499" s="9" t="s">
        <v>2083</v>
      </c>
      <c r="V499" s="8" t="s">
        <v>64</v>
      </c>
    </row>
    <row r="500" spans="1:22" x14ac:dyDescent="0.5">
      <c r="A500" s="3" t="s">
        <v>2084</v>
      </c>
      <c r="B500" s="4" t="s">
        <v>100</v>
      </c>
      <c r="C500" s="4" t="s">
        <v>54</v>
      </c>
      <c r="D500" s="4" t="s">
        <v>276</v>
      </c>
      <c r="E500" s="4" t="s">
        <v>2085</v>
      </c>
      <c r="F500" s="4" t="s">
        <v>103</v>
      </c>
      <c r="G500" s="4" t="s">
        <v>28</v>
      </c>
      <c r="H500" s="4" t="s">
        <v>2086</v>
      </c>
      <c r="I500" s="4" t="s">
        <v>105</v>
      </c>
      <c r="J500" s="4" t="s">
        <v>106</v>
      </c>
      <c r="K500" s="4" t="s">
        <v>46</v>
      </c>
      <c r="L500" s="4" t="s">
        <v>2087</v>
      </c>
      <c r="M500" s="4">
        <v>6</v>
      </c>
      <c r="N500" s="4">
        <v>55000</v>
      </c>
      <c r="O500" s="57">
        <v>20</v>
      </c>
      <c r="P500" s="4">
        <v>264000</v>
      </c>
      <c r="Q500" s="4">
        <v>3</v>
      </c>
      <c r="R500" s="4" t="s">
        <v>34</v>
      </c>
      <c r="S500" s="4" t="s">
        <v>151</v>
      </c>
      <c r="T500" s="4" t="s">
        <v>144</v>
      </c>
      <c r="U500" s="6" t="s">
        <v>2088</v>
      </c>
      <c r="V500" s="4" t="s">
        <v>38</v>
      </c>
    </row>
    <row r="501" spans="1:22" x14ac:dyDescent="0.5">
      <c r="A501" s="11" t="s">
        <v>2089</v>
      </c>
      <c r="B501" s="12" t="s">
        <v>100</v>
      </c>
      <c r="C501" s="12" t="s">
        <v>92</v>
      </c>
      <c r="D501" s="12" t="s">
        <v>2090</v>
      </c>
      <c r="E501" s="12" t="s">
        <v>129</v>
      </c>
      <c r="F501" s="12" t="s">
        <v>103</v>
      </c>
      <c r="G501" s="12" t="s">
        <v>28</v>
      </c>
      <c r="H501" s="12" t="s">
        <v>2091</v>
      </c>
      <c r="I501" s="12" t="s">
        <v>59</v>
      </c>
      <c r="J501" s="12" t="s">
        <v>31</v>
      </c>
      <c r="K501" s="12" t="s">
        <v>32</v>
      </c>
      <c r="L501" s="12" t="s">
        <v>97</v>
      </c>
      <c r="M501" s="12">
        <v>20</v>
      </c>
      <c r="N501" s="12">
        <v>3500</v>
      </c>
      <c r="O501" s="59">
        <v>0</v>
      </c>
      <c r="P501" s="12">
        <v>70000</v>
      </c>
      <c r="Q501" s="12">
        <v>1</v>
      </c>
      <c r="R501" s="12" t="s">
        <v>48</v>
      </c>
      <c r="S501" s="12" t="s">
        <v>151</v>
      </c>
      <c r="T501" s="12" t="s">
        <v>144</v>
      </c>
      <c r="U501" s="13" t="s">
        <v>2092</v>
      </c>
      <c r="V501" s="12" t="s">
        <v>64</v>
      </c>
    </row>
  </sheetData>
  <hyperlinks>
    <hyperlink ref="T2" r:id="rId1" xr:uid="{EDF2F6A2-2D3C-45C5-816D-C9CCC8A49A83}"/>
    <hyperlink ref="T5" r:id="rId2" xr:uid="{97DBB201-479E-4922-9DFD-131FDAC56F34}"/>
    <hyperlink ref="T9" r:id="rId3" xr:uid="{31475482-7300-4430-B73F-3FBC468090C7}"/>
    <hyperlink ref="T11" r:id="rId4" xr:uid="{3BD546EA-0606-46D5-8B3C-B6A9B22DF22B}"/>
    <hyperlink ref="T16" r:id="rId5" xr:uid="{0E7E4715-1719-4334-97A8-B86263F66771}"/>
    <hyperlink ref="T15" r:id="rId6" xr:uid="{53C001FC-B4DD-4223-B6A0-B628D0DAA82D}"/>
    <hyperlink ref="T20" r:id="rId7" xr:uid="{39641245-CBF9-41AB-8ECF-D7FB48E69A46}"/>
    <hyperlink ref="T61" r:id="rId8" xr:uid="{3271CB33-15AD-4B68-A022-22C62AC2BD03}"/>
    <hyperlink ref="T72" r:id="rId9" xr:uid="{DA742258-A108-45FF-B28C-E44872379879}"/>
    <hyperlink ref="T294" r:id="rId10" xr:uid="{2221AC8B-80E7-4E50-AAB6-5A57A2C922D7}"/>
    <hyperlink ref="T489" r:id="rId11" xr:uid="{108DBBB8-5783-4B50-B836-92356B9D51CE}"/>
    <hyperlink ref="T479" r:id="rId12" xr:uid="{BD5C2E4F-3364-4168-A016-22B39499C823}"/>
    <hyperlink ref="T463" r:id="rId13" xr:uid="{E3E6B253-42F0-48F8-B9DB-83A52E41A6B5}"/>
    <hyperlink ref="T450" r:id="rId14" xr:uid="{CDF46F9D-580A-458A-894C-7F1A231814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A8FDB-D5C7-4FE3-934B-8583AC68B5F3}">
  <dimension ref="A1:F11"/>
  <sheetViews>
    <sheetView workbookViewId="0">
      <selection activeCell="I6" sqref="I6"/>
    </sheetView>
  </sheetViews>
  <sheetFormatPr defaultRowHeight="16.5" x14ac:dyDescent="0.5"/>
  <cols>
    <col min="1" max="7" width="18.81640625" customWidth="1"/>
  </cols>
  <sheetData>
    <row r="1" spans="1:6" ht="18.5" x14ac:dyDescent="0.5">
      <c r="A1" s="51" t="s">
        <v>2</v>
      </c>
      <c r="B1" s="51" t="s">
        <v>11</v>
      </c>
      <c r="C1" s="51" t="s">
        <v>10</v>
      </c>
      <c r="D1" s="51" t="s">
        <v>2093</v>
      </c>
      <c r="E1" s="51" t="s">
        <v>2094</v>
      </c>
      <c r="F1" s="51" t="s">
        <v>2095</v>
      </c>
    </row>
    <row r="2" spans="1:6" ht="18.5" x14ac:dyDescent="0.5">
      <c r="A2" s="50" t="s">
        <v>54</v>
      </c>
      <c r="B2" s="50" t="s">
        <v>60</v>
      </c>
      <c r="C2" s="50" t="s">
        <v>46</v>
      </c>
      <c r="D2" s="50" t="s">
        <v>2096</v>
      </c>
      <c r="E2" s="50">
        <v>41250</v>
      </c>
      <c r="F2" s="50">
        <v>12</v>
      </c>
    </row>
    <row r="3" spans="1:6" ht="18.5" x14ac:dyDescent="0.5">
      <c r="A3" s="50" t="s">
        <v>184</v>
      </c>
      <c r="B3" s="50" t="s">
        <v>189</v>
      </c>
      <c r="C3" s="50" t="s">
        <v>46</v>
      </c>
      <c r="D3" s="50" t="s">
        <v>2096</v>
      </c>
      <c r="E3" s="50">
        <v>525</v>
      </c>
      <c r="F3" s="50">
        <v>24</v>
      </c>
    </row>
    <row r="4" spans="1:6" ht="18.5" x14ac:dyDescent="0.5">
      <c r="A4" s="50" t="s">
        <v>72</v>
      </c>
      <c r="B4" s="50" t="s">
        <v>78</v>
      </c>
      <c r="C4" s="50" t="s">
        <v>46</v>
      </c>
      <c r="D4" s="50" t="s">
        <v>2096</v>
      </c>
      <c r="E4" s="50">
        <v>900</v>
      </c>
      <c r="F4" s="50">
        <v>6</v>
      </c>
    </row>
    <row r="5" spans="1:6" ht="18.5" x14ac:dyDescent="0.5">
      <c r="A5" s="50" t="s">
        <v>40</v>
      </c>
      <c r="B5" s="50" t="s">
        <v>47</v>
      </c>
      <c r="C5" s="50" t="s">
        <v>46</v>
      </c>
      <c r="D5" s="50" t="s">
        <v>2097</v>
      </c>
      <c r="E5" s="50">
        <v>9000</v>
      </c>
      <c r="F5" s="50">
        <v>24</v>
      </c>
    </row>
    <row r="6" spans="1:6" ht="18.5" x14ac:dyDescent="0.5">
      <c r="A6" s="50" t="s">
        <v>92</v>
      </c>
      <c r="B6" s="50" t="s">
        <v>97</v>
      </c>
      <c r="C6" s="50" t="s">
        <v>32</v>
      </c>
      <c r="D6" s="50" t="s">
        <v>2097</v>
      </c>
      <c r="E6" s="50">
        <v>2625</v>
      </c>
      <c r="F6" s="50">
        <v>6</v>
      </c>
    </row>
    <row r="7" spans="1:6" ht="18.5" x14ac:dyDescent="0.5">
      <c r="A7" s="50" t="s">
        <v>24</v>
      </c>
      <c r="B7" s="50" t="s">
        <v>33</v>
      </c>
      <c r="C7" s="50" t="s">
        <v>32</v>
      </c>
      <c r="D7" s="50" t="s">
        <v>2097</v>
      </c>
      <c r="E7" s="50">
        <v>1650</v>
      </c>
      <c r="F7" s="50">
        <v>24</v>
      </c>
    </row>
    <row r="8" spans="1:6" ht="18.5" x14ac:dyDescent="0.5">
      <c r="A8" s="50" t="s">
        <v>169</v>
      </c>
      <c r="B8" s="50" t="s">
        <v>174</v>
      </c>
      <c r="C8" s="50" t="s">
        <v>32</v>
      </c>
      <c r="D8" s="50" t="s">
        <v>2096</v>
      </c>
      <c r="E8" s="50">
        <v>6375</v>
      </c>
      <c r="F8" s="50">
        <v>24</v>
      </c>
    </row>
    <row r="9" spans="1:6" ht="18.5" x14ac:dyDescent="0.5">
      <c r="A9" s="50" t="s">
        <v>118</v>
      </c>
      <c r="B9" s="50" t="s">
        <v>123</v>
      </c>
      <c r="C9" s="50" t="s">
        <v>122</v>
      </c>
      <c r="D9" s="50" t="s">
        <v>2098</v>
      </c>
      <c r="E9" s="50">
        <v>45</v>
      </c>
      <c r="F9" s="50">
        <v>12</v>
      </c>
    </row>
    <row r="10" spans="1:6" ht="18.5" x14ac:dyDescent="0.5">
      <c r="A10" s="50" t="s">
        <v>222</v>
      </c>
      <c r="B10" s="50" t="s">
        <v>227</v>
      </c>
      <c r="C10" s="50" t="s">
        <v>122</v>
      </c>
      <c r="D10" s="50" t="s">
        <v>2099</v>
      </c>
      <c r="E10" s="50">
        <v>15</v>
      </c>
      <c r="F10" s="50">
        <v>12</v>
      </c>
    </row>
    <row r="11" spans="1:6" ht="18.5" x14ac:dyDescent="0.5">
      <c r="A11" s="50" t="s">
        <v>259</v>
      </c>
      <c r="B11" s="50" t="s">
        <v>263</v>
      </c>
      <c r="C11" s="50" t="s">
        <v>122</v>
      </c>
      <c r="D11" s="50" t="s">
        <v>2096</v>
      </c>
      <c r="E11" s="50">
        <v>33.75</v>
      </c>
      <c r="F11" s="50">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8A036-DD24-4499-B0DC-229A6211F2E1}">
  <dimension ref="A1:D11"/>
  <sheetViews>
    <sheetView workbookViewId="0">
      <selection activeCell="B13" sqref="B13"/>
    </sheetView>
  </sheetViews>
  <sheetFormatPr defaultRowHeight="16.5" x14ac:dyDescent="0.5"/>
  <cols>
    <col min="1" max="5" width="18" customWidth="1"/>
  </cols>
  <sheetData>
    <row r="1" spans="1:4" x14ac:dyDescent="0.5">
      <c r="A1" s="53" t="s">
        <v>1</v>
      </c>
      <c r="B1" s="53" t="s">
        <v>5</v>
      </c>
      <c r="C1" s="53" t="s">
        <v>2100</v>
      </c>
      <c r="D1" s="53" t="s">
        <v>2101</v>
      </c>
    </row>
    <row r="2" spans="1:4" x14ac:dyDescent="0.5">
      <c r="A2" s="52" t="s">
        <v>327</v>
      </c>
      <c r="B2" s="52" t="s">
        <v>394</v>
      </c>
      <c r="C2" s="52" t="s">
        <v>2102</v>
      </c>
      <c r="D2" s="52" t="s">
        <v>2103</v>
      </c>
    </row>
    <row r="3" spans="1:4" x14ac:dyDescent="0.5">
      <c r="A3" s="52" t="s">
        <v>100</v>
      </c>
      <c r="B3" s="52" t="s">
        <v>103</v>
      </c>
      <c r="C3" s="52" t="s">
        <v>2104</v>
      </c>
      <c r="D3" s="52" t="s">
        <v>2105</v>
      </c>
    </row>
    <row r="4" spans="1:4" x14ac:dyDescent="0.5">
      <c r="A4" s="52" t="s">
        <v>127</v>
      </c>
      <c r="B4" s="52" t="s">
        <v>200</v>
      </c>
      <c r="C4" s="52" t="s">
        <v>2106</v>
      </c>
      <c r="D4" s="52" t="s">
        <v>2107</v>
      </c>
    </row>
    <row r="5" spans="1:4" x14ac:dyDescent="0.5">
      <c r="A5" s="52" t="s">
        <v>168</v>
      </c>
      <c r="B5" s="52" t="s">
        <v>361</v>
      </c>
      <c r="C5" s="52" t="s">
        <v>2106</v>
      </c>
      <c r="D5" s="52" t="s">
        <v>2105</v>
      </c>
    </row>
    <row r="6" spans="1:4" x14ac:dyDescent="0.5">
      <c r="A6" s="52" t="s">
        <v>221</v>
      </c>
      <c r="B6" s="52" t="s">
        <v>225</v>
      </c>
      <c r="C6" s="52" t="s">
        <v>2106</v>
      </c>
      <c r="D6" s="52" t="s">
        <v>2107</v>
      </c>
    </row>
    <row r="7" spans="1:4" x14ac:dyDescent="0.5">
      <c r="A7" s="52" t="s">
        <v>251</v>
      </c>
      <c r="B7" s="52" t="s">
        <v>254</v>
      </c>
      <c r="C7" s="52" t="s">
        <v>2106</v>
      </c>
      <c r="D7" s="52" t="s">
        <v>2105</v>
      </c>
    </row>
    <row r="8" spans="1:4" x14ac:dyDescent="0.5">
      <c r="A8" s="52" t="s">
        <v>83</v>
      </c>
      <c r="B8" s="52" t="s">
        <v>180</v>
      </c>
      <c r="C8" s="52" t="s">
        <v>2102</v>
      </c>
      <c r="D8" s="52" t="s">
        <v>2103</v>
      </c>
    </row>
    <row r="9" spans="1:4" x14ac:dyDescent="0.5">
      <c r="A9" s="52" t="s">
        <v>23</v>
      </c>
      <c r="B9" s="52" t="s">
        <v>27</v>
      </c>
      <c r="C9" s="52" t="s">
        <v>2102</v>
      </c>
      <c r="D9" s="52" t="s">
        <v>2105</v>
      </c>
    </row>
    <row r="10" spans="1:4" x14ac:dyDescent="0.5">
      <c r="A10" s="52" t="s">
        <v>71</v>
      </c>
      <c r="B10" s="52" t="s">
        <v>217</v>
      </c>
      <c r="C10" s="52" t="s">
        <v>2104</v>
      </c>
      <c r="D10" s="52" t="s">
        <v>2108</v>
      </c>
    </row>
    <row r="11" spans="1:4" x14ac:dyDescent="0.5">
      <c r="A11" s="52" t="s">
        <v>53</v>
      </c>
      <c r="B11" s="52" t="s">
        <v>163</v>
      </c>
      <c r="C11" s="52" t="s">
        <v>2102</v>
      </c>
      <c r="D11" s="52" t="s">
        <v>2105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C177C-7F9C-46BB-90E7-D9D72B5417E5}">
  <dimension ref="A1:W501"/>
  <sheetViews>
    <sheetView topLeftCell="O1" zoomScale="71" zoomScaleNormal="85" workbookViewId="0">
      <selection activeCell="AM4" sqref="AM4"/>
    </sheetView>
  </sheetViews>
  <sheetFormatPr defaultRowHeight="16.5" x14ac:dyDescent="0.5"/>
  <cols>
    <col min="1" max="1" width="12.81640625" customWidth="1"/>
    <col min="2" max="2" width="14" bestFit="1" customWidth="1"/>
    <col min="3" max="3" width="12" bestFit="1" customWidth="1"/>
    <col min="4" max="4" width="15.26953125" customWidth="1"/>
    <col min="5" max="5" width="16.6328125" customWidth="1"/>
    <col min="6" max="6" width="19.453125" customWidth="1"/>
    <col min="7" max="7" width="11.7265625" customWidth="1"/>
    <col min="8" max="8" width="13.08984375" customWidth="1"/>
    <col min="9" max="9" width="12.1796875" customWidth="1"/>
    <col min="10" max="10" width="10.36328125" customWidth="1"/>
    <col min="11" max="11" width="17.26953125" customWidth="1"/>
    <col min="12" max="12" width="15.6328125" bestFit="1" customWidth="1"/>
    <col min="13" max="13" width="9.54296875" bestFit="1" customWidth="1"/>
    <col min="14" max="14" width="11.1796875" style="27" bestFit="1" customWidth="1"/>
    <col min="15" max="15" width="12" bestFit="1" customWidth="1"/>
    <col min="16" max="16" width="11.1796875" style="27" bestFit="1" customWidth="1"/>
    <col min="17" max="17" width="7" bestFit="1" customWidth="1"/>
    <col min="18" max="18" width="15.81640625" bestFit="1" customWidth="1"/>
    <col min="19" max="19" width="12.08984375" bestFit="1" customWidth="1"/>
    <col min="20" max="20" width="25.1796875" customWidth="1"/>
    <col min="21" max="21" width="18.08984375" style="23" customWidth="1"/>
    <col min="22" max="22" width="14.08984375" bestFit="1" customWidth="1"/>
    <col min="23" max="23" width="32.26953125" style="30" customWidth="1"/>
  </cols>
  <sheetData>
    <row r="1" spans="1:23" x14ac:dyDescent="0.5">
      <c r="A1" s="14" t="s">
        <v>0</v>
      </c>
      <c r="B1" s="14" t="s">
        <v>1</v>
      </c>
      <c r="C1" s="14" t="s">
        <v>2</v>
      </c>
      <c r="D1" s="14" t="s">
        <v>3</v>
      </c>
      <c r="E1" s="14" t="s">
        <v>4</v>
      </c>
      <c r="F1" s="14" t="s">
        <v>5</v>
      </c>
      <c r="G1" s="14" t="s">
        <v>6</v>
      </c>
      <c r="H1" s="14" t="s">
        <v>7</v>
      </c>
      <c r="I1" s="14" t="s">
        <v>8</v>
      </c>
      <c r="J1" s="14" t="s">
        <v>9</v>
      </c>
      <c r="K1" s="14" t="s">
        <v>10</v>
      </c>
      <c r="L1" s="14" t="s">
        <v>11</v>
      </c>
      <c r="M1" s="14" t="s">
        <v>12</v>
      </c>
      <c r="N1" s="24" t="s">
        <v>13</v>
      </c>
      <c r="O1" s="14" t="s">
        <v>14</v>
      </c>
      <c r="P1" s="24" t="s">
        <v>15</v>
      </c>
      <c r="Q1" s="14" t="s">
        <v>16</v>
      </c>
      <c r="R1" s="14" t="s">
        <v>17</v>
      </c>
      <c r="S1" s="14" t="s">
        <v>18</v>
      </c>
      <c r="T1" s="14" t="s">
        <v>19</v>
      </c>
      <c r="U1" s="20" t="s">
        <v>20</v>
      </c>
      <c r="V1" s="14" t="s">
        <v>21</v>
      </c>
      <c r="W1" s="28" t="s">
        <v>2110</v>
      </c>
    </row>
    <row r="2" spans="1:23" x14ac:dyDescent="0.5">
      <c r="A2" s="15" t="s">
        <v>22</v>
      </c>
      <c r="B2" s="15" t="s">
        <v>23</v>
      </c>
      <c r="C2" s="15" t="s">
        <v>24</v>
      </c>
      <c r="D2" s="15" t="s">
        <v>25</v>
      </c>
      <c r="E2" s="15" t="s">
        <v>26</v>
      </c>
      <c r="F2" s="15" t="s">
        <v>27</v>
      </c>
      <c r="G2" s="15" t="s">
        <v>28</v>
      </c>
      <c r="H2" s="15" t="s">
        <v>29</v>
      </c>
      <c r="I2" s="15" t="s">
        <v>30</v>
      </c>
      <c r="J2" s="15" t="s">
        <v>31</v>
      </c>
      <c r="K2" s="15" t="s">
        <v>32</v>
      </c>
      <c r="L2" s="15" t="s">
        <v>33</v>
      </c>
      <c r="M2" s="15">
        <v>4</v>
      </c>
      <c r="N2" s="25">
        <v>2200</v>
      </c>
      <c r="O2" s="15">
        <v>10</v>
      </c>
      <c r="P2" s="25">
        <v>7920</v>
      </c>
      <c r="Q2" s="15">
        <v>4</v>
      </c>
      <c r="R2" s="15" t="s">
        <v>34</v>
      </c>
      <c r="S2" s="15" t="s">
        <v>35</v>
      </c>
      <c r="T2" s="16" t="s">
        <v>36</v>
      </c>
      <c r="U2" s="21">
        <v>9431429797</v>
      </c>
      <c r="V2" s="15" t="s">
        <v>38</v>
      </c>
      <c r="W2" s="29" t="str" cm="1">
        <f t="array" ref="W2">_xlfn.IFS(OR(V2="Cancelled", Q2&lt;=2), "Blacklisted", AND(P2&gt;=100000, Q2&gt;=4, O2&lt;=0.1, V2="Completed"), "Platinum", AND(P2&gt;=50000, P2&lt;=99999, Q2&gt;=3, V2="Completed"), "Gold", AND(Q2&lt;50000, V2="Completed"), "Silver")</f>
        <v>Silver</v>
      </c>
    </row>
    <row r="3" spans="1:23" x14ac:dyDescent="0.5">
      <c r="A3" s="17" t="s">
        <v>39</v>
      </c>
      <c r="B3" s="17" t="s">
        <v>23</v>
      </c>
      <c r="C3" s="17" t="s">
        <v>40</v>
      </c>
      <c r="D3" s="17" t="s">
        <v>41</v>
      </c>
      <c r="E3" s="17" t="s">
        <v>42</v>
      </c>
      <c r="F3" s="15" t="s">
        <v>27</v>
      </c>
      <c r="G3" s="17" t="s">
        <v>28</v>
      </c>
      <c r="H3" s="17" t="s">
        <v>43</v>
      </c>
      <c r="I3" s="17" t="s">
        <v>44</v>
      </c>
      <c r="J3" s="17" t="s">
        <v>45</v>
      </c>
      <c r="K3" s="17" t="s">
        <v>46</v>
      </c>
      <c r="L3" s="17" t="s">
        <v>47</v>
      </c>
      <c r="M3" s="17">
        <v>17</v>
      </c>
      <c r="N3" s="26">
        <v>12000</v>
      </c>
      <c r="O3" s="17">
        <v>10</v>
      </c>
      <c r="P3" s="26">
        <v>183600</v>
      </c>
      <c r="Q3" s="17">
        <v>1</v>
      </c>
      <c r="R3" s="17" t="s">
        <v>48</v>
      </c>
      <c r="S3" s="17" t="s">
        <v>49</v>
      </c>
      <c r="T3" s="17" t="s">
        <v>50</v>
      </c>
      <c r="U3" s="21">
        <v>9129865339</v>
      </c>
      <c r="V3" s="17" t="s">
        <v>38</v>
      </c>
      <c r="W3" s="29" t="str" cm="1">
        <f t="array" ref="W3">_xlfn.IFS(OR(V3="Cancelled", Q3&lt;=2), "Blacklisted", AND(P3&gt;=100000, Q3&gt;=4, O3&lt;=0.1, V3="Completed"), "Platinum", AND(P3&gt;=50000, P3&lt;=99999, Q3&gt;=3, V3="Completed"), "Gold", AND(Q3&lt;50000, V3="Completed"), "Silver")</f>
        <v>Blacklisted</v>
      </c>
    </row>
    <row r="4" spans="1:23" x14ac:dyDescent="0.5">
      <c r="A4" s="15" t="s">
        <v>52</v>
      </c>
      <c r="B4" s="15" t="s">
        <v>53</v>
      </c>
      <c r="C4" s="15" t="s">
        <v>54</v>
      </c>
      <c r="D4" s="15" t="s">
        <v>55</v>
      </c>
      <c r="E4" s="15" t="s">
        <v>56</v>
      </c>
      <c r="F4" s="15" t="s">
        <v>163</v>
      </c>
      <c r="G4" s="15" t="s">
        <v>28</v>
      </c>
      <c r="H4" s="15" t="s">
        <v>58</v>
      </c>
      <c r="I4" s="15" t="s">
        <v>59</v>
      </c>
      <c r="J4" s="15" t="s">
        <v>31</v>
      </c>
      <c r="K4" s="15" t="s">
        <v>46</v>
      </c>
      <c r="L4" s="15" t="s">
        <v>60</v>
      </c>
      <c r="M4" s="15">
        <v>5</v>
      </c>
      <c r="N4" s="25">
        <v>55000</v>
      </c>
      <c r="O4" s="15">
        <v>5</v>
      </c>
      <c r="P4" s="25">
        <v>261250</v>
      </c>
      <c r="Q4" s="15">
        <v>3</v>
      </c>
      <c r="R4" s="15" t="s">
        <v>48</v>
      </c>
      <c r="S4" s="15" t="s">
        <v>61</v>
      </c>
      <c r="T4" s="15" t="s">
        <v>62</v>
      </c>
      <c r="U4" s="22">
        <v>9380975626</v>
      </c>
      <c r="V4" s="15" t="s">
        <v>64</v>
      </c>
      <c r="W4" s="29" t="str" cm="1">
        <f t="array" ref="W4">_xlfn.IFS(OR(V4="Cancelled", Q4&lt;=2), "Blacklisted", AND(P4&gt;=100000, Q4&gt;=4, O4&lt;=0.1, V4="Completed"), "Platinum", AND(P4&gt;=50000, P4&lt;=99999, Q4&gt;=3, V4="Completed"), "Gold", AND(Q4&lt;50000, V4="Completed"), "Silver", V4="Pending", "Pending")</f>
        <v>Pending</v>
      </c>
    </row>
    <row r="5" spans="1:23" x14ac:dyDescent="0.5">
      <c r="A5" s="17" t="s">
        <v>39</v>
      </c>
      <c r="B5" s="17" t="s">
        <v>23</v>
      </c>
      <c r="C5" s="17" t="s">
        <v>24</v>
      </c>
      <c r="D5" s="17" t="s">
        <v>65</v>
      </c>
      <c r="E5" s="17" t="s">
        <v>66</v>
      </c>
      <c r="F5" s="15" t="s">
        <v>27</v>
      </c>
      <c r="G5" s="17" t="s">
        <v>28</v>
      </c>
      <c r="H5" s="17" t="s">
        <v>67</v>
      </c>
      <c r="I5" s="17" t="s">
        <v>59</v>
      </c>
      <c r="J5" s="17" t="s">
        <v>31</v>
      </c>
      <c r="K5" s="17" t="s">
        <v>32</v>
      </c>
      <c r="L5" s="17" t="s">
        <v>33</v>
      </c>
      <c r="M5" s="17">
        <v>5</v>
      </c>
      <c r="N5" s="26">
        <v>2200</v>
      </c>
      <c r="O5" s="17">
        <v>5</v>
      </c>
      <c r="P5" s="26">
        <v>10450</v>
      </c>
      <c r="Q5" s="17">
        <v>5</v>
      </c>
      <c r="R5" s="17" t="s">
        <v>48</v>
      </c>
      <c r="S5" s="17" t="s">
        <v>61</v>
      </c>
      <c r="T5" s="18" t="s">
        <v>50</v>
      </c>
      <c r="U5" s="21">
        <v>9600261125</v>
      </c>
      <c r="V5" s="17" t="s">
        <v>69</v>
      </c>
      <c r="W5" s="29" t="str" cm="1">
        <f t="array" ref="W5">_xlfn.IFS(OR(V5="Cancelled", Q5&lt;=2), "Blacklisted", AND(P5&gt;=100000, Q5&gt;=4, O5&lt;=0.1, V5="Completed"), "Platinum", AND(P5&gt;=50000, P5&lt;=99999, Q5&gt;=3, V5="Completed"), "Gold", AND(Q5&lt;50000, V5="Completed"), "Silver", V5="Pending", "Pending")</f>
        <v>Blacklisted</v>
      </c>
    </row>
    <row r="6" spans="1:23" x14ac:dyDescent="0.5">
      <c r="A6" s="15" t="s">
        <v>70</v>
      </c>
      <c r="B6" s="15" t="s">
        <v>71</v>
      </c>
      <c r="C6" s="15" t="s">
        <v>72</v>
      </c>
      <c r="D6" s="15" t="s">
        <v>73</v>
      </c>
      <c r="E6" s="15" t="s">
        <v>74</v>
      </c>
      <c r="F6" s="15" t="s">
        <v>217</v>
      </c>
      <c r="G6" s="15" t="s">
        <v>76</v>
      </c>
      <c r="H6" s="15" t="s">
        <v>77</v>
      </c>
      <c r="I6" s="15" t="s">
        <v>44</v>
      </c>
      <c r="J6" s="15" t="s">
        <v>45</v>
      </c>
      <c r="K6" s="15" t="s">
        <v>46</v>
      </c>
      <c r="L6" s="15" t="s">
        <v>78</v>
      </c>
      <c r="M6" s="15">
        <v>8</v>
      </c>
      <c r="N6" s="25">
        <v>1200</v>
      </c>
      <c r="O6" s="15">
        <v>5</v>
      </c>
      <c r="P6" s="25">
        <v>9120</v>
      </c>
      <c r="Q6" s="15">
        <v>2</v>
      </c>
      <c r="R6" s="15" t="s">
        <v>79</v>
      </c>
      <c r="S6" s="15" t="s">
        <v>61</v>
      </c>
      <c r="T6" s="15" t="s">
        <v>80</v>
      </c>
      <c r="U6" s="22">
        <v>9724635978</v>
      </c>
      <c r="V6" s="15" t="s">
        <v>64</v>
      </c>
      <c r="W6" s="29" t="str" cm="1">
        <f t="array" ref="W6">_xlfn.IFS(OR(V6="Cancelled", Q6&lt;=2), "Blacklisted", AND(P6&gt;=100000, Q6&gt;=4, O6&lt;=0.1, V6="Completed"), "Platinum", AND(P6&gt;=50000, P6&lt;=99999, Q6&gt;=3, V6="Completed"), "Gold", AND(Q6&lt;50000, V6="Completed"), "Silver", V6="Pending", "Pending")</f>
        <v>Blacklisted</v>
      </c>
    </row>
    <row r="7" spans="1:23" x14ac:dyDescent="0.5">
      <c r="A7" s="17" t="s">
        <v>82</v>
      </c>
      <c r="B7" s="17" t="s">
        <v>83</v>
      </c>
      <c r="C7" s="17" t="s">
        <v>24</v>
      </c>
      <c r="D7" s="17" t="s">
        <v>84</v>
      </c>
      <c r="E7" s="17" t="s">
        <v>85</v>
      </c>
      <c r="F7" s="15" t="s">
        <v>180</v>
      </c>
      <c r="G7" s="17" t="s">
        <v>76</v>
      </c>
      <c r="H7" s="17" t="s">
        <v>87</v>
      </c>
      <c r="I7" s="17" t="s">
        <v>30</v>
      </c>
      <c r="J7" s="17" t="s">
        <v>31</v>
      </c>
      <c r="K7" s="17" t="s">
        <v>32</v>
      </c>
      <c r="L7" s="17" t="s">
        <v>33</v>
      </c>
      <c r="M7" s="17">
        <v>4</v>
      </c>
      <c r="N7" s="26">
        <v>2200</v>
      </c>
      <c r="O7" s="17">
        <v>0</v>
      </c>
      <c r="P7" s="26">
        <v>8800</v>
      </c>
      <c r="Q7" s="17">
        <v>1</v>
      </c>
      <c r="R7" s="17" t="s">
        <v>88</v>
      </c>
      <c r="S7" s="17" t="s">
        <v>35</v>
      </c>
      <c r="T7" s="17" t="s">
        <v>89</v>
      </c>
      <c r="U7" s="21">
        <v>9780584905</v>
      </c>
      <c r="V7" s="17" t="s">
        <v>38</v>
      </c>
      <c r="W7" s="29" t="str" cm="1">
        <f t="array" ref="W7">_xlfn.IFS(OR(V7="Cancelled", Q7&lt;=2), "Blacklisted", AND(P7&gt;=100000, Q7&gt;=4, O7&lt;=0.1, V7="Completed"), "Platinum", AND(P7&gt;=50000, P7&lt;=99999, Q7&gt;=3, V7="Completed"), "Gold", AND(Q7&lt;50000, V7="Completed"), "Silver", V7="Pending", "Pending")</f>
        <v>Blacklisted</v>
      </c>
    </row>
    <row r="8" spans="1:23" x14ac:dyDescent="0.5">
      <c r="A8" s="15" t="s">
        <v>91</v>
      </c>
      <c r="B8" s="15" t="s">
        <v>23</v>
      </c>
      <c r="C8" s="15" t="s">
        <v>92</v>
      </c>
      <c r="D8" s="15" t="s">
        <v>93</v>
      </c>
      <c r="E8" s="15" t="s">
        <v>94</v>
      </c>
      <c r="F8" s="15" t="s">
        <v>27</v>
      </c>
      <c r="G8" s="15" t="s">
        <v>28</v>
      </c>
      <c r="H8" s="15" t="s">
        <v>96</v>
      </c>
      <c r="I8" s="15" t="s">
        <v>30</v>
      </c>
      <c r="J8" s="15" t="s">
        <v>31</v>
      </c>
      <c r="K8" s="15" t="s">
        <v>32</v>
      </c>
      <c r="L8" s="15" t="s">
        <v>97</v>
      </c>
      <c r="M8" s="15">
        <v>2</v>
      </c>
      <c r="N8" s="25">
        <v>3500</v>
      </c>
      <c r="O8" s="15">
        <v>5</v>
      </c>
      <c r="P8" s="25">
        <v>6650</v>
      </c>
      <c r="Q8" s="15">
        <v>1</v>
      </c>
      <c r="R8" s="15" t="s">
        <v>88</v>
      </c>
      <c r="S8" s="15" t="s">
        <v>35</v>
      </c>
      <c r="T8" s="15" t="s">
        <v>50</v>
      </c>
      <c r="U8" s="22">
        <v>9958252176</v>
      </c>
      <c r="V8" s="15" t="s">
        <v>38</v>
      </c>
      <c r="W8" s="29" t="str" cm="1">
        <f t="array" ref="W8">_xlfn.IFS(OR(V8="Cancelled", Q8&lt;=2), "Blacklisted", AND(P8&gt;=100000, Q8&gt;=4, O8&lt;=0.1, V8="Completed"), "Platinum", AND(P8&gt;=50000, P8&lt;=99999, Q8&gt;=3, V8="Completed"), "Gold", AND(Q8&lt;50000, V8="Completed"), "Silver", V8="Pending", "Pending")</f>
        <v>Blacklisted</v>
      </c>
    </row>
    <row r="9" spans="1:23" x14ac:dyDescent="0.5">
      <c r="A9" s="17" t="s">
        <v>99</v>
      </c>
      <c r="B9" s="17" t="s">
        <v>100</v>
      </c>
      <c r="C9" s="17" t="s">
        <v>40</v>
      </c>
      <c r="D9" s="17" t="s">
        <v>101</v>
      </c>
      <c r="E9" s="17" t="s">
        <v>102</v>
      </c>
      <c r="F9" s="15" t="s">
        <v>103</v>
      </c>
      <c r="G9" s="17" t="s">
        <v>28</v>
      </c>
      <c r="H9" s="17" t="s">
        <v>104</v>
      </c>
      <c r="I9" s="17" t="s">
        <v>105</v>
      </c>
      <c r="J9" s="17" t="s">
        <v>106</v>
      </c>
      <c r="K9" s="17" t="s">
        <v>46</v>
      </c>
      <c r="L9" s="17" t="s">
        <v>47</v>
      </c>
      <c r="M9" s="17">
        <v>14</v>
      </c>
      <c r="N9" s="26">
        <v>12000</v>
      </c>
      <c r="O9" s="17">
        <v>15</v>
      </c>
      <c r="P9" s="26">
        <v>142800</v>
      </c>
      <c r="Q9" s="17">
        <v>4</v>
      </c>
      <c r="R9" s="17" t="s">
        <v>48</v>
      </c>
      <c r="S9" s="17" t="s">
        <v>35</v>
      </c>
      <c r="T9" s="18" t="s">
        <v>107</v>
      </c>
      <c r="U9" s="21">
        <v>9705521654</v>
      </c>
      <c r="V9" s="17" t="s">
        <v>38</v>
      </c>
      <c r="W9" s="29" t="str" cm="1">
        <f t="array" ref="W9">_xlfn.IFS(OR(V9="Cancelled", Q9&lt;=2), "Blacklisted", AND(P9&gt;=100000, Q9&gt;=4, O9&lt;=0.1, V9="Completed"), "Platinum", AND(P9&gt;=50000, P9&lt;=99999, Q9&gt;=3, V9="Completed"), "Gold", AND(Q9&lt;50000, V9="Completed"), "Silver", V9="Pending", "Pending")</f>
        <v>Silver</v>
      </c>
    </row>
    <row r="10" spans="1:23" x14ac:dyDescent="0.5">
      <c r="A10" s="15" t="s">
        <v>109</v>
      </c>
      <c r="B10" s="15" t="s">
        <v>23</v>
      </c>
      <c r="C10" s="15" t="s">
        <v>40</v>
      </c>
      <c r="D10" s="15" t="s">
        <v>110</v>
      </c>
      <c r="E10" s="15" t="s">
        <v>111</v>
      </c>
      <c r="F10" s="15" t="s">
        <v>27</v>
      </c>
      <c r="G10" s="15" t="s">
        <v>28</v>
      </c>
      <c r="H10" s="15" t="s">
        <v>113</v>
      </c>
      <c r="I10" s="15" t="s">
        <v>114</v>
      </c>
      <c r="J10" s="15" t="s">
        <v>106</v>
      </c>
      <c r="K10" s="15" t="s">
        <v>46</v>
      </c>
      <c r="L10" s="15" t="s">
        <v>47</v>
      </c>
      <c r="M10" s="15">
        <v>4</v>
      </c>
      <c r="N10" s="25">
        <v>12000</v>
      </c>
      <c r="O10" s="15">
        <v>15</v>
      </c>
      <c r="P10" s="25">
        <v>40800</v>
      </c>
      <c r="Q10" s="15">
        <v>4</v>
      </c>
      <c r="R10" s="15" t="s">
        <v>88</v>
      </c>
      <c r="S10" s="15" t="s">
        <v>115</v>
      </c>
      <c r="T10" s="15" t="s">
        <v>50</v>
      </c>
      <c r="U10" s="22">
        <v>9588041011</v>
      </c>
      <c r="V10" s="15" t="s">
        <v>38</v>
      </c>
      <c r="W10" s="29" t="str" cm="1">
        <f t="array" ref="W10">_xlfn.IFS(OR(V10="Cancelled", Q10&lt;=2), "Blacklisted", AND(P10&gt;=100000, Q10&gt;=4, O10&lt;=0.1, V10="Completed"), "Platinum", AND(P10&gt;=50000, P10&lt;=99999, Q10&gt;=3, V10="Completed"), "Gold", AND(Q10&lt;50000, V10="Completed"), "Silver", V10="Pending", "Pending")</f>
        <v>Silver</v>
      </c>
    </row>
    <row r="11" spans="1:23" x14ac:dyDescent="0.5">
      <c r="A11" s="17" t="s">
        <v>117</v>
      </c>
      <c r="B11" s="17" t="s">
        <v>100</v>
      </c>
      <c r="C11" s="17" t="s">
        <v>118</v>
      </c>
      <c r="D11" s="17" t="s">
        <v>119</v>
      </c>
      <c r="E11" s="17" t="s">
        <v>120</v>
      </c>
      <c r="F11" s="15" t="s">
        <v>103</v>
      </c>
      <c r="G11" s="17" t="s">
        <v>28</v>
      </c>
      <c r="H11" s="17" t="s">
        <v>121</v>
      </c>
      <c r="I11" s="17" t="s">
        <v>105</v>
      </c>
      <c r="J11" s="17" t="s">
        <v>106</v>
      </c>
      <c r="K11" s="17" t="s">
        <v>122</v>
      </c>
      <c r="L11" s="17" t="s">
        <v>123</v>
      </c>
      <c r="M11" s="17">
        <v>6</v>
      </c>
      <c r="N11" s="26">
        <v>60</v>
      </c>
      <c r="O11" s="17">
        <v>0</v>
      </c>
      <c r="P11" s="26">
        <v>360</v>
      </c>
      <c r="Q11" s="17">
        <v>4</v>
      </c>
      <c r="R11" s="17" t="s">
        <v>79</v>
      </c>
      <c r="S11" s="17" t="s">
        <v>115</v>
      </c>
      <c r="T11" s="18" t="s">
        <v>124</v>
      </c>
      <c r="U11" s="21">
        <v>9340540608</v>
      </c>
      <c r="V11" s="17" t="s">
        <v>38</v>
      </c>
      <c r="W11" s="29" t="str" cm="1">
        <f t="array" ref="W11">_xlfn.IFS(OR(V11="Cancelled", Q11&lt;=2), "Blacklisted", AND(P11&gt;=100000, Q11&gt;=4, O11&lt;=0.1, V11="Completed"), "Platinum", AND(P11&gt;=50000, P11&lt;=99999, Q11&gt;=3, V11="Completed"), "Gold", AND(Q11&lt;50000, V11="Completed"), "Silver", V11="Pending", "Pending")</f>
        <v>Silver</v>
      </c>
    </row>
    <row r="12" spans="1:23" x14ac:dyDescent="0.5">
      <c r="A12" s="15" t="s">
        <v>126</v>
      </c>
      <c r="B12" s="15" t="s">
        <v>127</v>
      </c>
      <c r="C12" s="15" t="s">
        <v>24</v>
      </c>
      <c r="D12" s="15" t="s">
        <v>128</v>
      </c>
      <c r="E12" s="15" t="s">
        <v>129</v>
      </c>
      <c r="F12" s="15" t="s">
        <v>200</v>
      </c>
      <c r="G12" s="15" t="s">
        <v>76</v>
      </c>
      <c r="H12" s="15" t="s">
        <v>131</v>
      </c>
      <c r="I12" s="15" t="s">
        <v>44</v>
      </c>
      <c r="J12" s="15" t="s">
        <v>45</v>
      </c>
      <c r="K12" s="15" t="s">
        <v>32</v>
      </c>
      <c r="L12" s="15" t="s">
        <v>33</v>
      </c>
      <c r="M12" s="15">
        <v>-3</v>
      </c>
      <c r="N12" s="25">
        <v>2200</v>
      </c>
      <c r="O12" s="15">
        <v>0</v>
      </c>
      <c r="P12" s="25">
        <v>35200</v>
      </c>
      <c r="Q12" s="15">
        <v>2</v>
      </c>
      <c r="R12" s="15" t="s">
        <v>79</v>
      </c>
      <c r="S12" s="15" t="s">
        <v>49</v>
      </c>
      <c r="T12" s="15" t="s">
        <v>132</v>
      </c>
      <c r="U12" s="22">
        <v>9521710321</v>
      </c>
      <c r="V12" s="15" t="s">
        <v>64</v>
      </c>
      <c r="W12" s="29" t="str" cm="1">
        <f t="array" ref="W12">_xlfn.IFS(OR(V12="Cancelled", Q12&lt;=2), "Blacklisted", AND(P12&gt;=100000, Q12&gt;=4, O12&lt;=0.1, V12="Completed"), "Platinum", AND(P12&gt;=50000, P12&lt;=99999, Q12&gt;=3, V12="Completed"), "Gold", AND(Q12&lt;50000, V12="Completed"), "Silver", V12="Pending", "Pending")</f>
        <v>Blacklisted</v>
      </c>
    </row>
    <row r="13" spans="1:23" x14ac:dyDescent="0.5">
      <c r="A13" s="17" t="s">
        <v>134</v>
      </c>
      <c r="B13" s="17" t="s">
        <v>23</v>
      </c>
      <c r="C13" s="17" t="s">
        <v>92</v>
      </c>
      <c r="D13" s="17" t="s">
        <v>135</v>
      </c>
      <c r="E13" s="17" t="s">
        <v>136</v>
      </c>
      <c r="F13" s="15" t="s">
        <v>27</v>
      </c>
      <c r="G13" s="17" t="s">
        <v>28</v>
      </c>
      <c r="H13" s="17" t="s">
        <v>137</v>
      </c>
      <c r="I13" s="17" t="s">
        <v>138</v>
      </c>
      <c r="J13" s="17" t="s">
        <v>106</v>
      </c>
      <c r="K13" s="17" t="s">
        <v>32</v>
      </c>
      <c r="L13" s="17" t="s">
        <v>97</v>
      </c>
      <c r="M13" s="17">
        <v>10</v>
      </c>
      <c r="N13" s="26">
        <v>3500</v>
      </c>
      <c r="O13" s="17">
        <v>5</v>
      </c>
      <c r="P13" s="26">
        <v>33250</v>
      </c>
      <c r="Q13" s="17">
        <v>5</v>
      </c>
      <c r="R13" s="17" t="s">
        <v>79</v>
      </c>
      <c r="S13" s="17" t="s">
        <v>61</v>
      </c>
      <c r="T13" s="17" t="s">
        <v>50</v>
      </c>
      <c r="U13" s="21">
        <v>9123535241</v>
      </c>
      <c r="V13" s="17" t="s">
        <v>69</v>
      </c>
      <c r="W13" s="29" t="str" cm="1">
        <f t="array" ref="W13">_xlfn.IFS(OR(V13="Cancelled", Q13&lt;=2), "Blacklisted", AND(P13&gt;=100000, Q13&gt;=4, O13&lt;=0.1, V13="Completed"), "Platinum", AND(P13&gt;=50000, P13&lt;=99999, Q13&gt;=3, V13="Completed"), "Gold", AND(Q13&lt;50000, V13="Completed"), "Silver", V13="Pending", "Pending")</f>
        <v>Blacklisted</v>
      </c>
    </row>
    <row r="14" spans="1:23" x14ac:dyDescent="0.5">
      <c r="A14" s="15" t="s">
        <v>140</v>
      </c>
      <c r="B14" s="15" t="s">
        <v>100</v>
      </c>
      <c r="C14" s="15" t="s">
        <v>24</v>
      </c>
      <c r="D14" s="15" t="s">
        <v>141</v>
      </c>
      <c r="E14" s="15" t="s">
        <v>142</v>
      </c>
      <c r="F14" s="15" t="s">
        <v>103</v>
      </c>
      <c r="G14" s="15" t="s">
        <v>28</v>
      </c>
      <c r="H14" s="15" t="s">
        <v>143</v>
      </c>
      <c r="I14" s="15" t="s">
        <v>114</v>
      </c>
      <c r="J14" s="15" t="s">
        <v>106</v>
      </c>
      <c r="K14" s="15" t="s">
        <v>32</v>
      </c>
      <c r="L14" s="15" t="s">
        <v>33</v>
      </c>
      <c r="M14" s="15">
        <v>15</v>
      </c>
      <c r="N14" s="25">
        <v>2200</v>
      </c>
      <c r="O14" s="15">
        <v>10</v>
      </c>
      <c r="P14" s="25">
        <v>29700</v>
      </c>
      <c r="Q14" s="15">
        <v>1</v>
      </c>
      <c r="R14" s="15" t="s">
        <v>88</v>
      </c>
      <c r="S14" s="15" t="s">
        <v>115</v>
      </c>
      <c r="T14" s="15" t="s">
        <v>144</v>
      </c>
      <c r="U14" s="22">
        <v>9367316892</v>
      </c>
      <c r="V14" s="15" t="s">
        <v>64</v>
      </c>
      <c r="W14" s="29" t="str" cm="1">
        <f t="array" ref="W14">_xlfn.IFS(OR(V14="Cancelled", Q14&lt;=2), "Blacklisted", AND(P14&gt;=100000, Q14&gt;=4, O14&lt;=0.1, V14="Completed"), "Platinum", AND(P14&gt;=50000, P14&lt;=99999, Q14&gt;=3, V14="Completed"), "Gold", AND(Q14&lt;50000, V14="Completed"), "Silver", V14="Pending", "Pending")</f>
        <v>Blacklisted</v>
      </c>
    </row>
    <row r="15" spans="1:23" x14ac:dyDescent="0.5">
      <c r="A15" s="17" t="s">
        <v>146</v>
      </c>
      <c r="B15" s="17" t="s">
        <v>127</v>
      </c>
      <c r="C15" s="17" t="s">
        <v>24</v>
      </c>
      <c r="D15" s="17" t="s">
        <v>147</v>
      </c>
      <c r="E15" s="17" t="s">
        <v>148</v>
      </c>
      <c r="F15" s="15" t="s">
        <v>200</v>
      </c>
      <c r="G15" s="17" t="s">
        <v>76</v>
      </c>
      <c r="H15" s="17" t="s">
        <v>150</v>
      </c>
      <c r="I15" s="17" t="s">
        <v>105</v>
      </c>
      <c r="J15" s="17" t="s">
        <v>106</v>
      </c>
      <c r="K15" s="17" t="s">
        <v>32</v>
      </c>
      <c r="L15" s="17" t="s">
        <v>33</v>
      </c>
      <c r="M15" s="17">
        <v>17</v>
      </c>
      <c r="N15" s="26">
        <v>2200</v>
      </c>
      <c r="O15" s="17">
        <v>5</v>
      </c>
      <c r="P15" s="26">
        <v>35530</v>
      </c>
      <c r="Q15" s="17">
        <v>1</v>
      </c>
      <c r="R15" s="17" t="s">
        <v>34</v>
      </c>
      <c r="S15" s="17" t="s">
        <v>151</v>
      </c>
      <c r="T15" s="18" t="s">
        <v>152</v>
      </c>
      <c r="U15" s="21">
        <v>9778489803</v>
      </c>
      <c r="V15" s="17" t="s">
        <v>38</v>
      </c>
      <c r="W15" s="29" t="str" cm="1">
        <f t="array" ref="W15">_xlfn.IFS(OR(V15="Cancelled", Q15&lt;=2), "Blacklisted", AND(P15&gt;=100000, Q15&gt;=4, O15&lt;=0.1, V15="Completed"), "Platinum", AND(P15&gt;=50000, P15&lt;=99999, Q15&gt;=3, V15="Completed"), "Gold", AND(Q15&lt;50000, V15="Completed"), "Silver", V15="Pending", "Pending")</f>
        <v>Blacklisted</v>
      </c>
    </row>
    <row r="16" spans="1:23" x14ac:dyDescent="0.5">
      <c r="A16" s="15" t="s">
        <v>154</v>
      </c>
      <c r="B16" s="15" t="s">
        <v>23</v>
      </c>
      <c r="C16" s="15" t="s">
        <v>92</v>
      </c>
      <c r="D16" s="15" t="s">
        <v>155</v>
      </c>
      <c r="E16" s="15" t="s">
        <v>156</v>
      </c>
      <c r="F16" s="15" t="s">
        <v>27</v>
      </c>
      <c r="G16" s="15" t="s">
        <v>28</v>
      </c>
      <c r="H16" s="15" t="s">
        <v>158</v>
      </c>
      <c r="I16" s="15" t="s">
        <v>105</v>
      </c>
      <c r="J16" s="15" t="s">
        <v>106</v>
      </c>
      <c r="K16" s="15" t="s">
        <v>32</v>
      </c>
      <c r="L16" s="15" t="s">
        <v>97</v>
      </c>
      <c r="M16" s="15">
        <v>15</v>
      </c>
      <c r="N16" s="25">
        <v>3500</v>
      </c>
      <c r="O16" s="15">
        <v>15</v>
      </c>
      <c r="P16" s="25">
        <v>44625</v>
      </c>
      <c r="Q16" s="15">
        <v>2</v>
      </c>
      <c r="R16" s="15" t="s">
        <v>34</v>
      </c>
      <c r="S16" s="15" t="s">
        <v>115</v>
      </c>
      <c r="T16" s="16" t="s">
        <v>50</v>
      </c>
      <c r="U16" s="15">
        <v>9582960180</v>
      </c>
      <c r="V16" s="15" t="s">
        <v>69</v>
      </c>
      <c r="W16" s="29" t="str" cm="1">
        <f t="array" ref="W16">_xlfn.IFS(OR(V16="Cancelled", Q16&lt;=2), "Blacklisted", AND(P16&gt;=100000, Q16&gt;=4, O16&lt;=0.1, V16="Completed"), "Platinum", AND(P16&gt;=50000, P16&lt;=99999, Q16&gt;=3, V16="Completed"), "Gold", AND(Q16&lt;50000, V16="Completed"), "Silver", V16="Pending", "Pending")</f>
        <v>Blacklisted</v>
      </c>
    </row>
    <row r="17" spans="1:23" x14ac:dyDescent="0.5">
      <c r="A17" s="17" t="s">
        <v>160</v>
      </c>
      <c r="B17" s="17" t="s">
        <v>53</v>
      </c>
      <c r="C17" s="17" t="s">
        <v>72</v>
      </c>
      <c r="D17" s="17" t="s">
        <v>161</v>
      </c>
      <c r="E17" s="17" t="s">
        <v>162</v>
      </c>
      <c r="F17" s="15" t="s">
        <v>163</v>
      </c>
      <c r="G17" s="17" t="s">
        <v>28</v>
      </c>
      <c r="H17" s="17" t="s">
        <v>164</v>
      </c>
      <c r="I17" s="17" t="s">
        <v>30</v>
      </c>
      <c r="J17" s="17" t="s">
        <v>31</v>
      </c>
      <c r="K17" s="17" t="s">
        <v>46</v>
      </c>
      <c r="L17" s="17" t="s">
        <v>78</v>
      </c>
      <c r="M17" s="17">
        <v>3</v>
      </c>
      <c r="N17" s="26">
        <v>1200</v>
      </c>
      <c r="O17" s="17">
        <v>5</v>
      </c>
      <c r="P17" s="26">
        <v>3420</v>
      </c>
      <c r="Q17" s="17">
        <v>5</v>
      </c>
      <c r="R17" s="17" t="s">
        <v>88</v>
      </c>
      <c r="S17" s="17" t="s">
        <v>35</v>
      </c>
      <c r="T17" s="17" t="s">
        <v>165</v>
      </c>
      <c r="U17" s="17">
        <v>9611394005</v>
      </c>
      <c r="V17" s="17" t="s">
        <v>38</v>
      </c>
      <c r="W17" s="29" t="str" cm="1">
        <f t="array" ref="W17">_xlfn.IFS(OR(V17="Cancelled", Q17&lt;=2), "Blacklisted", AND(P17&gt;=100000, Q17&gt;=4, O17&lt;=0.1, V17="Completed"), "Platinum", AND(P17&gt;=50000, P17&lt;=99999, Q17&gt;=3, V17="Completed"), "Gold", AND(Q17&lt;50000, V17="Completed"), "Silver", V17="Pending", "Pending")</f>
        <v>Silver</v>
      </c>
    </row>
    <row r="18" spans="1:23" x14ac:dyDescent="0.5">
      <c r="A18" s="15" t="s">
        <v>167</v>
      </c>
      <c r="B18" s="15" t="s">
        <v>168</v>
      </c>
      <c r="C18" s="15" t="s">
        <v>169</v>
      </c>
      <c r="D18" s="15" t="s">
        <v>170</v>
      </c>
      <c r="E18" s="15" t="s">
        <v>171</v>
      </c>
      <c r="F18" s="15" t="s">
        <v>394</v>
      </c>
      <c r="G18" s="15" t="s">
        <v>28</v>
      </c>
      <c r="H18" s="15" t="s">
        <v>173</v>
      </c>
      <c r="I18" s="15" t="s">
        <v>114</v>
      </c>
      <c r="J18" s="15" t="s">
        <v>106</v>
      </c>
      <c r="K18" s="15" t="s">
        <v>32</v>
      </c>
      <c r="L18" s="15" t="s">
        <v>174</v>
      </c>
      <c r="M18" s="15">
        <v>13</v>
      </c>
      <c r="N18" s="25">
        <v>8500</v>
      </c>
      <c r="O18" s="15">
        <v>20</v>
      </c>
      <c r="P18" s="25">
        <v>88400</v>
      </c>
      <c r="Q18" s="15">
        <v>4</v>
      </c>
      <c r="R18" s="15" t="s">
        <v>79</v>
      </c>
      <c r="S18" s="15" t="s">
        <v>49</v>
      </c>
      <c r="T18" s="15" t="s">
        <v>175</v>
      </c>
      <c r="U18" s="15">
        <v>9692599404</v>
      </c>
      <c r="V18" s="15" t="s">
        <v>64</v>
      </c>
      <c r="W18" s="29" t="str" cm="1">
        <f t="array" ref="W18">_xlfn.IFS(OR(V18="Cancelled", Q18&lt;=2), "Blacklisted", AND(P18&gt;=100000, Q18&gt;=4, O18&lt;=0.1, V18="Completed"), "Platinum", AND(P18&gt;=50000, P18&lt;=99999, Q18&gt;=3, V18="Completed"), "Gold", AND(Q18&lt;50000, V18="Completed"), "Silver", V18="Pending", "Pending")</f>
        <v>Pending</v>
      </c>
    </row>
    <row r="19" spans="1:23" x14ac:dyDescent="0.5">
      <c r="A19" s="17" t="s">
        <v>177</v>
      </c>
      <c r="B19" s="17" t="s">
        <v>83</v>
      </c>
      <c r="C19" s="17" t="s">
        <v>169</v>
      </c>
      <c r="D19" s="17" t="s">
        <v>178</v>
      </c>
      <c r="E19" s="17" t="s">
        <v>179</v>
      </c>
      <c r="F19" s="15" t="s">
        <v>180</v>
      </c>
      <c r="G19" s="17" t="s">
        <v>76</v>
      </c>
      <c r="H19" s="17" t="s">
        <v>181</v>
      </c>
      <c r="I19" s="17" t="s">
        <v>138</v>
      </c>
      <c r="J19" s="17" t="s">
        <v>106</v>
      </c>
      <c r="K19" s="17" t="s">
        <v>32</v>
      </c>
      <c r="L19" s="17" t="s">
        <v>174</v>
      </c>
      <c r="M19" s="17">
        <v>4</v>
      </c>
      <c r="N19" s="26">
        <v>8500</v>
      </c>
      <c r="O19" s="17">
        <v>20</v>
      </c>
      <c r="P19" s="26">
        <v>27200</v>
      </c>
      <c r="Q19" s="17">
        <v>5</v>
      </c>
      <c r="R19" s="17" t="s">
        <v>79</v>
      </c>
      <c r="S19" s="17" t="s">
        <v>61</v>
      </c>
      <c r="T19" s="17" t="s">
        <v>89</v>
      </c>
      <c r="U19" s="17">
        <v>9426119622</v>
      </c>
      <c r="V19" s="17" t="s">
        <v>64</v>
      </c>
      <c r="W19" s="29" t="str" cm="1">
        <f t="array" ref="W19">_xlfn.IFS(OR(V19="Cancelled", Q19&lt;=2), "Blacklisted", AND(P19&gt;=100000, Q19&gt;=4, O19&lt;=0.1, V19="Completed"), "Platinum", AND(P19&gt;=50000, P19&lt;=99999, Q19&gt;=3, V19="Completed"), "Gold", AND(Q19&lt;50000, V19="Completed"), "Silver", V19="Pending", "Pending")</f>
        <v>Pending</v>
      </c>
    </row>
    <row r="20" spans="1:23" x14ac:dyDescent="0.5">
      <c r="A20" s="15" t="s">
        <v>183</v>
      </c>
      <c r="B20" s="15" t="s">
        <v>83</v>
      </c>
      <c r="C20" s="15" t="s">
        <v>184</v>
      </c>
      <c r="D20" s="15" t="s">
        <v>185</v>
      </c>
      <c r="E20" s="15" t="s">
        <v>186</v>
      </c>
      <c r="F20" s="15" t="s">
        <v>180</v>
      </c>
      <c r="G20" s="15" t="s">
        <v>76</v>
      </c>
      <c r="H20" s="15" t="s">
        <v>188</v>
      </c>
      <c r="I20" s="15" t="s">
        <v>105</v>
      </c>
      <c r="J20" s="15" t="s">
        <v>106</v>
      </c>
      <c r="K20" s="15" t="s">
        <v>46</v>
      </c>
      <c r="L20" s="15" t="s">
        <v>189</v>
      </c>
      <c r="M20" s="15">
        <v>9</v>
      </c>
      <c r="N20" s="25">
        <v>700</v>
      </c>
      <c r="O20" s="15">
        <v>5</v>
      </c>
      <c r="P20" s="25">
        <v>5985</v>
      </c>
      <c r="Q20" s="15">
        <v>3</v>
      </c>
      <c r="R20" s="15" t="s">
        <v>88</v>
      </c>
      <c r="S20" s="15" t="s">
        <v>35</v>
      </c>
      <c r="T20" s="16" t="s">
        <v>190</v>
      </c>
      <c r="U20" s="15">
        <v>9184436009</v>
      </c>
      <c r="V20" s="15" t="s">
        <v>64</v>
      </c>
      <c r="W20" s="29" t="str" cm="1">
        <f t="array" ref="W20">_xlfn.IFS(OR(V20="Cancelled", Q20&lt;=2), "Blacklisted", AND(P20&gt;=100000, Q20&gt;=4, O20&lt;=0.1, V20="Completed"), "Platinum", AND(P20&gt;=50000, P20&lt;=99999, Q20&gt;=3, V20="Completed"), "Gold", AND(Q20&lt;50000, V20="Completed"), "Silver", V20="Pending", "Pending")</f>
        <v>Pending</v>
      </c>
    </row>
    <row r="21" spans="1:23" x14ac:dyDescent="0.5">
      <c r="A21" s="17" t="s">
        <v>192</v>
      </c>
      <c r="B21" s="17" t="s">
        <v>23</v>
      </c>
      <c r="C21" s="17" t="s">
        <v>54</v>
      </c>
      <c r="D21" s="17" t="s">
        <v>193</v>
      </c>
      <c r="E21" s="17" t="s">
        <v>194</v>
      </c>
      <c r="F21" s="15" t="s">
        <v>27</v>
      </c>
      <c r="G21" s="17" t="s">
        <v>28</v>
      </c>
      <c r="H21" s="17" t="s">
        <v>195</v>
      </c>
      <c r="I21" s="17" t="s">
        <v>138</v>
      </c>
      <c r="J21" s="17" t="s">
        <v>106</v>
      </c>
      <c r="K21" s="17" t="s">
        <v>46</v>
      </c>
      <c r="L21" s="17" t="s">
        <v>60</v>
      </c>
      <c r="M21" s="17">
        <v>8</v>
      </c>
      <c r="N21" s="26">
        <v>55000</v>
      </c>
      <c r="O21" s="17">
        <v>20</v>
      </c>
      <c r="P21" s="26">
        <v>352000</v>
      </c>
      <c r="Q21" s="17">
        <v>1</v>
      </c>
      <c r="R21" s="17" t="s">
        <v>34</v>
      </c>
      <c r="S21" s="17" t="s">
        <v>151</v>
      </c>
      <c r="T21" s="17" t="s">
        <v>50</v>
      </c>
      <c r="U21" s="17">
        <v>9263774934</v>
      </c>
      <c r="V21" s="17" t="s">
        <v>38</v>
      </c>
      <c r="W21" s="29" t="str" cm="1">
        <f t="array" ref="W21">_xlfn.IFS(OR(V21="Cancelled", Q21&lt;=2), "Blacklisted", AND(P21&gt;=100000, Q21&gt;=4, O21&lt;=0.1, V21="Completed"), "Platinum", AND(P21&gt;=50000, P21&lt;=99999, Q21&gt;=3, V21="Completed"), "Gold", AND(Q21&lt;50000, V21="Completed"), "Silver", V21="Pending", "Pending")</f>
        <v>Blacklisted</v>
      </c>
    </row>
    <row r="22" spans="1:23" x14ac:dyDescent="0.5">
      <c r="A22" s="15" t="s">
        <v>197</v>
      </c>
      <c r="B22" s="15" t="s">
        <v>127</v>
      </c>
      <c r="C22" s="15" t="s">
        <v>184</v>
      </c>
      <c r="D22" s="15" t="s">
        <v>198</v>
      </c>
      <c r="E22" s="15" t="s">
        <v>199</v>
      </c>
      <c r="F22" s="15" t="s">
        <v>200</v>
      </c>
      <c r="G22" s="15" t="s">
        <v>76</v>
      </c>
      <c r="H22" s="15" t="s">
        <v>201</v>
      </c>
      <c r="I22" s="15" t="s">
        <v>44</v>
      </c>
      <c r="J22" s="15" t="s">
        <v>45</v>
      </c>
      <c r="K22" s="15" t="s">
        <v>202</v>
      </c>
      <c r="L22" s="15" t="s">
        <v>189</v>
      </c>
      <c r="M22" s="15">
        <v>10</v>
      </c>
      <c r="N22" s="25">
        <v>700</v>
      </c>
      <c r="O22" s="15">
        <v>20</v>
      </c>
      <c r="P22" s="25">
        <v>5600</v>
      </c>
      <c r="Q22" s="15">
        <v>4</v>
      </c>
      <c r="R22" s="15" t="s">
        <v>79</v>
      </c>
      <c r="S22" s="15" t="s">
        <v>61</v>
      </c>
      <c r="T22" s="15" t="s">
        <v>132</v>
      </c>
      <c r="U22" s="15">
        <v>9473159572</v>
      </c>
      <c r="V22" s="15" t="s">
        <v>69</v>
      </c>
      <c r="W22" s="29" t="str" cm="1">
        <f t="array" ref="W22">_xlfn.IFS(OR(V22="Cancelled", Q22&lt;=2), "Blacklisted", AND(P22&gt;=100000, Q22&gt;=4, O22&lt;=0.1, V22="Completed"), "Platinum", AND(P22&gt;=50000, P22&lt;=99999, Q22&gt;=3, V22="Completed"), "Gold", AND(Q22&lt;50000, V22="Completed"), "Silver", V22="Pending", "Pending")</f>
        <v>Blacklisted</v>
      </c>
    </row>
    <row r="23" spans="1:23" x14ac:dyDescent="0.5">
      <c r="A23" s="17" t="s">
        <v>204</v>
      </c>
      <c r="B23" s="17" t="s">
        <v>23</v>
      </c>
      <c r="C23" s="17" t="s">
        <v>92</v>
      </c>
      <c r="D23" s="17" t="s">
        <v>205</v>
      </c>
      <c r="E23" s="17" t="s">
        <v>206</v>
      </c>
      <c r="F23" s="15" t="s">
        <v>27</v>
      </c>
      <c r="G23" s="17" t="s">
        <v>28</v>
      </c>
      <c r="H23" s="17" t="s">
        <v>207</v>
      </c>
      <c r="I23" s="17" t="s">
        <v>59</v>
      </c>
      <c r="J23" s="17" t="s">
        <v>31</v>
      </c>
      <c r="K23" s="17" t="s">
        <v>32</v>
      </c>
      <c r="L23" s="17" t="s">
        <v>97</v>
      </c>
      <c r="M23" s="17">
        <v>1</v>
      </c>
      <c r="N23" s="26">
        <v>3500</v>
      </c>
      <c r="O23" s="17">
        <v>5</v>
      </c>
      <c r="P23" s="26">
        <v>3325</v>
      </c>
      <c r="Q23" s="17">
        <v>3</v>
      </c>
      <c r="R23" s="17" t="s">
        <v>88</v>
      </c>
      <c r="S23" s="17" t="s">
        <v>115</v>
      </c>
      <c r="T23" s="17" t="s">
        <v>50</v>
      </c>
      <c r="U23" s="17">
        <v>9660493688</v>
      </c>
      <c r="V23" s="17" t="s">
        <v>69</v>
      </c>
      <c r="W23" s="29" t="str" cm="1">
        <f t="array" ref="W23">_xlfn.IFS(OR(V23="Cancelled", Q23&lt;=2), "Blacklisted", AND(P23&gt;=100000, Q23&gt;=4, O23&lt;=0.1, V23="Completed"), "Platinum", AND(P23&gt;=50000, P23&lt;=99999, Q23&gt;=3, V23="Completed"), "Gold", AND(Q23&lt;50000, V23="Completed"), "Silver", V23="Pending", "Pending")</f>
        <v>Blacklisted</v>
      </c>
    </row>
    <row r="24" spans="1:23" x14ac:dyDescent="0.5">
      <c r="A24" s="15" t="s">
        <v>209</v>
      </c>
      <c r="B24" s="15" t="s">
        <v>100</v>
      </c>
      <c r="C24" s="15" t="s">
        <v>184</v>
      </c>
      <c r="D24" s="15" t="s">
        <v>102</v>
      </c>
      <c r="E24" s="15" t="s">
        <v>210</v>
      </c>
      <c r="F24" s="15" t="s">
        <v>103</v>
      </c>
      <c r="G24" s="15" t="s">
        <v>28</v>
      </c>
      <c r="H24" s="15" t="s">
        <v>211</v>
      </c>
      <c r="I24" s="15" t="s">
        <v>212</v>
      </c>
      <c r="J24" s="15" t="s">
        <v>45</v>
      </c>
      <c r="K24" s="15" t="s">
        <v>46</v>
      </c>
      <c r="L24" s="15" t="s">
        <v>189</v>
      </c>
      <c r="M24" s="15">
        <v>19</v>
      </c>
      <c r="N24" s="25">
        <v>700</v>
      </c>
      <c r="O24" s="15">
        <v>15</v>
      </c>
      <c r="P24" s="25">
        <v>11305</v>
      </c>
      <c r="Q24" s="15">
        <v>3</v>
      </c>
      <c r="R24" s="15" t="s">
        <v>48</v>
      </c>
      <c r="S24" s="15" t="s">
        <v>151</v>
      </c>
      <c r="T24" s="15" t="s">
        <v>144</v>
      </c>
      <c r="U24" s="15">
        <v>9513325819</v>
      </c>
      <c r="V24" s="15" t="s">
        <v>64</v>
      </c>
      <c r="W24" s="29" t="str" cm="1">
        <f t="array" ref="W24">_xlfn.IFS(OR(V24="Cancelled", Q24&lt;=2), "Blacklisted", AND(P24&gt;=100000, Q24&gt;=4, O24&lt;=0.1, V24="Completed"), "Platinum", AND(P24&gt;=50000, P24&lt;=99999, Q24&gt;=3, V24="Completed"), "Gold", AND(Q24&lt;50000, V24="Completed"), "Silver", V24="Pending", "Pending")</f>
        <v>Pending</v>
      </c>
    </row>
    <row r="25" spans="1:23" x14ac:dyDescent="0.5">
      <c r="A25" s="17" t="s">
        <v>214</v>
      </c>
      <c r="B25" s="17" t="s">
        <v>71</v>
      </c>
      <c r="C25" s="17" t="s">
        <v>54</v>
      </c>
      <c r="D25" s="17" t="s">
        <v>215</v>
      </c>
      <c r="E25" s="17" t="s">
        <v>216</v>
      </c>
      <c r="F25" s="15" t="s">
        <v>217</v>
      </c>
      <c r="G25" s="17" t="s">
        <v>76</v>
      </c>
      <c r="H25" s="17" t="s">
        <v>218</v>
      </c>
      <c r="I25" s="17" t="s">
        <v>59</v>
      </c>
      <c r="J25" s="17" t="s">
        <v>31</v>
      </c>
      <c r="K25" s="17" t="s">
        <v>46</v>
      </c>
      <c r="L25" s="17" t="s">
        <v>60</v>
      </c>
      <c r="M25" s="17">
        <v>12</v>
      </c>
      <c r="N25" s="26">
        <v>55000</v>
      </c>
      <c r="O25" s="17">
        <v>0</v>
      </c>
      <c r="P25" s="26">
        <v>660000</v>
      </c>
      <c r="Q25" s="17">
        <v>1</v>
      </c>
      <c r="R25" s="17" t="s">
        <v>79</v>
      </c>
      <c r="S25" s="17" t="s">
        <v>49</v>
      </c>
      <c r="T25" s="17" t="s">
        <v>80</v>
      </c>
      <c r="U25" s="17">
        <v>9641063242</v>
      </c>
      <c r="V25" s="17" t="s">
        <v>64</v>
      </c>
      <c r="W25" s="29" t="str" cm="1">
        <f t="array" ref="W25">_xlfn.IFS(OR(V25="Cancelled", Q25&lt;=2), "Blacklisted", AND(P25&gt;=100000, Q25&gt;=4, O25&lt;=0.1, V25="Completed"), "Platinum", AND(P25&gt;=50000, P25&lt;=99999, Q25&gt;=3, V25="Completed"), "Gold", AND(Q25&lt;50000, V25="Completed"), "Silver", V25="Pending", "Pending")</f>
        <v>Blacklisted</v>
      </c>
    </row>
    <row r="26" spans="1:23" x14ac:dyDescent="0.5">
      <c r="A26" s="15" t="s">
        <v>220</v>
      </c>
      <c r="B26" s="15" t="s">
        <v>221</v>
      </c>
      <c r="C26" s="15" t="s">
        <v>222</v>
      </c>
      <c r="D26" s="15" t="s">
        <v>223</v>
      </c>
      <c r="E26" s="15" t="s">
        <v>224</v>
      </c>
      <c r="F26" s="15" t="s">
        <v>225</v>
      </c>
      <c r="G26" s="15" t="s">
        <v>76</v>
      </c>
      <c r="H26" s="15" t="s">
        <v>226</v>
      </c>
      <c r="I26" s="15" t="s">
        <v>105</v>
      </c>
      <c r="J26" s="15" t="s">
        <v>106</v>
      </c>
      <c r="K26" s="15" t="s">
        <v>122</v>
      </c>
      <c r="L26" s="15" t="s">
        <v>227</v>
      </c>
      <c r="M26" s="15">
        <v>1</v>
      </c>
      <c r="N26" s="25">
        <v>20</v>
      </c>
      <c r="O26" s="15">
        <v>5</v>
      </c>
      <c r="P26" s="25">
        <v>19</v>
      </c>
      <c r="Q26" s="15">
        <v>5</v>
      </c>
      <c r="R26" s="15" t="s">
        <v>79</v>
      </c>
      <c r="S26" s="15" t="s">
        <v>35</v>
      </c>
      <c r="T26" s="15" t="s">
        <v>228</v>
      </c>
      <c r="U26" s="15">
        <v>9277372518</v>
      </c>
      <c r="V26" s="15" t="s">
        <v>69</v>
      </c>
      <c r="W26" s="29" t="str" cm="1">
        <f t="array" ref="W26">_xlfn.IFS(OR(V26="Cancelled", Q26&lt;=2), "Blacklisted", AND(P26&gt;=100000, Q26&gt;=4, O26&lt;=0.1, V26="Completed"), "Platinum", AND(P26&gt;=50000, P26&lt;=99999, Q26&gt;=3, V26="Completed"), "Gold", AND(Q26&lt;50000, V26="Completed"), "Silver", V26="Pending", "Pending")</f>
        <v>Blacklisted</v>
      </c>
    </row>
    <row r="27" spans="1:23" x14ac:dyDescent="0.5">
      <c r="A27" s="17" t="s">
        <v>230</v>
      </c>
      <c r="B27" s="17" t="s">
        <v>83</v>
      </c>
      <c r="C27" s="17" t="s">
        <v>222</v>
      </c>
      <c r="D27" s="17" t="s">
        <v>231</v>
      </c>
      <c r="E27" s="17" t="s">
        <v>232</v>
      </c>
      <c r="F27" s="15" t="s">
        <v>180</v>
      </c>
      <c r="G27" s="17" t="s">
        <v>76</v>
      </c>
      <c r="H27" s="17" t="s">
        <v>233</v>
      </c>
      <c r="I27" s="17" t="s">
        <v>105</v>
      </c>
      <c r="J27" s="17" t="s">
        <v>106</v>
      </c>
      <c r="K27" s="17" t="s">
        <v>122</v>
      </c>
      <c r="L27" s="17" t="s">
        <v>227</v>
      </c>
      <c r="M27" s="17">
        <v>2</v>
      </c>
      <c r="N27" s="26">
        <v>20</v>
      </c>
      <c r="O27" s="17">
        <v>15</v>
      </c>
      <c r="P27" s="26">
        <v>34</v>
      </c>
      <c r="Q27" s="17">
        <v>1</v>
      </c>
      <c r="R27" s="17" t="s">
        <v>88</v>
      </c>
      <c r="S27" s="17" t="s">
        <v>35</v>
      </c>
      <c r="T27" s="17" t="s">
        <v>89</v>
      </c>
      <c r="U27" s="17">
        <v>9193154372</v>
      </c>
      <c r="V27" s="17" t="s">
        <v>64</v>
      </c>
      <c r="W27" s="29" t="str" cm="1">
        <f t="array" ref="W27">_xlfn.IFS(OR(V27="Cancelled", Q27&lt;=2), "Blacklisted", AND(P27&gt;=100000, Q27&gt;=4, O27&lt;=0.1, V27="Completed"), "Platinum", AND(P27&gt;=50000, P27&lt;=99999, Q27&gt;=3, V27="Completed"), "Gold", AND(Q27&lt;50000, V27="Completed"), "Silver", V27="Pending", "Pending")</f>
        <v>Blacklisted</v>
      </c>
    </row>
    <row r="28" spans="1:23" x14ac:dyDescent="0.5">
      <c r="A28" s="15" t="s">
        <v>235</v>
      </c>
      <c r="B28" s="15" t="s">
        <v>71</v>
      </c>
      <c r="C28" s="15" t="s">
        <v>92</v>
      </c>
      <c r="D28" s="15" t="s">
        <v>236</v>
      </c>
      <c r="E28" s="15" t="s">
        <v>237</v>
      </c>
      <c r="F28" s="15" t="s">
        <v>217</v>
      </c>
      <c r="G28" s="15" t="s">
        <v>76</v>
      </c>
      <c r="H28" s="15" t="s">
        <v>238</v>
      </c>
      <c r="I28" s="15" t="s">
        <v>138</v>
      </c>
      <c r="J28" s="15" t="s">
        <v>106</v>
      </c>
      <c r="K28" s="15" t="s">
        <v>32</v>
      </c>
      <c r="L28" s="15" t="s">
        <v>97</v>
      </c>
      <c r="M28" s="15">
        <v>12</v>
      </c>
      <c r="N28" s="25">
        <v>3500</v>
      </c>
      <c r="O28" s="15">
        <v>15</v>
      </c>
      <c r="P28" s="25">
        <v>35700</v>
      </c>
      <c r="Q28" s="15">
        <v>4</v>
      </c>
      <c r="R28" s="15" t="s">
        <v>34</v>
      </c>
      <c r="S28" s="15" t="s">
        <v>49</v>
      </c>
      <c r="T28" s="15" t="s">
        <v>80</v>
      </c>
      <c r="U28" s="15">
        <v>9400073244</v>
      </c>
      <c r="V28" s="15" t="s">
        <v>69</v>
      </c>
      <c r="W28" s="29" t="str" cm="1">
        <f t="array" ref="W28">_xlfn.IFS(OR(V28="Cancelled", Q28&lt;=2), "Blacklisted", AND(P28&gt;=100000, Q28&gt;=4, O28&lt;=0.1, V28="Completed"), "Platinum", AND(P28&gt;=50000, P28&lt;=99999, Q28&gt;=3, V28="Completed"), "Gold", AND(Q28&lt;50000, V28="Completed"), "Silver", V28="Pending", "Pending")</f>
        <v>Blacklisted</v>
      </c>
    </row>
    <row r="29" spans="1:23" x14ac:dyDescent="0.5">
      <c r="A29" s="17" t="s">
        <v>240</v>
      </c>
      <c r="B29" s="17" t="s">
        <v>23</v>
      </c>
      <c r="C29" s="17" t="s">
        <v>72</v>
      </c>
      <c r="D29" s="17" t="s">
        <v>241</v>
      </c>
      <c r="E29" s="17" t="s">
        <v>242</v>
      </c>
      <c r="F29" s="15" t="s">
        <v>27</v>
      </c>
      <c r="G29" s="17" t="s">
        <v>28</v>
      </c>
      <c r="H29" s="17" t="s">
        <v>243</v>
      </c>
      <c r="I29" s="17" t="s">
        <v>138</v>
      </c>
      <c r="J29" s="17" t="s">
        <v>106</v>
      </c>
      <c r="K29" s="17" t="s">
        <v>46</v>
      </c>
      <c r="L29" s="17" t="s">
        <v>78</v>
      </c>
      <c r="M29" s="17">
        <v>11</v>
      </c>
      <c r="N29" s="26">
        <v>1200</v>
      </c>
      <c r="O29" s="17">
        <v>0</v>
      </c>
      <c r="P29" s="26">
        <v>13200</v>
      </c>
      <c r="Q29" s="17">
        <v>2</v>
      </c>
      <c r="R29" s="17" t="s">
        <v>88</v>
      </c>
      <c r="S29" s="17" t="s">
        <v>151</v>
      </c>
      <c r="T29" s="17" t="s">
        <v>50</v>
      </c>
      <c r="U29" s="17">
        <v>9771556720</v>
      </c>
      <c r="V29" s="17" t="s">
        <v>38</v>
      </c>
      <c r="W29" s="29" t="str" cm="1">
        <f t="array" ref="W29">_xlfn.IFS(OR(V29="Cancelled", Q29&lt;=2), "Blacklisted", AND(P29&gt;=100000, Q29&gt;=4, O29&lt;=0.1, V29="Completed"), "Platinum", AND(P29&gt;=50000, P29&lt;=99999, Q29&gt;=3, V29="Completed"), "Gold", AND(Q29&lt;50000, V29="Completed"), "Silver", V29="Pending", "Pending")</f>
        <v>Blacklisted</v>
      </c>
    </row>
    <row r="30" spans="1:23" x14ac:dyDescent="0.5">
      <c r="A30" s="15" t="s">
        <v>245</v>
      </c>
      <c r="B30" s="15" t="s">
        <v>127</v>
      </c>
      <c r="C30" s="15" t="s">
        <v>169</v>
      </c>
      <c r="D30" s="15" t="s">
        <v>246</v>
      </c>
      <c r="E30" s="15" t="s">
        <v>247</v>
      </c>
      <c r="F30" s="15" t="s">
        <v>200</v>
      </c>
      <c r="G30" s="15" t="s">
        <v>76</v>
      </c>
      <c r="H30" s="15" t="s">
        <v>248</v>
      </c>
      <c r="I30" s="15" t="s">
        <v>114</v>
      </c>
      <c r="J30" s="15" t="s">
        <v>106</v>
      </c>
      <c r="K30" s="15" t="s">
        <v>32</v>
      </c>
      <c r="L30" s="15" t="s">
        <v>174</v>
      </c>
      <c r="M30" s="15">
        <v>6</v>
      </c>
      <c r="N30" s="25">
        <v>8500</v>
      </c>
      <c r="O30" s="15">
        <v>65</v>
      </c>
      <c r="P30" s="25">
        <v>51000</v>
      </c>
      <c r="Q30" s="15">
        <v>1</v>
      </c>
      <c r="R30" s="15" t="s">
        <v>79</v>
      </c>
      <c r="S30" s="15" t="s">
        <v>61</v>
      </c>
      <c r="T30" s="15" t="s">
        <v>132</v>
      </c>
      <c r="U30" s="15">
        <v>9127480734</v>
      </c>
      <c r="V30" s="15" t="s">
        <v>38</v>
      </c>
      <c r="W30" s="29" t="str" cm="1">
        <f t="array" ref="W30">_xlfn.IFS(OR(V30="Cancelled", Q30&lt;=2), "Blacklisted", AND(P30&gt;=100000, Q30&gt;=4, O30&lt;=0.1, V30="Completed"), "Platinum", AND(P30&gt;=50000, P30&lt;=99999, Q30&gt;=3, V30="Completed"), "Gold", AND(Q30&lt;50000, V30="Completed"), "Silver", V30="Pending", "Pending")</f>
        <v>Blacklisted</v>
      </c>
    </row>
    <row r="31" spans="1:23" x14ac:dyDescent="0.5">
      <c r="A31" s="17" t="s">
        <v>250</v>
      </c>
      <c r="B31" s="17" t="s">
        <v>251</v>
      </c>
      <c r="C31" s="17" t="s">
        <v>118</v>
      </c>
      <c r="D31" s="17" t="s">
        <v>252</v>
      </c>
      <c r="E31" s="17" t="s">
        <v>253</v>
      </c>
      <c r="F31" s="15" t="s">
        <v>254</v>
      </c>
      <c r="G31" s="17" t="s">
        <v>28</v>
      </c>
      <c r="H31" s="17" t="s">
        <v>255</v>
      </c>
      <c r="I31" s="17" t="s">
        <v>114</v>
      </c>
      <c r="J31" s="17" t="s">
        <v>106</v>
      </c>
      <c r="K31" s="17" t="s">
        <v>122</v>
      </c>
      <c r="L31" s="17" t="s">
        <v>123</v>
      </c>
      <c r="M31" s="17">
        <v>2</v>
      </c>
      <c r="N31" s="26">
        <v>60</v>
      </c>
      <c r="O31" s="17">
        <v>5</v>
      </c>
      <c r="P31" s="26">
        <v>114</v>
      </c>
      <c r="Q31" s="17">
        <v>3</v>
      </c>
      <c r="R31" s="17" t="s">
        <v>34</v>
      </c>
      <c r="S31" s="17" t="s">
        <v>151</v>
      </c>
      <c r="T31" s="17" t="s">
        <v>256</v>
      </c>
      <c r="U31" s="17">
        <v>9512997042</v>
      </c>
      <c r="V31" s="17" t="s">
        <v>69</v>
      </c>
      <c r="W31" s="29" t="str" cm="1">
        <f t="array" ref="W31">_xlfn.IFS(OR(V31="Cancelled", Q31&lt;=2), "Blacklisted", AND(P31&gt;=100000, Q31&gt;=4, O31&lt;=0.1, V31="Completed"), "Platinum", AND(P31&gt;=50000, P31&lt;=99999, Q31&gt;=3, V31="Completed"), "Gold", AND(Q31&lt;50000, V31="Completed"), "Silver", V31="Pending", "Pending")</f>
        <v>Blacklisted</v>
      </c>
    </row>
    <row r="32" spans="1:23" x14ac:dyDescent="0.5">
      <c r="A32" s="15" t="s">
        <v>258</v>
      </c>
      <c r="B32" s="15" t="s">
        <v>23</v>
      </c>
      <c r="C32" s="15" t="s">
        <v>259</v>
      </c>
      <c r="D32" s="15" t="s">
        <v>260</v>
      </c>
      <c r="E32" s="15" t="s">
        <v>261</v>
      </c>
      <c r="F32" s="15" t="s">
        <v>27</v>
      </c>
      <c r="G32" s="15" t="s">
        <v>28</v>
      </c>
      <c r="H32" s="15" t="s">
        <v>262</v>
      </c>
      <c r="I32" s="15" t="s">
        <v>59</v>
      </c>
      <c r="J32" s="15" t="s">
        <v>31</v>
      </c>
      <c r="K32" s="15" t="s">
        <v>122</v>
      </c>
      <c r="L32" s="15" t="s">
        <v>263</v>
      </c>
      <c r="M32" s="15">
        <v>19</v>
      </c>
      <c r="N32" s="25">
        <v>45</v>
      </c>
      <c r="O32" s="15">
        <v>20</v>
      </c>
      <c r="P32" s="25">
        <v>684</v>
      </c>
      <c r="Q32" s="15">
        <v>4</v>
      </c>
      <c r="R32" s="15" t="s">
        <v>48</v>
      </c>
      <c r="S32" s="15" t="s">
        <v>61</v>
      </c>
      <c r="T32" s="15" t="s">
        <v>50</v>
      </c>
      <c r="U32" s="15">
        <v>9372748661</v>
      </c>
      <c r="V32" s="15" t="s">
        <v>69</v>
      </c>
      <c r="W32" s="29" t="str" cm="1">
        <f t="array" ref="W32">_xlfn.IFS(OR(V32="Cancelled", Q32&lt;=2), "Blacklisted", AND(P32&gt;=100000, Q32&gt;=4, O32&lt;=0.1, V32="Completed"), "Platinum", AND(P32&gt;=50000, P32&lt;=99999, Q32&gt;=3, V32="Completed"), "Gold", AND(Q32&lt;50000, V32="Completed"), "Silver", V32="Pending", "Pending")</f>
        <v>Blacklisted</v>
      </c>
    </row>
    <row r="33" spans="1:23" x14ac:dyDescent="0.5">
      <c r="A33" s="17" t="s">
        <v>265</v>
      </c>
      <c r="B33" s="17" t="s">
        <v>100</v>
      </c>
      <c r="C33" s="17" t="s">
        <v>40</v>
      </c>
      <c r="D33" s="17" t="s">
        <v>266</v>
      </c>
      <c r="E33" s="17" t="s">
        <v>267</v>
      </c>
      <c r="F33" s="15" t="s">
        <v>103</v>
      </c>
      <c r="G33" s="17" t="s">
        <v>28</v>
      </c>
      <c r="H33" s="17" t="s">
        <v>269</v>
      </c>
      <c r="I33" s="17" t="s">
        <v>138</v>
      </c>
      <c r="J33" s="17" t="s">
        <v>106</v>
      </c>
      <c r="K33" s="17" t="s">
        <v>46</v>
      </c>
      <c r="L33" s="17" t="s">
        <v>47</v>
      </c>
      <c r="M33" s="17">
        <v>11</v>
      </c>
      <c r="N33" s="26">
        <v>12000</v>
      </c>
      <c r="O33" s="17">
        <v>0</v>
      </c>
      <c r="P33" s="26">
        <v>132000</v>
      </c>
      <c r="Q33" s="17">
        <v>3</v>
      </c>
      <c r="R33" s="17" t="s">
        <v>88</v>
      </c>
      <c r="S33" s="17" t="s">
        <v>35</v>
      </c>
      <c r="T33" s="17" t="s">
        <v>144</v>
      </c>
      <c r="U33" s="17">
        <v>9570437805</v>
      </c>
      <c r="V33" s="17" t="s">
        <v>64</v>
      </c>
      <c r="W33" s="29" t="str" cm="1">
        <f t="array" ref="W33">_xlfn.IFS(OR(V33="Cancelled", Q33&lt;=2), "Blacklisted", AND(P33&gt;=100000, Q33&gt;=4, O33&lt;=0.1, V33="Completed"), "Platinum", AND(P33&gt;=50000, P33&lt;=99999, Q33&gt;=3, V33="Completed"), "Gold", AND(Q33&lt;50000, V33="Completed"), "Silver", V33="Pending", "Pending")</f>
        <v>Pending</v>
      </c>
    </row>
    <row r="34" spans="1:23" x14ac:dyDescent="0.5">
      <c r="A34" s="15" t="s">
        <v>271</v>
      </c>
      <c r="B34" s="15" t="s">
        <v>251</v>
      </c>
      <c r="C34" s="15" t="s">
        <v>24</v>
      </c>
      <c r="D34" s="15" t="s">
        <v>272</v>
      </c>
      <c r="E34" s="15" t="s">
        <v>136</v>
      </c>
      <c r="F34" s="15" t="s">
        <v>254</v>
      </c>
      <c r="G34" s="15" t="s">
        <v>28</v>
      </c>
      <c r="H34" s="15" t="s">
        <v>273</v>
      </c>
      <c r="I34" s="15" t="s">
        <v>59</v>
      </c>
      <c r="J34" s="15" t="s">
        <v>31</v>
      </c>
      <c r="K34" s="15" t="s">
        <v>32</v>
      </c>
      <c r="L34" s="15" t="s">
        <v>33</v>
      </c>
      <c r="M34" s="15">
        <v>20</v>
      </c>
      <c r="N34" s="25">
        <v>2200</v>
      </c>
      <c r="O34" s="15">
        <v>5</v>
      </c>
      <c r="P34" s="25">
        <v>41800</v>
      </c>
      <c r="Q34" s="15">
        <v>1</v>
      </c>
      <c r="R34" s="15" t="s">
        <v>34</v>
      </c>
      <c r="S34" s="15" t="s">
        <v>49</v>
      </c>
      <c r="T34" s="15" t="s">
        <v>256</v>
      </c>
      <c r="U34" s="15">
        <v>9310669113</v>
      </c>
      <c r="V34" s="15" t="s">
        <v>64</v>
      </c>
      <c r="W34" s="29" t="str" cm="1">
        <f t="array" ref="W34">_xlfn.IFS(OR(V34="Cancelled", Q34&lt;=2), "Blacklisted", AND(P34&gt;=100000, Q34&gt;=4, O34&lt;=0.1, V34="Completed"), "Platinum", AND(P34&gt;=50000, P34&lt;=99999, Q34&gt;=3, V34="Completed"), "Gold", AND(Q34&lt;50000, V34="Completed"), "Silver", V34="Pending", "Pending")</f>
        <v>Blacklisted</v>
      </c>
    </row>
    <row r="35" spans="1:23" x14ac:dyDescent="0.5">
      <c r="A35" s="17" t="s">
        <v>275</v>
      </c>
      <c r="B35" s="17" t="s">
        <v>83</v>
      </c>
      <c r="C35" s="17" t="s">
        <v>222</v>
      </c>
      <c r="D35" s="17" t="s">
        <v>231</v>
      </c>
      <c r="E35" s="17" t="s">
        <v>276</v>
      </c>
      <c r="F35" s="15" t="s">
        <v>180</v>
      </c>
      <c r="G35" s="17" t="s">
        <v>76</v>
      </c>
      <c r="H35" s="17" t="s">
        <v>277</v>
      </c>
      <c r="I35" s="17" t="s">
        <v>138</v>
      </c>
      <c r="J35" s="17" t="s">
        <v>106</v>
      </c>
      <c r="K35" s="17" t="s">
        <v>122</v>
      </c>
      <c r="L35" s="17" t="s">
        <v>227</v>
      </c>
      <c r="M35" s="17">
        <v>3</v>
      </c>
      <c r="N35" s="26">
        <v>20</v>
      </c>
      <c r="O35" s="17">
        <v>0</v>
      </c>
      <c r="P35" s="26">
        <v>60</v>
      </c>
      <c r="Q35" s="17">
        <v>2</v>
      </c>
      <c r="R35" s="17" t="s">
        <v>79</v>
      </c>
      <c r="S35" s="17" t="s">
        <v>35</v>
      </c>
      <c r="T35" s="17" t="s">
        <v>278</v>
      </c>
      <c r="U35" s="17">
        <v>9437132894</v>
      </c>
      <c r="V35" s="17" t="s">
        <v>69</v>
      </c>
      <c r="W35" s="29" t="str" cm="1">
        <f t="array" ref="W35">_xlfn.IFS(OR(V35="Cancelled", Q35&lt;=2), "Blacklisted", AND(P35&gt;=100000, Q35&gt;=4, O35&lt;=0.1, V35="Completed"), "Platinum", AND(P35&gt;=50000, P35&lt;=99999, Q35&gt;=3, V35="Completed"), "Gold", AND(Q35&lt;50000, V35="Completed"), "Silver", V35="Pending", "Pending")</f>
        <v>Blacklisted</v>
      </c>
    </row>
    <row r="36" spans="1:23" x14ac:dyDescent="0.5">
      <c r="A36" s="15" t="s">
        <v>280</v>
      </c>
      <c r="B36" s="15" t="s">
        <v>127</v>
      </c>
      <c r="C36" s="15" t="s">
        <v>259</v>
      </c>
      <c r="D36" s="15" t="s">
        <v>281</v>
      </c>
      <c r="E36" s="15" t="s">
        <v>282</v>
      </c>
      <c r="F36" s="15" t="s">
        <v>200</v>
      </c>
      <c r="G36" s="15" t="s">
        <v>76</v>
      </c>
      <c r="H36" s="15" t="s">
        <v>283</v>
      </c>
      <c r="I36" s="15" t="s">
        <v>114</v>
      </c>
      <c r="J36" s="15" t="s">
        <v>106</v>
      </c>
      <c r="K36" s="15" t="s">
        <v>122</v>
      </c>
      <c r="L36" s="15" t="s">
        <v>263</v>
      </c>
      <c r="M36" s="15">
        <v>18</v>
      </c>
      <c r="N36" s="25">
        <v>45</v>
      </c>
      <c r="O36" s="15">
        <v>20</v>
      </c>
      <c r="P36" s="25">
        <v>648</v>
      </c>
      <c r="Q36" s="15">
        <v>4</v>
      </c>
      <c r="R36" s="15" t="s">
        <v>48</v>
      </c>
      <c r="S36" s="15" t="s">
        <v>35</v>
      </c>
      <c r="T36" s="15" t="s">
        <v>132</v>
      </c>
      <c r="U36" s="15">
        <v>9762437243</v>
      </c>
      <c r="V36" s="15" t="s">
        <v>69</v>
      </c>
      <c r="W36" s="29" t="str" cm="1">
        <f t="array" ref="W36">_xlfn.IFS(OR(V36="Cancelled", Q36&lt;=2), "Blacklisted", AND(P36&gt;=100000, Q36&gt;=4, O36&lt;=0.1, V36="Completed"), "Platinum", AND(P36&gt;=50000, P36&lt;=99999, Q36&gt;=3, V36="Completed"), "Gold", AND(Q36&lt;50000, V36="Completed"), "Silver", V36="Pending", "Pending")</f>
        <v>Blacklisted</v>
      </c>
    </row>
    <row r="37" spans="1:23" x14ac:dyDescent="0.5">
      <c r="A37" s="17" t="s">
        <v>285</v>
      </c>
      <c r="B37" s="17" t="s">
        <v>127</v>
      </c>
      <c r="C37" s="17" t="s">
        <v>72</v>
      </c>
      <c r="D37" s="17" t="s">
        <v>286</v>
      </c>
      <c r="E37" s="17" t="s">
        <v>287</v>
      </c>
      <c r="F37" s="15" t="s">
        <v>200</v>
      </c>
      <c r="G37" s="17" t="s">
        <v>76</v>
      </c>
      <c r="H37" s="17" t="s">
        <v>288</v>
      </c>
      <c r="I37" s="17" t="s">
        <v>59</v>
      </c>
      <c r="J37" s="17" t="s">
        <v>31</v>
      </c>
      <c r="K37" s="17" t="s">
        <v>46</v>
      </c>
      <c r="L37" s="17" t="s">
        <v>78</v>
      </c>
      <c r="M37" s="17">
        <v>4</v>
      </c>
      <c r="N37" s="26">
        <v>1200</v>
      </c>
      <c r="O37" s="17">
        <v>20</v>
      </c>
      <c r="P37" s="26">
        <v>3840</v>
      </c>
      <c r="Q37" s="17">
        <v>3</v>
      </c>
      <c r="R37" s="17" t="s">
        <v>48</v>
      </c>
      <c r="S37" s="17" t="s">
        <v>61</v>
      </c>
      <c r="T37" s="17" t="s">
        <v>132</v>
      </c>
      <c r="U37" s="17">
        <v>9149046970</v>
      </c>
      <c r="V37" s="17" t="s">
        <v>38</v>
      </c>
      <c r="W37" s="29" t="str" cm="1">
        <f t="array" ref="W37">_xlfn.IFS(OR(V37="Cancelled", Q37&lt;=2), "Blacklisted", AND(P37&gt;=100000, Q37&gt;=4, O37&lt;=0.1, V37="Completed"), "Platinum", AND(P37&gt;=50000, P37&lt;=99999, Q37&gt;=3, V37="Completed"), "Gold", AND(Q37&lt;50000, V37="Completed"), "Silver", V37="Pending", "Pending")</f>
        <v>Silver</v>
      </c>
    </row>
    <row r="38" spans="1:23" x14ac:dyDescent="0.5">
      <c r="A38" s="15" t="s">
        <v>290</v>
      </c>
      <c r="B38" s="15" t="s">
        <v>71</v>
      </c>
      <c r="C38" s="15" t="s">
        <v>54</v>
      </c>
      <c r="D38" s="15" t="s">
        <v>291</v>
      </c>
      <c r="E38" s="15" t="s">
        <v>292</v>
      </c>
      <c r="F38" s="15" t="s">
        <v>217</v>
      </c>
      <c r="G38" s="15" t="s">
        <v>76</v>
      </c>
      <c r="H38" s="15" t="s">
        <v>293</v>
      </c>
      <c r="I38" s="15" t="s">
        <v>294</v>
      </c>
      <c r="J38" s="15" t="s">
        <v>295</v>
      </c>
      <c r="K38" s="15" t="s">
        <v>46</v>
      </c>
      <c r="L38" s="15" t="s">
        <v>60</v>
      </c>
      <c r="M38" s="15">
        <v>10</v>
      </c>
      <c r="N38" s="25">
        <v>55000</v>
      </c>
      <c r="O38" s="15">
        <v>0</v>
      </c>
      <c r="P38" s="25">
        <v>550000</v>
      </c>
      <c r="Q38" s="15">
        <v>1</v>
      </c>
      <c r="R38" s="15" t="s">
        <v>88</v>
      </c>
      <c r="S38" s="15" t="s">
        <v>49</v>
      </c>
      <c r="T38" s="15" t="s">
        <v>80</v>
      </c>
      <c r="U38" s="15">
        <v>9869182901</v>
      </c>
      <c r="V38" s="15" t="s">
        <v>69</v>
      </c>
      <c r="W38" s="29" t="str" cm="1">
        <f t="array" ref="W38">_xlfn.IFS(OR(V38="Cancelled", Q38&lt;=2), "Blacklisted", AND(P38&gt;=100000, Q38&gt;=4, O38&lt;=0.1, V38="Completed"), "Platinum", AND(P38&gt;=50000, P38&lt;=99999, Q38&gt;=3, V38="Completed"), "Gold", AND(Q38&lt;50000, V38="Completed"), "Silver", V38="Pending", "Pending")</f>
        <v>Blacklisted</v>
      </c>
    </row>
    <row r="39" spans="1:23" x14ac:dyDescent="0.5">
      <c r="A39" s="17" t="s">
        <v>297</v>
      </c>
      <c r="B39" s="17" t="s">
        <v>251</v>
      </c>
      <c r="C39" s="17" t="s">
        <v>92</v>
      </c>
      <c r="D39" s="17" t="s">
        <v>298</v>
      </c>
      <c r="E39" s="17" t="s">
        <v>242</v>
      </c>
      <c r="F39" s="15" t="s">
        <v>254</v>
      </c>
      <c r="G39" s="17" t="s">
        <v>28</v>
      </c>
      <c r="H39" s="17" t="s">
        <v>299</v>
      </c>
      <c r="I39" s="17" t="s">
        <v>44</v>
      </c>
      <c r="J39" s="17" t="s">
        <v>45</v>
      </c>
      <c r="K39" s="17" t="s">
        <v>32</v>
      </c>
      <c r="L39" s="17" t="s">
        <v>97</v>
      </c>
      <c r="M39" s="17">
        <v>20</v>
      </c>
      <c r="N39" s="26">
        <v>3500</v>
      </c>
      <c r="O39" s="17">
        <v>10</v>
      </c>
      <c r="P39" s="26">
        <v>63000</v>
      </c>
      <c r="Q39" s="17">
        <v>3</v>
      </c>
      <c r="R39" s="17" t="s">
        <v>79</v>
      </c>
      <c r="S39" s="17" t="s">
        <v>49</v>
      </c>
      <c r="T39" s="17" t="s">
        <v>256</v>
      </c>
      <c r="U39" s="17">
        <v>9283578533</v>
      </c>
      <c r="V39" s="17" t="s">
        <v>69</v>
      </c>
      <c r="W39" s="29" t="str" cm="1">
        <f t="array" ref="W39">_xlfn.IFS(OR(V39="Cancelled", Q39&lt;=2), "Blacklisted", AND(P39&gt;=100000, Q39&gt;=4, O39&lt;=0.1, V39="Completed"), "Platinum", AND(P39&gt;=50000, P39&lt;=99999, Q39&gt;=3, V39="Completed"), "Gold", AND(Q39&lt;50000, V39="Completed"), "Silver", V39="Pending", "Pending")</f>
        <v>Blacklisted</v>
      </c>
    </row>
    <row r="40" spans="1:23" x14ac:dyDescent="0.5">
      <c r="A40" s="15" t="s">
        <v>301</v>
      </c>
      <c r="B40" s="15" t="s">
        <v>23</v>
      </c>
      <c r="C40" s="15" t="s">
        <v>222</v>
      </c>
      <c r="D40" s="15" t="s">
        <v>302</v>
      </c>
      <c r="E40" s="15" t="s">
        <v>303</v>
      </c>
      <c r="F40" s="15" t="s">
        <v>27</v>
      </c>
      <c r="G40" s="15" t="s">
        <v>28</v>
      </c>
      <c r="H40" s="15" t="s">
        <v>304</v>
      </c>
      <c r="I40" s="15" t="s">
        <v>114</v>
      </c>
      <c r="J40" s="15" t="s">
        <v>106</v>
      </c>
      <c r="K40" s="15" t="s">
        <v>122</v>
      </c>
      <c r="L40" s="15" t="s">
        <v>227</v>
      </c>
      <c r="M40" s="15">
        <v>5</v>
      </c>
      <c r="N40" s="61" t="s">
        <v>305</v>
      </c>
      <c r="O40" s="15">
        <v>0</v>
      </c>
      <c r="P40" s="25">
        <v>100</v>
      </c>
      <c r="Q40" s="15">
        <v>1</v>
      </c>
      <c r="R40" s="15" t="s">
        <v>34</v>
      </c>
      <c r="S40" s="15" t="s">
        <v>49</v>
      </c>
      <c r="T40" s="15" t="s">
        <v>50</v>
      </c>
      <c r="U40" s="15">
        <v>9963005771</v>
      </c>
      <c r="V40" s="15" t="s">
        <v>69</v>
      </c>
      <c r="W40" s="29" t="str" cm="1">
        <f t="array" ref="W40">_xlfn.IFS(OR(V40="Cancelled", Q40&lt;=2), "Blacklisted", AND(P40&gt;=100000, Q40&gt;=4, O40&lt;=0.1, V40="Completed"), "Platinum", AND(P40&gt;=50000, P40&lt;=99999, Q40&gt;=3, V40="Completed"), "Gold", AND(Q40&lt;50000, V40="Completed"), "Silver", V40="Pending", "Pending")</f>
        <v>Blacklisted</v>
      </c>
    </row>
    <row r="41" spans="1:23" x14ac:dyDescent="0.5">
      <c r="A41" s="17" t="s">
        <v>307</v>
      </c>
      <c r="B41" s="17" t="s">
        <v>53</v>
      </c>
      <c r="C41" s="17" t="s">
        <v>169</v>
      </c>
      <c r="D41" s="17" t="s">
        <v>308</v>
      </c>
      <c r="E41" s="17" t="s">
        <v>309</v>
      </c>
      <c r="F41" s="15" t="s">
        <v>163</v>
      </c>
      <c r="G41" s="17" t="s">
        <v>28</v>
      </c>
      <c r="H41" s="17" t="s">
        <v>310</v>
      </c>
      <c r="I41" s="17" t="s">
        <v>105</v>
      </c>
      <c r="J41" s="17" t="s">
        <v>106</v>
      </c>
      <c r="K41" s="17" t="s">
        <v>32</v>
      </c>
      <c r="L41" s="17" t="s">
        <v>174</v>
      </c>
      <c r="M41" s="17">
        <v>20</v>
      </c>
      <c r="N41" s="26">
        <v>8500</v>
      </c>
      <c r="O41" s="17">
        <v>0</v>
      </c>
      <c r="P41" s="26">
        <v>170000</v>
      </c>
      <c r="Q41" s="17">
        <v>1</v>
      </c>
      <c r="R41" s="17" t="s">
        <v>88</v>
      </c>
      <c r="S41" s="17" t="s">
        <v>115</v>
      </c>
      <c r="T41" s="17" t="s">
        <v>62</v>
      </c>
      <c r="U41" s="17">
        <v>9484632635</v>
      </c>
      <c r="V41" s="17" t="s">
        <v>69</v>
      </c>
      <c r="W41" s="29" t="str" cm="1">
        <f t="array" ref="W41">_xlfn.IFS(OR(V41="Cancelled", Q41&lt;=2), "Blacklisted", AND(P41&gt;=100000, Q41&gt;=4, O41&lt;=0.1, V41="Completed"), "Platinum", AND(P41&gt;=50000, P41&lt;=99999, Q41&gt;=3, V41="Completed"), "Gold", AND(Q41&lt;50000, V41="Completed"), "Silver", V41="Pending", "Pending")</f>
        <v>Blacklisted</v>
      </c>
    </row>
    <row r="42" spans="1:23" x14ac:dyDescent="0.5">
      <c r="A42" s="15" t="s">
        <v>312</v>
      </c>
      <c r="B42" s="15" t="s">
        <v>83</v>
      </c>
      <c r="C42" s="15" t="s">
        <v>118</v>
      </c>
      <c r="D42" s="15" t="s">
        <v>313</v>
      </c>
      <c r="E42" s="15" t="s">
        <v>314</v>
      </c>
      <c r="F42" s="15" t="s">
        <v>180</v>
      </c>
      <c r="G42" s="15" t="s">
        <v>76</v>
      </c>
      <c r="H42" s="15" t="s">
        <v>315</v>
      </c>
      <c r="I42" s="15" t="s">
        <v>59</v>
      </c>
      <c r="J42" s="15" t="s">
        <v>31</v>
      </c>
      <c r="K42" s="15" t="s">
        <v>122</v>
      </c>
      <c r="L42" s="15" t="s">
        <v>123</v>
      </c>
      <c r="M42" s="15">
        <v>8</v>
      </c>
      <c r="N42" s="25">
        <v>60</v>
      </c>
      <c r="O42" s="15">
        <v>15</v>
      </c>
      <c r="P42" s="25">
        <v>408</v>
      </c>
      <c r="Q42" s="15">
        <v>5</v>
      </c>
      <c r="R42" s="15" t="s">
        <v>88</v>
      </c>
      <c r="S42" s="15" t="s">
        <v>49</v>
      </c>
      <c r="T42" s="15" t="s">
        <v>89</v>
      </c>
      <c r="U42" s="15">
        <v>9276319484</v>
      </c>
      <c r="V42" s="15" t="s">
        <v>64</v>
      </c>
      <c r="W42" s="29" t="str" cm="1">
        <f t="array" ref="W42">_xlfn.IFS(OR(V42="Cancelled", Q42&lt;=2), "Blacklisted", AND(P42&gt;=100000, Q42&gt;=4, O42&lt;=0.1, V42="Completed"), "Platinum", AND(P42&gt;=50000, P42&lt;=99999, Q42&gt;=3, V42="Completed"), "Gold", AND(Q42&lt;50000, V42="Completed"), "Silver", V42="Pending", "Pending")</f>
        <v>Pending</v>
      </c>
    </row>
    <row r="43" spans="1:23" x14ac:dyDescent="0.5">
      <c r="A43" s="17" t="s">
        <v>317</v>
      </c>
      <c r="B43" s="17" t="s">
        <v>53</v>
      </c>
      <c r="C43" s="17" t="s">
        <v>92</v>
      </c>
      <c r="D43" s="17" t="s">
        <v>318</v>
      </c>
      <c r="E43" s="17" t="s">
        <v>260</v>
      </c>
      <c r="F43" s="15" t="s">
        <v>163</v>
      </c>
      <c r="G43" s="17" t="s">
        <v>28</v>
      </c>
      <c r="H43" s="17" t="s">
        <v>319</v>
      </c>
      <c r="I43" s="17" t="s">
        <v>114</v>
      </c>
      <c r="J43" s="17" t="s">
        <v>106</v>
      </c>
      <c r="K43" s="17" t="s">
        <v>32</v>
      </c>
      <c r="L43" s="17" t="s">
        <v>97</v>
      </c>
      <c r="M43" s="17">
        <v>8</v>
      </c>
      <c r="N43" s="26">
        <v>3500</v>
      </c>
      <c r="O43" s="17">
        <v>5</v>
      </c>
      <c r="P43" s="26">
        <v>26600</v>
      </c>
      <c r="Q43" s="17">
        <v>1</v>
      </c>
      <c r="R43" s="17" t="s">
        <v>79</v>
      </c>
      <c r="S43" s="17" t="s">
        <v>115</v>
      </c>
      <c r="T43" s="17" t="s">
        <v>62</v>
      </c>
      <c r="U43" s="17">
        <v>9619034852</v>
      </c>
      <c r="V43" s="17" t="s">
        <v>64</v>
      </c>
      <c r="W43" s="29" t="str" cm="1">
        <f t="array" ref="W43">_xlfn.IFS(OR(V43="Cancelled", Q43&lt;=2), "Blacklisted", AND(P43&gt;=100000, Q43&gt;=4, O43&lt;=0.1, V43="Completed"), "Platinum", AND(P43&gt;=50000, P43&lt;=99999, Q43&gt;=3, V43="Completed"), "Gold", AND(Q43&lt;50000, V43="Completed"), "Silver", V43="Pending", "Pending")</f>
        <v>Blacklisted</v>
      </c>
    </row>
    <row r="44" spans="1:23" x14ac:dyDescent="0.5">
      <c r="A44" s="15" t="s">
        <v>321</v>
      </c>
      <c r="B44" s="15" t="s">
        <v>71</v>
      </c>
      <c r="C44" s="15" t="s">
        <v>169</v>
      </c>
      <c r="D44" s="15" t="s">
        <v>322</v>
      </c>
      <c r="E44" s="15" t="s">
        <v>323</v>
      </c>
      <c r="F44" s="15" t="s">
        <v>217</v>
      </c>
      <c r="G44" s="15" t="s">
        <v>76</v>
      </c>
      <c r="H44" s="15" t="s">
        <v>324</v>
      </c>
      <c r="I44" s="15" t="s">
        <v>212</v>
      </c>
      <c r="J44" s="15" t="s">
        <v>45</v>
      </c>
      <c r="K44" s="15" t="s">
        <v>32</v>
      </c>
      <c r="L44" s="15" t="s">
        <v>174</v>
      </c>
      <c r="M44" s="15">
        <v>1</v>
      </c>
      <c r="N44" s="25">
        <v>8500</v>
      </c>
      <c r="O44" s="15">
        <v>0</v>
      </c>
      <c r="P44" s="25">
        <v>8500</v>
      </c>
      <c r="Q44" s="15">
        <v>2</v>
      </c>
      <c r="R44" s="15" t="s">
        <v>79</v>
      </c>
      <c r="S44" s="15" t="s">
        <v>115</v>
      </c>
      <c r="T44" s="15" t="s">
        <v>80</v>
      </c>
      <c r="U44" s="15">
        <v>9636416962</v>
      </c>
      <c r="V44" s="15" t="s">
        <v>64</v>
      </c>
      <c r="W44" s="29" t="str" cm="1">
        <f t="array" ref="W44">_xlfn.IFS(OR(V44="Cancelled", Q44&lt;=2), "Blacklisted", AND(P44&gt;=100000, Q44&gt;=4, O44&lt;=0.1, V44="Completed"), "Platinum", AND(P44&gt;=50000, P44&lt;=99999, Q44&gt;=3, V44="Completed"), "Gold", AND(Q44&lt;50000, V44="Completed"), "Silver", V44="Pending", "Pending")</f>
        <v>Blacklisted</v>
      </c>
    </row>
    <row r="45" spans="1:23" x14ac:dyDescent="0.5">
      <c r="A45" s="17" t="s">
        <v>326</v>
      </c>
      <c r="B45" s="17" t="s">
        <v>327</v>
      </c>
      <c r="C45" s="17" t="s">
        <v>259</v>
      </c>
      <c r="D45" s="17" t="s">
        <v>328</v>
      </c>
      <c r="E45" s="17" t="s">
        <v>329</v>
      </c>
      <c r="F45" s="15" t="s">
        <v>394</v>
      </c>
      <c r="G45" s="17" t="s">
        <v>76</v>
      </c>
      <c r="H45" s="17" t="s">
        <v>331</v>
      </c>
      <c r="I45" s="17" t="s">
        <v>114</v>
      </c>
      <c r="J45" s="17" t="s">
        <v>106</v>
      </c>
      <c r="K45" s="17" t="s">
        <v>122</v>
      </c>
      <c r="L45" s="17" t="s">
        <v>263</v>
      </c>
      <c r="M45" s="17">
        <v>8</v>
      </c>
      <c r="N45" s="26">
        <v>45</v>
      </c>
      <c r="O45" s="17">
        <v>15</v>
      </c>
      <c r="P45" s="26">
        <v>306</v>
      </c>
      <c r="Q45" s="17">
        <v>2</v>
      </c>
      <c r="R45" s="17" t="s">
        <v>79</v>
      </c>
      <c r="S45" s="17" t="s">
        <v>61</v>
      </c>
      <c r="T45" s="17" t="s">
        <v>332</v>
      </c>
      <c r="U45" s="17">
        <v>9357133880</v>
      </c>
      <c r="V45" s="17" t="s">
        <v>38</v>
      </c>
      <c r="W45" s="29" t="str" cm="1">
        <f t="array" ref="W45">_xlfn.IFS(OR(V45="Cancelled", Q45&lt;=2), "Blacklisted", AND(P45&gt;=100000, Q45&gt;=4, O45&lt;=0.1, V45="Completed"), "Platinum", AND(P45&gt;=50000, P45&lt;=99999, Q45&gt;=3, V45="Completed"), "Gold", AND(Q45&lt;50000, V45="Completed"), "Silver", V45="Pending", "Pending")</f>
        <v>Blacklisted</v>
      </c>
    </row>
    <row r="46" spans="1:23" x14ac:dyDescent="0.5">
      <c r="A46" s="15" t="s">
        <v>334</v>
      </c>
      <c r="B46" s="15" t="s">
        <v>251</v>
      </c>
      <c r="C46" s="15" t="s">
        <v>24</v>
      </c>
      <c r="D46" s="15" t="s">
        <v>335</v>
      </c>
      <c r="E46" s="15" t="s">
        <v>336</v>
      </c>
      <c r="F46" s="15" t="s">
        <v>254</v>
      </c>
      <c r="G46" s="15" t="s">
        <v>28</v>
      </c>
      <c r="H46" s="15" t="s">
        <v>337</v>
      </c>
      <c r="I46" s="15" t="s">
        <v>114</v>
      </c>
      <c r="J46" s="15" t="s">
        <v>106</v>
      </c>
      <c r="K46" s="15" t="s">
        <v>32</v>
      </c>
      <c r="L46" s="15" t="s">
        <v>33</v>
      </c>
      <c r="M46" s="15">
        <v>16</v>
      </c>
      <c r="N46" s="25">
        <v>2200</v>
      </c>
      <c r="O46" s="15">
        <v>5</v>
      </c>
      <c r="P46" s="25">
        <v>33440</v>
      </c>
      <c r="Q46" s="15">
        <v>5</v>
      </c>
      <c r="R46" s="15" t="s">
        <v>79</v>
      </c>
      <c r="S46" s="15" t="s">
        <v>61</v>
      </c>
      <c r="T46" s="15" t="s">
        <v>256</v>
      </c>
      <c r="U46" s="15">
        <v>9575210324</v>
      </c>
      <c r="V46" s="15" t="s">
        <v>69</v>
      </c>
      <c r="W46" s="29" t="str" cm="1">
        <f t="array" ref="W46">_xlfn.IFS(OR(V46="Cancelled", Q46&lt;=2), "Blacklisted", AND(P46&gt;=100000, Q46&gt;=4, O46&lt;=0.1, V46="Completed"), "Platinum", AND(P46&gt;=50000, P46&lt;=99999, Q46&gt;=3, V46="Completed"), "Gold", AND(Q46&lt;50000, V46="Completed"), "Silver", V46="Pending", "Pending")</f>
        <v>Blacklisted</v>
      </c>
    </row>
    <row r="47" spans="1:23" x14ac:dyDescent="0.5">
      <c r="A47" s="17" t="s">
        <v>339</v>
      </c>
      <c r="B47" s="17" t="s">
        <v>71</v>
      </c>
      <c r="C47" s="17" t="s">
        <v>92</v>
      </c>
      <c r="D47" s="17" t="s">
        <v>340</v>
      </c>
      <c r="E47" s="17" t="s">
        <v>341</v>
      </c>
      <c r="F47" s="15" t="s">
        <v>217</v>
      </c>
      <c r="G47" s="17" t="s">
        <v>76</v>
      </c>
      <c r="H47" s="17" t="s">
        <v>342</v>
      </c>
      <c r="I47" s="17" t="s">
        <v>59</v>
      </c>
      <c r="J47" s="17" t="s">
        <v>31</v>
      </c>
      <c r="K47" s="17" t="s">
        <v>32</v>
      </c>
      <c r="L47" s="17" t="s">
        <v>97</v>
      </c>
      <c r="M47" s="17">
        <v>19</v>
      </c>
      <c r="N47" s="26">
        <v>3500</v>
      </c>
      <c r="O47" s="17">
        <v>20</v>
      </c>
      <c r="P47" s="26">
        <v>53200</v>
      </c>
      <c r="Q47" s="17">
        <v>3</v>
      </c>
      <c r="R47" s="17" t="s">
        <v>34</v>
      </c>
      <c r="S47" s="17" t="s">
        <v>151</v>
      </c>
      <c r="T47" s="17" t="s">
        <v>80</v>
      </c>
      <c r="U47" s="17">
        <v>9276080204</v>
      </c>
      <c r="V47" s="17" t="s">
        <v>69</v>
      </c>
      <c r="W47" s="29" t="str" cm="1">
        <f t="array" ref="W47">_xlfn.IFS(OR(V47="Cancelled", Q47&lt;=2), "Blacklisted", AND(P47&gt;=100000, Q47&gt;=4, O47&lt;=0.1, V47="Completed"), "Platinum", AND(P47&gt;=50000, P47&lt;=99999, Q47&gt;=3, V47="Completed"), "Gold", AND(Q47&lt;50000, V47="Completed"), "Silver", V47="Pending", "Pending")</f>
        <v>Blacklisted</v>
      </c>
    </row>
    <row r="48" spans="1:23" x14ac:dyDescent="0.5">
      <c r="A48" s="15" t="s">
        <v>344</v>
      </c>
      <c r="B48" s="15" t="s">
        <v>251</v>
      </c>
      <c r="C48" s="15" t="s">
        <v>184</v>
      </c>
      <c r="D48" s="15" t="s">
        <v>345</v>
      </c>
      <c r="E48" s="15" t="s">
        <v>346</v>
      </c>
      <c r="F48" s="15" t="s">
        <v>254</v>
      </c>
      <c r="G48" s="15" t="s">
        <v>28</v>
      </c>
      <c r="H48" s="15" t="s">
        <v>347</v>
      </c>
      <c r="I48" s="15" t="s">
        <v>114</v>
      </c>
      <c r="J48" s="15" t="s">
        <v>106</v>
      </c>
      <c r="K48" s="15" t="s">
        <v>46</v>
      </c>
      <c r="L48" s="15" t="s">
        <v>189</v>
      </c>
      <c r="M48" s="15">
        <v>15</v>
      </c>
      <c r="N48" s="25">
        <v>700</v>
      </c>
      <c r="O48" s="15">
        <v>15</v>
      </c>
      <c r="P48" s="25">
        <v>8925</v>
      </c>
      <c r="Q48" s="15">
        <v>4</v>
      </c>
      <c r="R48" s="15" t="s">
        <v>88</v>
      </c>
      <c r="S48" s="15" t="s">
        <v>115</v>
      </c>
      <c r="T48" s="15" t="s">
        <v>348</v>
      </c>
      <c r="U48" s="15">
        <v>9856624471</v>
      </c>
      <c r="V48" s="15" t="s">
        <v>38</v>
      </c>
      <c r="W48" s="29" t="str" cm="1">
        <f t="array" ref="W48">_xlfn.IFS(OR(V48="Cancelled", Q48&lt;=2), "Blacklisted", AND(P48&gt;=100000, Q48&gt;=4, O48&lt;=0.1, V48="Completed"), "Platinum", AND(P48&gt;=50000, P48&lt;=99999, Q48&gt;=3, V48="Completed"), "Gold", AND(Q48&lt;50000, V48="Completed"), "Silver", V48="Pending", "Pending")</f>
        <v>Silver</v>
      </c>
    </row>
    <row r="49" spans="1:23" x14ac:dyDescent="0.5">
      <c r="A49" s="17" t="s">
        <v>350</v>
      </c>
      <c r="B49" s="17" t="s">
        <v>251</v>
      </c>
      <c r="C49" s="17" t="s">
        <v>184</v>
      </c>
      <c r="D49" s="17" t="s">
        <v>351</v>
      </c>
      <c r="E49" s="17" t="s">
        <v>352</v>
      </c>
      <c r="F49" s="15" t="s">
        <v>254</v>
      </c>
      <c r="G49" s="17" t="s">
        <v>28</v>
      </c>
      <c r="H49" s="17" t="s">
        <v>353</v>
      </c>
      <c r="I49" s="17" t="s">
        <v>212</v>
      </c>
      <c r="J49" s="17" t="s">
        <v>45</v>
      </c>
      <c r="K49" s="17" t="s">
        <v>46</v>
      </c>
      <c r="L49" s="17" t="s">
        <v>189</v>
      </c>
      <c r="M49" s="17">
        <v>19</v>
      </c>
      <c r="N49" s="26">
        <v>700</v>
      </c>
      <c r="O49" s="17">
        <v>20</v>
      </c>
      <c r="P49" s="26">
        <v>10640</v>
      </c>
      <c r="Q49" s="17">
        <v>1</v>
      </c>
      <c r="R49" s="17" t="s">
        <v>34</v>
      </c>
      <c r="S49" s="17" t="s">
        <v>115</v>
      </c>
      <c r="T49" s="17" t="s">
        <v>256</v>
      </c>
      <c r="U49" s="17">
        <v>9238141322</v>
      </c>
      <c r="V49" s="17" t="s">
        <v>38</v>
      </c>
      <c r="W49" s="29" t="str" cm="1">
        <f t="array" ref="W49">_xlfn.IFS(OR(V49="Cancelled", Q49&lt;=2), "Blacklisted", AND(P49&gt;=100000, Q49&gt;=4, O49&lt;=0.1, V49="Completed"), "Platinum", AND(P49&gt;=50000, P49&lt;=99999, Q49&gt;=3, V49="Completed"), "Gold", AND(Q49&lt;50000, V49="Completed"), "Silver", V49="Pending", "Pending")</f>
        <v>Blacklisted</v>
      </c>
    </row>
    <row r="50" spans="1:23" x14ac:dyDescent="0.5">
      <c r="A50" s="15" t="s">
        <v>355</v>
      </c>
      <c r="B50" s="15" t="s">
        <v>71</v>
      </c>
      <c r="C50" s="15" t="s">
        <v>40</v>
      </c>
      <c r="D50" s="15" t="s">
        <v>356</v>
      </c>
      <c r="E50" s="19" t="s">
        <v>2109</v>
      </c>
      <c r="F50" s="15" t="s">
        <v>217</v>
      </c>
      <c r="G50" s="15" t="s">
        <v>76</v>
      </c>
      <c r="H50" s="15" t="s">
        <v>357</v>
      </c>
      <c r="I50" s="15" t="s">
        <v>44</v>
      </c>
      <c r="J50" s="15" t="s">
        <v>45</v>
      </c>
      <c r="K50" s="15" t="s">
        <v>46</v>
      </c>
      <c r="L50" s="15" t="s">
        <v>47</v>
      </c>
      <c r="M50" s="15">
        <v>19</v>
      </c>
      <c r="N50" s="25">
        <v>12000</v>
      </c>
      <c r="O50" s="15">
        <v>0</v>
      </c>
      <c r="P50" s="25">
        <v>228000</v>
      </c>
      <c r="Q50" s="15">
        <v>1</v>
      </c>
      <c r="R50" s="15" t="s">
        <v>48</v>
      </c>
      <c r="S50" s="15" t="s">
        <v>61</v>
      </c>
      <c r="T50" s="15" t="s">
        <v>80</v>
      </c>
      <c r="U50" s="15">
        <v>9890380030</v>
      </c>
      <c r="V50" s="15" t="s">
        <v>38</v>
      </c>
      <c r="W50" s="29" t="str" cm="1">
        <f t="array" ref="W50">_xlfn.IFS(OR(V50="Cancelled", Q50&lt;=2), "Blacklisted", AND(P50&gt;=100000, Q50&gt;=4, O50&lt;=0.1, V50="Completed"), "Platinum", AND(P50&gt;=50000, P50&lt;=99999, Q50&gt;=3, V50="Completed"), "Gold", AND(Q50&lt;50000, V50="Completed"), "Silver", V50="Pending", "Pending")</f>
        <v>Blacklisted</v>
      </c>
    </row>
    <row r="51" spans="1:23" x14ac:dyDescent="0.5">
      <c r="A51" s="17" t="s">
        <v>359</v>
      </c>
      <c r="B51" s="17" t="s">
        <v>168</v>
      </c>
      <c r="C51" s="17" t="s">
        <v>72</v>
      </c>
      <c r="D51" s="17" t="s">
        <v>356</v>
      </c>
      <c r="E51" s="17" t="s">
        <v>360</v>
      </c>
      <c r="F51" s="15" t="s">
        <v>361</v>
      </c>
      <c r="G51" s="17" t="s">
        <v>28</v>
      </c>
      <c r="H51" s="17" t="s">
        <v>362</v>
      </c>
      <c r="I51" s="17" t="s">
        <v>114</v>
      </c>
      <c r="J51" s="17" t="s">
        <v>106</v>
      </c>
      <c r="K51" s="17" t="s">
        <v>46</v>
      </c>
      <c r="L51" s="17" t="s">
        <v>78</v>
      </c>
      <c r="M51" s="17">
        <v>6</v>
      </c>
      <c r="N51" s="26">
        <v>1200</v>
      </c>
      <c r="O51" s="17">
        <v>5</v>
      </c>
      <c r="P51" s="26">
        <v>6840</v>
      </c>
      <c r="Q51" s="17">
        <v>2</v>
      </c>
      <c r="R51" s="17" t="s">
        <v>34</v>
      </c>
      <c r="S51" s="17" t="s">
        <v>35</v>
      </c>
      <c r="T51" s="17" t="s">
        <v>175</v>
      </c>
      <c r="U51" s="17">
        <v>9495893170</v>
      </c>
      <c r="V51" s="17" t="s">
        <v>64</v>
      </c>
      <c r="W51" s="29" t="str" cm="1">
        <f t="array" ref="W51">_xlfn.IFS(OR(V51="Cancelled", Q51&lt;=2), "Blacklisted", AND(P51&gt;=100000, Q51&gt;=4, O51&lt;=0.1, V51="Completed"), "Platinum", AND(P51&gt;=50000, P51&lt;=99999, Q51&gt;=3, V51="Completed"), "Gold", AND(Q51&lt;50000, V51="Completed"), "Silver", V51="Pending", "Pending")</f>
        <v>Blacklisted</v>
      </c>
    </row>
    <row r="52" spans="1:23" x14ac:dyDescent="0.5">
      <c r="A52" s="15" t="s">
        <v>364</v>
      </c>
      <c r="B52" s="15" t="s">
        <v>53</v>
      </c>
      <c r="C52" s="15" t="s">
        <v>24</v>
      </c>
      <c r="D52" s="15" t="s">
        <v>365</v>
      </c>
      <c r="E52" s="15" t="s">
        <v>366</v>
      </c>
      <c r="F52" s="15" t="s">
        <v>163</v>
      </c>
      <c r="G52" s="15" t="s">
        <v>28</v>
      </c>
      <c r="H52" s="15" t="s">
        <v>368</v>
      </c>
      <c r="I52" s="15" t="s">
        <v>59</v>
      </c>
      <c r="J52" s="15" t="s">
        <v>31</v>
      </c>
      <c r="K52" s="15" t="s">
        <v>32</v>
      </c>
      <c r="L52" s="15" t="s">
        <v>33</v>
      </c>
      <c r="M52" s="15">
        <v>7</v>
      </c>
      <c r="N52" s="25">
        <v>2200</v>
      </c>
      <c r="O52" s="15">
        <v>15</v>
      </c>
      <c r="P52" s="25">
        <v>13090</v>
      </c>
      <c r="Q52" s="15">
        <v>1</v>
      </c>
      <c r="R52" s="15" t="s">
        <v>88</v>
      </c>
      <c r="S52" s="15" t="s">
        <v>61</v>
      </c>
      <c r="T52" s="15" t="s">
        <v>62</v>
      </c>
      <c r="U52" s="15">
        <v>9485166307</v>
      </c>
      <c r="V52" s="15" t="s">
        <v>38</v>
      </c>
      <c r="W52" s="29" t="str" cm="1">
        <f t="array" ref="W52">_xlfn.IFS(OR(V52="Cancelled", Q52&lt;=2), "Blacklisted", AND(P52&gt;=100000, Q52&gt;=4, O52&lt;=0.1, V52="Completed"), "Platinum", AND(P52&gt;=50000, P52&lt;=99999, Q52&gt;=3, V52="Completed"), "Gold", AND(Q52&lt;50000, V52="Completed"), "Silver", V52="Pending", "Pending")</f>
        <v>Blacklisted</v>
      </c>
    </row>
    <row r="53" spans="1:23" x14ac:dyDescent="0.5">
      <c r="A53" s="17" t="s">
        <v>370</v>
      </c>
      <c r="B53" s="17" t="s">
        <v>100</v>
      </c>
      <c r="C53" s="17" t="s">
        <v>118</v>
      </c>
      <c r="D53" s="17" t="s">
        <v>371</v>
      </c>
      <c r="E53" s="17" t="s">
        <v>372</v>
      </c>
      <c r="F53" s="15" t="s">
        <v>103</v>
      </c>
      <c r="G53" s="17" t="s">
        <v>28</v>
      </c>
      <c r="H53" s="17" t="s">
        <v>373</v>
      </c>
      <c r="I53" s="17" t="s">
        <v>212</v>
      </c>
      <c r="J53" s="17" t="s">
        <v>45</v>
      </c>
      <c r="K53" s="17" t="s">
        <v>122</v>
      </c>
      <c r="L53" s="17" t="s">
        <v>123</v>
      </c>
      <c r="M53" s="17">
        <v>8</v>
      </c>
      <c r="N53" s="26">
        <v>60</v>
      </c>
      <c r="O53" s="17">
        <v>10</v>
      </c>
      <c r="P53" s="26">
        <v>432</v>
      </c>
      <c r="Q53" s="17">
        <v>5</v>
      </c>
      <c r="R53" s="17" t="s">
        <v>79</v>
      </c>
      <c r="S53" s="17" t="s">
        <v>61</v>
      </c>
      <c r="T53" s="17" t="s">
        <v>144</v>
      </c>
      <c r="U53" s="17">
        <v>9924709648</v>
      </c>
      <c r="V53" s="17" t="s">
        <v>69</v>
      </c>
      <c r="W53" s="29" t="str" cm="1">
        <f t="array" ref="W53">_xlfn.IFS(OR(V53="Cancelled", Q53&lt;=2), "Blacklisted", AND(P53&gt;=100000, Q53&gt;=4, O53&lt;=0.1, V53="Completed"), "Platinum", AND(P53&gt;=50000, P53&lt;=99999, Q53&gt;=3, V53="Completed"), "Gold", AND(Q53&lt;50000, V53="Completed"), "Silver", V53="Pending", "Pending")</f>
        <v>Blacklisted</v>
      </c>
    </row>
    <row r="54" spans="1:23" x14ac:dyDescent="0.5">
      <c r="A54" s="15" t="s">
        <v>375</v>
      </c>
      <c r="B54" s="15" t="s">
        <v>221</v>
      </c>
      <c r="C54" s="15" t="s">
        <v>54</v>
      </c>
      <c r="D54" s="15" t="s">
        <v>376</v>
      </c>
      <c r="E54" s="15" t="s">
        <v>377</v>
      </c>
      <c r="F54" s="15" t="s">
        <v>225</v>
      </c>
      <c r="G54" s="15" t="s">
        <v>76</v>
      </c>
      <c r="H54" s="15" t="s">
        <v>378</v>
      </c>
      <c r="I54" s="15" t="s">
        <v>294</v>
      </c>
      <c r="J54" s="15" t="s">
        <v>295</v>
      </c>
      <c r="K54" s="15" t="s">
        <v>46</v>
      </c>
      <c r="L54" s="15" t="s">
        <v>60</v>
      </c>
      <c r="M54" s="15">
        <v>12</v>
      </c>
      <c r="N54" s="25">
        <v>55000</v>
      </c>
      <c r="O54" s="15">
        <v>5</v>
      </c>
      <c r="P54" s="25">
        <v>627000</v>
      </c>
      <c r="Q54" s="15">
        <v>2</v>
      </c>
      <c r="R54" s="15" t="s">
        <v>88</v>
      </c>
      <c r="S54" s="15" t="s">
        <v>49</v>
      </c>
      <c r="T54" s="15" t="s">
        <v>228</v>
      </c>
      <c r="U54" s="15">
        <v>9350554626</v>
      </c>
      <c r="V54" s="15" t="s">
        <v>64</v>
      </c>
      <c r="W54" s="29" t="str" cm="1">
        <f t="array" ref="W54">_xlfn.IFS(OR(V54="Cancelled", Q54&lt;=2), "Blacklisted", AND(P54&gt;=100000, Q54&gt;=4, O54&lt;=0.1, V54="Completed"), "Platinum", AND(P54&gt;=50000, P54&lt;=99999, Q54&gt;=3, V54="Completed"), "Gold", AND(Q54&lt;50000, V54="Completed"), "Silver", V54="Pending", "Pending")</f>
        <v>Blacklisted</v>
      </c>
    </row>
    <row r="55" spans="1:23" x14ac:dyDescent="0.5">
      <c r="A55" s="17" t="s">
        <v>380</v>
      </c>
      <c r="B55" s="17" t="s">
        <v>23</v>
      </c>
      <c r="C55" s="17" t="s">
        <v>184</v>
      </c>
      <c r="D55" s="17" t="s">
        <v>381</v>
      </c>
      <c r="E55" s="17" t="s">
        <v>382</v>
      </c>
      <c r="F55" s="15" t="s">
        <v>27</v>
      </c>
      <c r="G55" s="17" t="s">
        <v>28</v>
      </c>
      <c r="H55" s="17" t="s">
        <v>383</v>
      </c>
      <c r="I55" s="17" t="s">
        <v>212</v>
      </c>
      <c r="J55" s="17" t="s">
        <v>45</v>
      </c>
      <c r="K55" s="17" t="s">
        <v>46</v>
      </c>
      <c r="L55" s="17" t="s">
        <v>189</v>
      </c>
      <c r="M55" s="17">
        <v>3</v>
      </c>
      <c r="N55" s="26">
        <v>700</v>
      </c>
      <c r="O55" s="17">
        <v>0</v>
      </c>
      <c r="P55" s="26">
        <v>2100</v>
      </c>
      <c r="Q55" s="17">
        <v>3</v>
      </c>
      <c r="R55" s="17" t="s">
        <v>79</v>
      </c>
      <c r="S55" s="17" t="s">
        <v>151</v>
      </c>
      <c r="T55" s="17" t="s">
        <v>50</v>
      </c>
      <c r="U55" s="17">
        <v>9743295580</v>
      </c>
      <c r="V55" s="17" t="s">
        <v>69</v>
      </c>
      <c r="W55" s="29" t="str" cm="1">
        <f t="array" ref="W55">_xlfn.IFS(OR(V55="Cancelled", Q55&lt;=2), "Blacklisted", AND(P55&gt;=100000, Q55&gt;=4, O55&lt;=0.1, V55="Completed"), "Platinum", AND(P55&gt;=50000, P55&lt;=99999, Q55&gt;=3, V55="Completed"), "Gold", AND(Q55&lt;50000, V55="Completed"), "Silver", V55="Pending", "Pending")</f>
        <v>Blacklisted</v>
      </c>
    </row>
    <row r="56" spans="1:23" x14ac:dyDescent="0.5">
      <c r="A56" s="15" t="s">
        <v>385</v>
      </c>
      <c r="B56" s="15" t="s">
        <v>127</v>
      </c>
      <c r="C56" s="15" t="s">
        <v>118</v>
      </c>
      <c r="D56" s="15" t="s">
        <v>386</v>
      </c>
      <c r="E56" s="15" t="s">
        <v>387</v>
      </c>
      <c r="F56" s="15" t="s">
        <v>200</v>
      </c>
      <c r="G56" s="15" t="s">
        <v>76</v>
      </c>
      <c r="H56" s="15" t="s">
        <v>389</v>
      </c>
      <c r="I56" s="15" t="s">
        <v>138</v>
      </c>
      <c r="J56" s="15" t="s">
        <v>106</v>
      </c>
      <c r="K56" s="15" t="s">
        <v>122</v>
      </c>
      <c r="L56" s="15" t="s">
        <v>123</v>
      </c>
      <c r="M56" s="15">
        <v>19</v>
      </c>
      <c r="N56" s="25">
        <v>60</v>
      </c>
      <c r="O56" s="15">
        <v>15</v>
      </c>
      <c r="P56" s="25">
        <v>969</v>
      </c>
      <c r="Q56" s="15">
        <v>4</v>
      </c>
      <c r="R56" s="15" t="s">
        <v>79</v>
      </c>
      <c r="S56" s="15" t="s">
        <v>49</v>
      </c>
      <c r="T56" s="15" t="s">
        <v>132</v>
      </c>
      <c r="U56" s="15">
        <v>9822926495</v>
      </c>
      <c r="V56" s="15" t="s">
        <v>69</v>
      </c>
      <c r="W56" s="29" t="str" cm="1">
        <f t="array" ref="W56">_xlfn.IFS(OR(V56="Cancelled", Q56&lt;=2), "Blacklisted", AND(P56&gt;=100000, Q56&gt;=4, O56&lt;=0.1, V56="Completed"), "Platinum", AND(P56&gt;=50000, P56&lt;=99999, Q56&gt;=3, V56="Completed"), "Gold", AND(Q56&lt;50000, V56="Completed"), "Silver", V56="Pending", "Pending")</f>
        <v>Blacklisted</v>
      </c>
    </row>
    <row r="57" spans="1:23" x14ac:dyDescent="0.5">
      <c r="A57" s="17" t="s">
        <v>391</v>
      </c>
      <c r="B57" s="17" t="s">
        <v>327</v>
      </c>
      <c r="C57" s="17" t="s">
        <v>118</v>
      </c>
      <c r="D57" s="17" t="s">
        <v>392</v>
      </c>
      <c r="E57" s="17" t="s">
        <v>393</v>
      </c>
      <c r="F57" s="15" t="s">
        <v>394</v>
      </c>
      <c r="G57" s="17" t="s">
        <v>76</v>
      </c>
      <c r="H57" s="17" t="s">
        <v>395</v>
      </c>
      <c r="I57" s="17" t="s">
        <v>212</v>
      </c>
      <c r="J57" s="17" t="s">
        <v>45</v>
      </c>
      <c r="K57" s="17" t="s">
        <v>122</v>
      </c>
      <c r="L57" s="17" t="s">
        <v>123</v>
      </c>
      <c r="M57" s="17">
        <v>9</v>
      </c>
      <c r="N57" s="26">
        <v>60</v>
      </c>
      <c r="O57" s="17">
        <v>20</v>
      </c>
      <c r="P57" s="26">
        <v>432</v>
      </c>
      <c r="Q57" s="17">
        <v>1</v>
      </c>
      <c r="R57" s="17" t="s">
        <v>48</v>
      </c>
      <c r="S57" s="17" t="s">
        <v>115</v>
      </c>
      <c r="T57" s="17" t="s">
        <v>332</v>
      </c>
      <c r="U57" s="17">
        <v>9518298190</v>
      </c>
      <c r="V57" s="17" t="s">
        <v>64</v>
      </c>
      <c r="W57" s="29" t="str" cm="1">
        <f t="array" ref="W57">_xlfn.IFS(OR(V57="Cancelled", Q57&lt;=2), "Blacklisted", AND(P57&gt;=100000, Q57&gt;=4, O57&lt;=0.1, V57="Completed"), "Platinum", AND(P57&gt;=50000, P57&lt;=99999, Q57&gt;=3, V57="Completed"), "Gold", AND(Q57&lt;50000, V57="Completed"), "Silver", V57="Pending", "Pending")</f>
        <v>Blacklisted</v>
      </c>
    </row>
    <row r="58" spans="1:23" x14ac:dyDescent="0.5">
      <c r="A58" s="15" t="s">
        <v>397</v>
      </c>
      <c r="B58" s="15" t="s">
        <v>327</v>
      </c>
      <c r="C58" s="15" t="s">
        <v>184</v>
      </c>
      <c r="D58" s="15" t="s">
        <v>398</v>
      </c>
      <c r="E58" s="15" t="s">
        <v>399</v>
      </c>
      <c r="F58" s="15" t="s">
        <v>394</v>
      </c>
      <c r="G58" s="15" t="s">
        <v>76</v>
      </c>
      <c r="H58" s="15" t="s">
        <v>400</v>
      </c>
      <c r="I58" s="15" t="s">
        <v>59</v>
      </c>
      <c r="J58" s="15" t="s">
        <v>31</v>
      </c>
      <c r="K58" s="15" t="s">
        <v>46</v>
      </c>
      <c r="L58" s="15" t="s">
        <v>189</v>
      </c>
      <c r="M58" s="15">
        <v>6</v>
      </c>
      <c r="N58" s="25">
        <v>700</v>
      </c>
      <c r="O58" s="15">
        <v>0</v>
      </c>
      <c r="P58" s="25">
        <v>4200</v>
      </c>
      <c r="Q58" s="15">
        <v>4</v>
      </c>
      <c r="R58" s="15" t="s">
        <v>88</v>
      </c>
      <c r="S58" s="15" t="s">
        <v>49</v>
      </c>
      <c r="T58" s="15" t="s">
        <v>401</v>
      </c>
      <c r="U58" s="15">
        <v>9366223547</v>
      </c>
      <c r="V58" s="15" t="s">
        <v>69</v>
      </c>
      <c r="W58" s="29" t="str" cm="1">
        <f t="array" ref="W58">_xlfn.IFS(OR(V58="Cancelled", Q58&lt;=2), "Blacklisted", AND(P58&gt;=100000, Q58&gt;=4, O58&lt;=0.1, V58="Completed"), "Platinum", AND(P58&gt;=50000, P58&lt;=99999, Q58&gt;=3, V58="Completed"), "Gold", AND(Q58&lt;50000, V58="Completed"), "Silver", V58="Pending", "Pending")</f>
        <v>Blacklisted</v>
      </c>
    </row>
    <row r="59" spans="1:23" x14ac:dyDescent="0.5">
      <c r="A59" s="17" t="s">
        <v>403</v>
      </c>
      <c r="B59" s="17" t="s">
        <v>127</v>
      </c>
      <c r="C59" s="17" t="s">
        <v>259</v>
      </c>
      <c r="D59" s="17" t="s">
        <v>241</v>
      </c>
      <c r="E59" s="17" t="s">
        <v>404</v>
      </c>
      <c r="F59" s="15" t="s">
        <v>200</v>
      </c>
      <c r="G59" s="17" t="s">
        <v>76</v>
      </c>
      <c r="H59" s="17" t="s">
        <v>405</v>
      </c>
      <c r="I59" s="17" t="s">
        <v>44</v>
      </c>
      <c r="J59" s="17" t="s">
        <v>45</v>
      </c>
      <c r="K59" s="17" t="s">
        <v>122</v>
      </c>
      <c r="L59" s="17" t="s">
        <v>263</v>
      </c>
      <c r="M59" s="17">
        <v>18</v>
      </c>
      <c r="N59" s="26">
        <v>45</v>
      </c>
      <c r="O59" s="17">
        <v>5</v>
      </c>
      <c r="P59" s="26">
        <v>769.5</v>
      </c>
      <c r="Q59" s="17">
        <v>1</v>
      </c>
      <c r="R59" s="17" t="s">
        <v>79</v>
      </c>
      <c r="S59" s="17" t="s">
        <v>61</v>
      </c>
      <c r="T59" s="17" t="s">
        <v>132</v>
      </c>
      <c r="U59" s="17">
        <v>9701988524</v>
      </c>
      <c r="V59" s="17" t="s">
        <v>64</v>
      </c>
      <c r="W59" s="29" t="str" cm="1">
        <f t="array" ref="W59">_xlfn.IFS(OR(V59="Cancelled", Q59&lt;=2), "Blacklisted", AND(P59&gt;=100000, Q59&gt;=4, O59&lt;=0.1, V59="Completed"), "Platinum", AND(P59&gt;=50000, P59&lt;=99999, Q59&gt;=3, V59="Completed"), "Gold", AND(Q59&lt;50000, V59="Completed"), "Silver", V59="Pending", "Pending")</f>
        <v>Blacklisted</v>
      </c>
    </row>
    <row r="60" spans="1:23" x14ac:dyDescent="0.5">
      <c r="A60" s="15" t="s">
        <v>407</v>
      </c>
      <c r="B60" s="15" t="s">
        <v>83</v>
      </c>
      <c r="C60" s="15" t="s">
        <v>222</v>
      </c>
      <c r="D60" s="15" t="s">
        <v>408</v>
      </c>
      <c r="E60" s="15" t="s">
        <v>261</v>
      </c>
      <c r="F60" s="15" t="s">
        <v>180</v>
      </c>
      <c r="G60" s="15" t="s">
        <v>76</v>
      </c>
      <c r="H60" s="15" t="s">
        <v>409</v>
      </c>
      <c r="I60" s="15" t="s">
        <v>212</v>
      </c>
      <c r="J60" s="15" t="s">
        <v>45</v>
      </c>
      <c r="K60" s="15" t="s">
        <v>122</v>
      </c>
      <c r="L60" s="15" t="s">
        <v>227</v>
      </c>
      <c r="M60" s="15">
        <v>8</v>
      </c>
      <c r="N60" s="25">
        <v>20</v>
      </c>
      <c r="O60" s="15">
        <v>5</v>
      </c>
      <c r="P60" s="25">
        <v>152</v>
      </c>
      <c r="Q60" s="15">
        <v>1</v>
      </c>
      <c r="R60" s="15" t="s">
        <v>79</v>
      </c>
      <c r="S60" s="15" t="s">
        <v>35</v>
      </c>
      <c r="T60" s="15" t="s">
        <v>89</v>
      </c>
      <c r="U60" s="15">
        <v>9836327649</v>
      </c>
      <c r="V60" s="15" t="s">
        <v>411</v>
      </c>
      <c r="W60" s="29" t="str" cm="1">
        <f t="array" ref="W60">_xlfn.IFS(OR(V60="Cancelled", Q60&lt;=2), "Blacklisted", AND(P60&gt;=100000, Q60&gt;=4, O60&lt;=0.1, V60="Completed"), "Platinum", AND(P60&gt;=50000, P60&lt;=99999, Q60&gt;=3, V60="Completed"), "Gold", AND(Q60&lt;50000, V60="Completed"), "Silver", V60="Pending", "Pending")</f>
        <v>Blacklisted</v>
      </c>
    </row>
    <row r="61" spans="1:23" x14ac:dyDescent="0.5">
      <c r="A61" s="17" t="s">
        <v>412</v>
      </c>
      <c r="B61" s="17" t="s">
        <v>221</v>
      </c>
      <c r="C61" s="17" t="s">
        <v>184</v>
      </c>
      <c r="D61" s="17" t="s">
        <v>413</v>
      </c>
      <c r="E61" s="17" t="s">
        <v>414</v>
      </c>
      <c r="F61" s="15" t="s">
        <v>225</v>
      </c>
      <c r="G61" s="17" t="s">
        <v>76</v>
      </c>
      <c r="H61" s="17" t="s">
        <v>415</v>
      </c>
      <c r="I61" s="17" t="s">
        <v>212</v>
      </c>
      <c r="J61" s="17" t="s">
        <v>45</v>
      </c>
      <c r="K61" s="17" t="s">
        <v>46</v>
      </c>
      <c r="L61" s="17" t="s">
        <v>189</v>
      </c>
      <c r="M61" s="17">
        <v>8</v>
      </c>
      <c r="N61" s="26">
        <v>700</v>
      </c>
      <c r="O61" s="17">
        <v>10</v>
      </c>
      <c r="P61" s="26">
        <v>5040</v>
      </c>
      <c r="Q61" s="17">
        <v>1</v>
      </c>
      <c r="R61" s="17" t="s">
        <v>48</v>
      </c>
      <c r="S61" s="17" t="s">
        <v>61</v>
      </c>
      <c r="T61" s="18" t="s">
        <v>416</v>
      </c>
      <c r="U61" s="17">
        <v>9261800516</v>
      </c>
      <c r="V61" s="17" t="s">
        <v>69</v>
      </c>
      <c r="W61" s="29" t="str" cm="1">
        <f t="array" ref="W61">_xlfn.IFS(OR(V61="Cancelled", Q61&lt;=2), "Blacklisted", AND(P61&gt;=100000, Q61&gt;=4, O61&lt;=0.1, V61="Completed"), "Platinum", AND(P61&gt;=50000, P61&lt;=99999, Q61&gt;=3, V61="Completed"), "Gold", AND(Q61&lt;50000, V61="Completed"), "Silver", V61="Pending", "Pending")</f>
        <v>Blacklisted</v>
      </c>
    </row>
    <row r="62" spans="1:23" x14ac:dyDescent="0.5">
      <c r="A62" s="15" t="s">
        <v>418</v>
      </c>
      <c r="B62" s="15" t="s">
        <v>23</v>
      </c>
      <c r="C62" s="15" t="s">
        <v>222</v>
      </c>
      <c r="D62" s="15" t="s">
        <v>223</v>
      </c>
      <c r="E62" s="15" t="s">
        <v>356</v>
      </c>
      <c r="F62" s="15" t="s">
        <v>27</v>
      </c>
      <c r="G62" s="15" t="s">
        <v>28</v>
      </c>
      <c r="H62" s="15" t="s">
        <v>419</v>
      </c>
      <c r="I62" s="15" t="s">
        <v>44</v>
      </c>
      <c r="J62" s="15" t="s">
        <v>45</v>
      </c>
      <c r="K62" s="15" t="s">
        <v>122</v>
      </c>
      <c r="L62" s="15" t="s">
        <v>227</v>
      </c>
      <c r="M62" s="15">
        <v>7</v>
      </c>
      <c r="N62" s="25">
        <v>20</v>
      </c>
      <c r="O62" s="15">
        <v>15</v>
      </c>
      <c r="P62" s="25">
        <v>119</v>
      </c>
      <c r="Q62" s="15">
        <v>5</v>
      </c>
      <c r="R62" s="15" t="s">
        <v>79</v>
      </c>
      <c r="S62" s="15" t="s">
        <v>49</v>
      </c>
      <c r="T62" s="15" t="s">
        <v>50</v>
      </c>
      <c r="U62" s="15">
        <v>9950802015</v>
      </c>
      <c r="V62" s="15" t="s">
        <v>38</v>
      </c>
      <c r="W62" s="29" t="str" cm="1">
        <f t="array" ref="W62">_xlfn.IFS(OR(V62="Cancelled", Q62&lt;=2), "Blacklisted", AND(P62&gt;=100000, Q62&gt;=4, O62&lt;=0.1, V62="Completed"), "Platinum", AND(P62&gt;=50000, P62&lt;=99999, Q62&gt;=3, V62="Completed"), "Gold", AND(Q62&lt;50000, V62="Completed"), "Silver", V62="Pending", "Pending")</f>
        <v>Silver</v>
      </c>
    </row>
    <row r="63" spans="1:23" x14ac:dyDescent="0.5">
      <c r="A63" s="17" t="s">
        <v>421</v>
      </c>
      <c r="B63" s="17" t="s">
        <v>100</v>
      </c>
      <c r="C63" s="17" t="s">
        <v>222</v>
      </c>
      <c r="D63" s="17" t="s">
        <v>422</v>
      </c>
      <c r="E63" s="17" t="s">
        <v>371</v>
      </c>
      <c r="F63" s="15" t="s">
        <v>103</v>
      </c>
      <c r="G63" s="17" t="s">
        <v>28</v>
      </c>
      <c r="H63" s="17" t="s">
        <v>423</v>
      </c>
      <c r="I63" s="17" t="s">
        <v>114</v>
      </c>
      <c r="J63" s="17" t="s">
        <v>106</v>
      </c>
      <c r="K63" s="17" t="s">
        <v>122</v>
      </c>
      <c r="L63" s="17" t="s">
        <v>227</v>
      </c>
      <c r="M63" s="17">
        <v>16</v>
      </c>
      <c r="N63" s="26">
        <v>20</v>
      </c>
      <c r="O63" s="17">
        <v>0</v>
      </c>
      <c r="P63" s="26">
        <v>320</v>
      </c>
      <c r="Q63" s="17">
        <v>5</v>
      </c>
      <c r="R63" s="17" t="s">
        <v>48</v>
      </c>
      <c r="S63" s="17" t="s">
        <v>61</v>
      </c>
      <c r="T63" s="17" t="s">
        <v>144</v>
      </c>
      <c r="U63" s="17">
        <v>9595183767</v>
      </c>
      <c r="V63" s="17" t="s">
        <v>64</v>
      </c>
      <c r="W63" s="29" t="str" cm="1">
        <f t="array" ref="W63">_xlfn.IFS(OR(V63="Cancelled", Q63&lt;=2), "Blacklisted", AND(P63&gt;=100000, Q63&gt;=4, O63&lt;=0.1, V63="Completed"), "Platinum", AND(P63&gt;=50000, P63&lt;=99999, Q63&gt;=3, V63="Completed"), "Gold", AND(Q63&lt;50000, V63="Completed"), "Silver", V63="Pending", "Pending")</f>
        <v>Pending</v>
      </c>
    </row>
    <row r="64" spans="1:23" x14ac:dyDescent="0.5">
      <c r="A64" s="15" t="s">
        <v>425</v>
      </c>
      <c r="B64" s="15" t="s">
        <v>53</v>
      </c>
      <c r="C64" s="15" t="s">
        <v>259</v>
      </c>
      <c r="D64" s="15" t="s">
        <v>426</v>
      </c>
      <c r="E64" s="15" t="s">
        <v>427</v>
      </c>
      <c r="F64" s="15" t="s">
        <v>163</v>
      </c>
      <c r="G64" s="15" t="s">
        <v>28</v>
      </c>
      <c r="H64" s="15" t="s">
        <v>428</v>
      </c>
      <c r="I64" s="15" t="s">
        <v>105</v>
      </c>
      <c r="J64" s="15" t="s">
        <v>106</v>
      </c>
      <c r="K64" s="15" t="s">
        <v>122</v>
      </c>
      <c r="L64" s="15" t="s">
        <v>263</v>
      </c>
      <c r="M64" s="15">
        <v>15</v>
      </c>
      <c r="N64" s="25">
        <v>45</v>
      </c>
      <c r="O64" s="15">
        <v>0</v>
      </c>
      <c r="P64" s="25">
        <v>675</v>
      </c>
      <c r="Q64" s="15">
        <v>4</v>
      </c>
      <c r="R64" s="15" t="s">
        <v>34</v>
      </c>
      <c r="S64" s="15" t="s">
        <v>61</v>
      </c>
      <c r="T64" s="15" t="s">
        <v>62</v>
      </c>
      <c r="U64" s="15">
        <v>9560201307</v>
      </c>
      <c r="V64" s="15" t="s">
        <v>69</v>
      </c>
      <c r="W64" s="29" t="str" cm="1">
        <f t="array" ref="W64">_xlfn.IFS(OR(V64="Cancelled", Q64&lt;=2), "Blacklisted", AND(P64&gt;=100000, Q64&gt;=4, O64&lt;=0.1, V64="Completed"), "Platinum", AND(P64&gt;=50000, P64&lt;=99999, Q64&gt;=3, V64="Completed"), "Gold", AND(Q64&lt;50000, V64="Completed"), "Silver", V64="Pending", "Pending")</f>
        <v>Blacklisted</v>
      </c>
    </row>
    <row r="65" spans="1:23" x14ac:dyDescent="0.5">
      <c r="A65" s="17" t="s">
        <v>430</v>
      </c>
      <c r="B65" s="17" t="s">
        <v>251</v>
      </c>
      <c r="C65" s="17" t="s">
        <v>184</v>
      </c>
      <c r="D65" s="17" t="s">
        <v>431</v>
      </c>
      <c r="E65" s="17" t="s">
        <v>413</v>
      </c>
      <c r="F65" s="15" t="s">
        <v>254</v>
      </c>
      <c r="G65" s="17" t="s">
        <v>28</v>
      </c>
      <c r="H65" s="17" t="s">
        <v>432</v>
      </c>
      <c r="I65" s="17" t="s">
        <v>138</v>
      </c>
      <c r="J65" s="17" t="s">
        <v>106</v>
      </c>
      <c r="K65" s="17" t="s">
        <v>46</v>
      </c>
      <c r="L65" s="17" t="s">
        <v>189</v>
      </c>
      <c r="M65" s="17">
        <v>15</v>
      </c>
      <c r="N65" s="26">
        <v>700</v>
      </c>
      <c r="O65" s="17">
        <v>10</v>
      </c>
      <c r="P65" s="26">
        <v>9450</v>
      </c>
      <c r="Q65" s="17">
        <v>3</v>
      </c>
      <c r="R65" s="17" t="s">
        <v>48</v>
      </c>
      <c r="S65" s="17" t="s">
        <v>151</v>
      </c>
      <c r="T65" s="17" t="s">
        <v>256</v>
      </c>
      <c r="U65" s="17">
        <v>9826484650</v>
      </c>
      <c r="V65" s="17" t="s">
        <v>38</v>
      </c>
      <c r="W65" s="29" t="str" cm="1">
        <f t="array" ref="W65">_xlfn.IFS(OR(V65="Cancelled", Q65&lt;=2), "Blacklisted", AND(P65&gt;=100000, Q65&gt;=4, O65&lt;=0.1, V65="Completed"), "Platinum", AND(P65&gt;=50000, P65&lt;=99999, Q65&gt;=3, V65="Completed"), "Gold", AND(Q65&lt;50000, V65="Completed"), "Silver", V65="Pending", "Pending")</f>
        <v>Silver</v>
      </c>
    </row>
    <row r="66" spans="1:23" x14ac:dyDescent="0.5">
      <c r="A66" s="15" t="s">
        <v>434</v>
      </c>
      <c r="B66" s="15" t="s">
        <v>53</v>
      </c>
      <c r="C66" s="15" t="s">
        <v>259</v>
      </c>
      <c r="D66" s="15" t="s">
        <v>435</v>
      </c>
      <c r="E66" s="15" t="s">
        <v>436</v>
      </c>
      <c r="F66" s="15" t="s">
        <v>163</v>
      </c>
      <c r="G66" s="15" t="s">
        <v>28</v>
      </c>
      <c r="H66" s="15" t="s">
        <v>437</v>
      </c>
      <c r="I66" s="15" t="s">
        <v>294</v>
      </c>
      <c r="J66" s="15" t="s">
        <v>295</v>
      </c>
      <c r="K66" s="15" t="s">
        <v>122</v>
      </c>
      <c r="L66" s="15" t="s">
        <v>263</v>
      </c>
      <c r="M66" s="15">
        <v>3</v>
      </c>
      <c r="N66" s="25">
        <v>45</v>
      </c>
      <c r="O66" s="15">
        <v>15</v>
      </c>
      <c r="P66" s="25">
        <v>114.75</v>
      </c>
      <c r="Q66" s="15">
        <v>2</v>
      </c>
      <c r="R66" s="15" t="s">
        <v>88</v>
      </c>
      <c r="S66" s="15" t="s">
        <v>115</v>
      </c>
      <c r="T66" s="15" t="s">
        <v>62</v>
      </c>
      <c r="U66" s="15">
        <v>9219978007</v>
      </c>
      <c r="V66" s="15" t="s">
        <v>64</v>
      </c>
      <c r="W66" s="29" t="str" cm="1">
        <f t="array" ref="W66">_xlfn.IFS(OR(V66="Cancelled", Q66&lt;=2), "Blacklisted", AND(P66&gt;=100000, Q66&gt;=4, O66&lt;=0.1, V66="Completed"), "Platinum", AND(P66&gt;=50000, P66&lt;=99999, Q66&gt;=3, V66="Completed"), "Gold", AND(Q66&lt;50000, V66="Completed"), "Silver", V66="Pending", "Pending")</f>
        <v>Blacklisted</v>
      </c>
    </row>
    <row r="67" spans="1:23" x14ac:dyDescent="0.5">
      <c r="A67" s="17" t="s">
        <v>439</v>
      </c>
      <c r="B67" s="17" t="s">
        <v>100</v>
      </c>
      <c r="C67" s="17" t="s">
        <v>24</v>
      </c>
      <c r="D67" s="17" t="s">
        <v>440</v>
      </c>
      <c r="E67" s="17" t="s">
        <v>441</v>
      </c>
      <c r="F67" s="15" t="s">
        <v>103</v>
      </c>
      <c r="G67" s="17" t="s">
        <v>28</v>
      </c>
      <c r="H67" s="17" t="s">
        <v>442</v>
      </c>
      <c r="I67" s="17" t="s">
        <v>294</v>
      </c>
      <c r="J67" s="17" t="s">
        <v>295</v>
      </c>
      <c r="K67" s="17" t="s">
        <v>32</v>
      </c>
      <c r="L67" s="17" t="s">
        <v>33</v>
      </c>
      <c r="M67" s="17">
        <v>7</v>
      </c>
      <c r="N67" s="26">
        <v>2200</v>
      </c>
      <c r="O67" s="17">
        <v>15</v>
      </c>
      <c r="P67" s="26">
        <v>13090</v>
      </c>
      <c r="Q67" s="17">
        <v>5</v>
      </c>
      <c r="R67" s="17" t="s">
        <v>88</v>
      </c>
      <c r="S67" s="17" t="s">
        <v>115</v>
      </c>
      <c r="T67" s="17" t="s">
        <v>144</v>
      </c>
      <c r="U67" s="17">
        <v>9662063276</v>
      </c>
      <c r="V67" s="17" t="s">
        <v>38</v>
      </c>
      <c r="W67" s="29" t="str" cm="1">
        <f t="array" ref="W67">_xlfn.IFS(OR(V67="Cancelled", Q67&lt;=2), "Blacklisted", AND(P67&gt;=100000, Q67&gt;=4, O67&lt;=0.1, V67="Completed"), "Platinum", AND(P67&gt;=50000, P67&lt;=99999, Q67&gt;=3, V67="Completed"), "Gold", AND(Q67&lt;50000, V67="Completed"), "Silver", V67="Pending", "Pending")</f>
        <v>Silver</v>
      </c>
    </row>
    <row r="68" spans="1:23" x14ac:dyDescent="0.5">
      <c r="A68" s="15" t="s">
        <v>444</v>
      </c>
      <c r="B68" s="15" t="s">
        <v>23</v>
      </c>
      <c r="C68" s="15" t="s">
        <v>259</v>
      </c>
      <c r="D68" s="15" t="s">
        <v>445</v>
      </c>
      <c r="E68" s="15" t="s">
        <v>446</v>
      </c>
      <c r="F68" s="15" t="s">
        <v>27</v>
      </c>
      <c r="G68" s="15" t="s">
        <v>28</v>
      </c>
      <c r="H68" s="15" t="s">
        <v>447</v>
      </c>
      <c r="I68" s="15" t="s">
        <v>44</v>
      </c>
      <c r="J68" s="15" t="s">
        <v>45</v>
      </c>
      <c r="K68" s="15" t="s">
        <v>122</v>
      </c>
      <c r="L68" s="15" t="s">
        <v>263</v>
      </c>
      <c r="M68" s="15">
        <v>19</v>
      </c>
      <c r="N68" s="25">
        <v>45</v>
      </c>
      <c r="O68" s="15">
        <v>10</v>
      </c>
      <c r="P68" s="25">
        <v>769.5</v>
      </c>
      <c r="Q68" s="15">
        <v>5</v>
      </c>
      <c r="R68" s="15" t="s">
        <v>79</v>
      </c>
      <c r="S68" s="15" t="s">
        <v>115</v>
      </c>
      <c r="T68" s="15" t="s">
        <v>50</v>
      </c>
      <c r="U68" s="15">
        <v>9190393639</v>
      </c>
      <c r="V68" s="15" t="s">
        <v>69</v>
      </c>
      <c r="W68" s="29" t="str" cm="1">
        <f t="array" ref="W68">_xlfn.IFS(OR(V68="Cancelled", Q68&lt;=2), "Blacklisted", AND(P68&gt;=100000, Q68&gt;=4, O68&lt;=0.1, V68="Completed"), "Platinum", AND(P68&gt;=50000, P68&lt;=99999, Q68&gt;=3, V68="Completed"), "Gold", AND(Q68&lt;50000, V68="Completed"), "Silver", V68="Pending", "Pending")</f>
        <v>Blacklisted</v>
      </c>
    </row>
    <row r="69" spans="1:23" x14ac:dyDescent="0.5">
      <c r="A69" s="17" t="s">
        <v>449</v>
      </c>
      <c r="B69" s="17" t="s">
        <v>251</v>
      </c>
      <c r="C69" s="17" t="s">
        <v>92</v>
      </c>
      <c r="D69" s="17" t="s">
        <v>450</v>
      </c>
      <c r="E69" s="17" t="s">
        <v>323</v>
      </c>
      <c r="F69" s="15" t="s">
        <v>254</v>
      </c>
      <c r="G69" s="17" t="s">
        <v>28</v>
      </c>
      <c r="H69" s="17" t="s">
        <v>451</v>
      </c>
      <c r="I69" s="17" t="s">
        <v>30</v>
      </c>
      <c r="J69" s="17" t="s">
        <v>31</v>
      </c>
      <c r="K69" s="17" t="s">
        <v>32</v>
      </c>
      <c r="L69" s="17" t="s">
        <v>97</v>
      </c>
      <c r="M69" s="17">
        <v>7</v>
      </c>
      <c r="N69" s="26">
        <v>3500</v>
      </c>
      <c r="O69" s="17">
        <v>15</v>
      </c>
      <c r="P69" s="26">
        <v>20825</v>
      </c>
      <c r="Q69" s="17">
        <v>1</v>
      </c>
      <c r="R69" s="17" t="s">
        <v>34</v>
      </c>
      <c r="S69" s="17" t="s">
        <v>151</v>
      </c>
      <c r="T69" s="17" t="s">
        <v>256</v>
      </c>
      <c r="U69" s="17">
        <v>9106328582</v>
      </c>
      <c r="V69" s="17" t="s">
        <v>64</v>
      </c>
      <c r="W69" s="29" t="str" cm="1">
        <f t="array" ref="W69">_xlfn.IFS(OR(V69="Cancelled", Q69&lt;=2), "Blacklisted", AND(P69&gt;=100000, Q69&gt;=4, O69&lt;=0.1, V69="Completed"), "Platinum", AND(P69&gt;=50000, P69&lt;=99999, Q69&gt;=3, V69="Completed"), "Gold", AND(Q69&lt;50000, V69="Completed"), "Silver", V69="Pending", "Pending")</f>
        <v>Blacklisted</v>
      </c>
    </row>
    <row r="70" spans="1:23" x14ac:dyDescent="0.5">
      <c r="A70" s="15" t="s">
        <v>453</v>
      </c>
      <c r="B70" s="15" t="s">
        <v>53</v>
      </c>
      <c r="C70" s="15" t="s">
        <v>169</v>
      </c>
      <c r="D70" s="15" t="s">
        <v>454</v>
      </c>
      <c r="E70" s="15" t="s">
        <v>455</v>
      </c>
      <c r="F70" s="15" t="s">
        <v>163</v>
      </c>
      <c r="G70" s="15" t="s">
        <v>28</v>
      </c>
      <c r="H70" s="15" t="s">
        <v>456</v>
      </c>
      <c r="I70" s="15" t="s">
        <v>212</v>
      </c>
      <c r="J70" s="15" t="s">
        <v>45</v>
      </c>
      <c r="K70" s="15" t="s">
        <v>32</v>
      </c>
      <c r="L70" s="15" t="s">
        <v>174</v>
      </c>
      <c r="M70" s="15">
        <v>7</v>
      </c>
      <c r="N70" s="25">
        <v>8500</v>
      </c>
      <c r="O70" s="15">
        <v>20</v>
      </c>
      <c r="P70" s="25">
        <v>47600</v>
      </c>
      <c r="Q70" s="15">
        <v>4</v>
      </c>
      <c r="R70" s="15" t="s">
        <v>48</v>
      </c>
      <c r="S70" s="15" t="s">
        <v>115</v>
      </c>
      <c r="T70" s="15" t="s">
        <v>62</v>
      </c>
      <c r="U70" s="15">
        <v>9264401015</v>
      </c>
      <c r="V70" s="15" t="s">
        <v>38</v>
      </c>
      <c r="W70" s="29" t="str" cm="1">
        <f t="array" ref="W70">_xlfn.IFS(OR(V70="Cancelled", Q70&lt;=2), "Blacklisted", AND(P70&gt;=100000, Q70&gt;=4, O70&lt;=0.1, V70="Completed"), "Platinum", AND(P70&gt;=50000, P70&lt;=99999, Q70&gt;=3, V70="Completed"), "Gold", AND(Q70&lt;50000, V70="Completed"), "Silver", V70="Pending", "Pending")</f>
        <v>Silver</v>
      </c>
    </row>
    <row r="71" spans="1:23" x14ac:dyDescent="0.5">
      <c r="A71" s="17" t="s">
        <v>458</v>
      </c>
      <c r="B71" s="17" t="s">
        <v>23</v>
      </c>
      <c r="C71" s="17" t="s">
        <v>54</v>
      </c>
      <c r="D71" s="17" t="s">
        <v>366</v>
      </c>
      <c r="E71" s="17" t="s">
        <v>459</v>
      </c>
      <c r="F71" s="15" t="s">
        <v>27</v>
      </c>
      <c r="G71" s="17" t="s">
        <v>28</v>
      </c>
      <c r="H71" s="17" t="s">
        <v>460</v>
      </c>
      <c r="I71" s="17" t="s">
        <v>59</v>
      </c>
      <c r="J71" s="17" t="s">
        <v>31</v>
      </c>
      <c r="K71" s="17" t="s">
        <v>46</v>
      </c>
      <c r="L71" s="17" t="s">
        <v>60</v>
      </c>
      <c r="M71" s="17">
        <v>16</v>
      </c>
      <c r="N71" s="26">
        <v>55000</v>
      </c>
      <c r="O71" s="17">
        <v>10</v>
      </c>
      <c r="P71" s="26">
        <v>792000</v>
      </c>
      <c r="Q71" s="17">
        <v>1</v>
      </c>
      <c r="R71" s="17" t="s">
        <v>79</v>
      </c>
      <c r="S71" s="17" t="s">
        <v>61</v>
      </c>
      <c r="T71" s="17" t="s">
        <v>50</v>
      </c>
      <c r="U71" s="17">
        <v>9959237375</v>
      </c>
      <c r="V71" s="17" t="s">
        <v>38</v>
      </c>
      <c r="W71" s="29" t="str" cm="1">
        <f t="array" ref="W71">_xlfn.IFS(OR(V71="Cancelled", Q71&lt;=2), "Blacklisted", AND(P71&gt;=100000, Q71&gt;=4, O71&lt;=0.1, V71="Completed"), "Platinum", AND(P71&gt;=50000, P71&lt;=99999, Q71&gt;=3, V71="Completed"), "Gold", AND(Q71&lt;50000, V71="Completed"), "Silver", V71="Pending", "Pending")</f>
        <v>Blacklisted</v>
      </c>
    </row>
    <row r="72" spans="1:23" x14ac:dyDescent="0.5">
      <c r="A72" s="15" t="s">
        <v>462</v>
      </c>
      <c r="B72" s="15" t="s">
        <v>168</v>
      </c>
      <c r="C72" s="15" t="s">
        <v>40</v>
      </c>
      <c r="D72" s="15" t="s">
        <v>463</v>
      </c>
      <c r="E72" s="15" t="s">
        <v>464</v>
      </c>
      <c r="F72" s="15" t="s">
        <v>361</v>
      </c>
      <c r="G72" s="15" t="s">
        <v>28</v>
      </c>
      <c r="H72" s="15" t="s">
        <v>465</v>
      </c>
      <c r="I72" s="15" t="s">
        <v>105</v>
      </c>
      <c r="J72" s="15" t="s">
        <v>106</v>
      </c>
      <c r="K72" s="15" t="s">
        <v>46</v>
      </c>
      <c r="L72" s="15" t="s">
        <v>47</v>
      </c>
      <c r="M72" s="15">
        <v>2</v>
      </c>
      <c r="N72" s="25">
        <v>12000</v>
      </c>
      <c r="O72" s="15">
        <v>20</v>
      </c>
      <c r="P72" s="25">
        <v>19200</v>
      </c>
      <c r="Q72" s="15">
        <v>1</v>
      </c>
      <c r="R72" s="15" t="s">
        <v>34</v>
      </c>
      <c r="S72" s="15" t="s">
        <v>151</v>
      </c>
      <c r="T72" s="16" t="s">
        <v>466</v>
      </c>
      <c r="U72" s="15">
        <v>9561836580</v>
      </c>
      <c r="V72" s="15" t="s">
        <v>64</v>
      </c>
      <c r="W72" s="29" t="str" cm="1">
        <f t="array" ref="W72">_xlfn.IFS(OR(V72="Cancelled", Q72&lt;=2), "Blacklisted", AND(P72&gt;=100000, Q72&gt;=4, O72&lt;=0.1, V72="Completed"), "Platinum", AND(P72&gt;=50000, P72&lt;=99999, Q72&gt;=3, V72="Completed"), "Gold", AND(Q72&lt;50000, V72="Completed"), "Silver", V72="Pending", "Pending")</f>
        <v>Blacklisted</v>
      </c>
    </row>
    <row r="73" spans="1:23" x14ac:dyDescent="0.5">
      <c r="A73" s="17" t="s">
        <v>468</v>
      </c>
      <c r="B73" s="17" t="s">
        <v>127</v>
      </c>
      <c r="C73" s="17" t="s">
        <v>259</v>
      </c>
      <c r="D73" s="17" t="s">
        <v>469</v>
      </c>
      <c r="E73" s="17" t="s">
        <v>446</v>
      </c>
      <c r="F73" s="15" t="s">
        <v>200</v>
      </c>
      <c r="G73" s="17" t="s">
        <v>76</v>
      </c>
      <c r="H73" s="17" t="s">
        <v>470</v>
      </c>
      <c r="I73" s="17" t="s">
        <v>59</v>
      </c>
      <c r="J73" s="17" t="s">
        <v>31</v>
      </c>
      <c r="K73" s="17" t="s">
        <v>122</v>
      </c>
      <c r="L73" s="17" t="s">
        <v>263</v>
      </c>
      <c r="M73" s="17">
        <v>4</v>
      </c>
      <c r="N73" s="26">
        <v>45</v>
      </c>
      <c r="O73" s="17">
        <v>5</v>
      </c>
      <c r="P73" s="26">
        <v>171</v>
      </c>
      <c r="Q73" s="17">
        <v>1</v>
      </c>
      <c r="R73" s="17" t="s">
        <v>79</v>
      </c>
      <c r="S73" s="17" t="s">
        <v>49</v>
      </c>
      <c r="T73" s="17" t="s">
        <v>132</v>
      </c>
      <c r="U73" s="17">
        <v>9512666401</v>
      </c>
      <c r="V73" s="17" t="s">
        <v>64</v>
      </c>
      <c r="W73" s="29" t="str" cm="1">
        <f t="array" ref="W73">_xlfn.IFS(OR(V73="Cancelled", Q73&lt;=2), "Blacklisted", AND(P73&gt;=100000, Q73&gt;=4, O73&lt;=0.1, V73="Completed"), "Platinum", AND(P73&gt;=50000, P73&lt;=99999, Q73&gt;=3, V73="Completed"), "Gold", AND(Q73&lt;50000, V73="Completed"), "Silver", V73="Pending", "Pending")</f>
        <v>Blacklisted</v>
      </c>
    </row>
    <row r="74" spans="1:23" x14ac:dyDescent="0.5">
      <c r="A74" s="15" t="s">
        <v>472</v>
      </c>
      <c r="B74" s="15" t="s">
        <v>23</v>
      </c>
      <c r="C74" s="15" t="s">
        <v>72</v>
      </c>
      <c r="D74" s="15" t="s">
        <v>473</v>
      </c>
      <c r="E74" s="15" t="s">
        <v>474</v>
      </c>
      <c r="F74" s="15" t="s">
        <v>27</v>
      </c>
      <c r="G74" s="15" t="s">
        <v>28</v>
      </c>
      <c r="H74" s="15" t="s">
        <v>475</v>
      </c>
      <c r="I74" s="15" t="s">
        <v>212</v>
      </c>
      <c r="J74" s="15" t="s">
        <v>45</v>
      </c>
      <c r="K74" s="15" t="s">
        <v>46</v>
      </c>
      <c r="L74" s="15" t="s">
        <v>78</v>
      </c>
      <c r="M74" s="15">
        <v>1</v>
      </c>
      <c r="N74" s="25">
        <v>1200</v>
      </c>
      <c r="O74" s="15">
        <v>5</v>
      </c>
      <c r="P74" s="25">
        <v>1140</v>
      </c>
      <c r="Q74" s="15">
        <v>3</v>
      </c>
      <c r="R74" s="15" t="s">
        <v>88</v>
      </c>
      <c r="S74" s="15" t="s">
        <v>61</v>
      </c>
      <c r="T74" s="15" t="s">
        <v>50</v>
      </c>
      <c r="U74" s="15">
        <v>9808988530</v>
      </c>
      <c r="V74" s="15" t="s">
        <v>69</v>
      </c>
      <c r="W74" s="29" t="str" cm="1">
        <f t="array" ref="W74">_xlfn.IFS(OR(V74="Cancelled", Q74&lt;=2), "Blacklisted", AND(P74&gt;=100000, Q74&gt;=4, O74&lt;=0.1, V74="Completed"), "Platinum", AND(P74&gt;=50000, P74&lt;=99999, Q74&gt;=3, V74="Completed"), "Gold", AND(Q74&lt;50000, V74="Completed"), "Silver", V74="Pending", "Pending")</f>
        <v>Blacklisted</v>
      </c>
    </row>
    <row r="75" spans="1:23" x14ac:dyDescent="0.5">
      <c r="A75" s="17" t="s">
        <v>477</v>
      </c>
      <c r="B75" s="17" t="s">
        <v>53</v>
      </c>
      <c r="C75" s="17" t="s">
        <v>24</v>
      </c>
      <c r="D75" s="17" t="s">
        <v>478</v>
      </c>
      <c r="E75" s="17" t="s">
        <v>479</v>
      </c>
      <c r="F75" s="15" t="s">
        <v>163</v>
      </c>
      <c r="G75" s="17" t="s">
        <v>28</v>
      </c>
      <c r="H75" s="17" t="s">
        <v>480</v>
      </c>
      <c r="I75" s="17" t="s">
        <v>2109</v>
      </c>
      <c r="J75" s="17" t="s">
        <v>31</v>
      </c>
      <c r="K75" s="17" t="s">
        <v>32</v>
      </c>
      <c r="L75" s="17" t="s">
        <v>33</v>
      </c>
      <c r="M75" s="17">
        <v>1</v>
      </c>
      <c r="N75" s="26">
        <v>2200</v>
      </c>
      <c r="O75" s="17">
        <v>15</v>
      </c>
      <c r="P75" s="26">
        <v>1870</v>
      </c>
      <c r="Q75" s="17">
        <v>4</v>
      </c>
      <c r="R75" s="17" t="s">
        <v>79</v>
      </c>
      <c r="S75" s="17" t="s">
        <v>61</v>
      </c>
      <c r="T75" s="17" t="s">
        <v>62</v>
      </c>
      <c r="U75" s="17">
        <v>9286410494</v>
      </c>
      <c r="V75" s="17" t="s">
        <v>38</v>
      </c>
      <c r="W75" s="29" t="str" cm="1">
        <f t="array" ref="W75">_xlfn.IFS(OR(V75="Cancelled", Q75&lt;=2), "Blacklisted", AND(P75&gt;=100000, Q75&gt;=4, O75&lt;=0.1, V75="Completed"), "Platinum", AND(P75&gt;=50000, P75&lt;=99999, Q75&gt;=3, V75="Completed"), "Gold", AND(Q75&lt;50000, V75="Completed"), "Silver", V75="Pending", "Pending")</f>
        <v>Silver</v>
      </c>
    </row>
    <row r="76" spans="1:23" x14ac:dyDescent="0.5">
      <c r="A76" s="15" t="s">
        <v>482</v>
      </c>
      <c r="B76" s="15" t="s">
        <v>127</v>
      </c>
      <c r="C76" s="15" t="s">
        <v>72</v>
      </c>
      <c r="D76" s="15" t="s">
        <v>483</v>
      </c>
      <c r="E76" s="15" t="s">
        <v>484</v>
      </c>
      <c r="F76" s="15" t="s">
        <v>200</v>
      </c>
      <c r="G76" s="15" t="s">
        <v>76</v>
      </c>
      <c r="H76" s="15" t="s">
        <v>485</v>
      </c>
      <c r="I76" s="15" t="s">
        <v>114</v>
      </c>
      <c r="J76" s="15" t="s">
        <v>106</v>
      </c>
      <c r="K76" s="15" t="s">
        <v>46</v>
      </c>
      <c r="L76" s="15" t="s">
        <v>78</v>
      </c>
      <c r="M76" s="15">
        <v>3</v>
      </c>
      <c r="N76" s="25">
        <v>1200</v>
      </c>
      <c r="O76" s="15">
        <v>10</v>
      </c>
      <c r="P76" s="25">
        <v>3240</v>
      </c>
      <c r="Q76" s="15">
        <v>5</v>
      </c>
      <c r="R76" s="15" t="s">
        <v>34</v>
      </c>
      <c r="S76" s="15" t="s">
        <v>49</v>
      </c>
      <c r="T76" s="15" t="s">
        <v>132</v>
      </c>
      <c r="U76" s="15">
        <v>9311555196</v>
      </c>
      <c r="V76" s="15" t="s">
        <v>38</v>
      </c>
      <c r="W76" s="29" t="str" cm="1">
        <f t="array" ref="W76">_xlfn.IFS(OR(V76="Cancelled", Q76&lt;=2), "Blacklisted", AND(P76&gt;=100000, Q76&gt;=4, O76&lt;=0.1, V76="Completed"), "Platinum", AND(P76&gt;=50000, P76&lt;=99999, Q76&gt;=3, V76="Completed"), "Gold", AND(Q76&lt;50000, V76="Completed"), "Silver", V76="Pending", "Pending")</f>
        <v>Silver</v>
      </c>
    </row>
    <row r="77" spans="1:23" x14ac:dyDescent="0.5">
      <c r="A77" s="17" t="s">
        <v>487</v>
      </c>
      <c r="B77" s="17" t="s">
        <v>23</v>
      </c>
      <c r="C77" s="17" t="s">
        <v>92</v>
      </c>
      <c r="D77" s="17" t="s">
        <v>488</v>
      </c>
      <c r="E77" s="17" t="s">
        <v>489</v>
      </c>
      <c r="F77" s="15" t="s">
        <v>27</v>
      </c>
      <c r="G77" s="17" t="s">
        <v>28</v>
      </c>
      <c r="H77" s="17" t="s">
        <v>490</v>
      </c>
      <c r="I77" s="17" t="s">
        <v>59</v>
      </c>
      <c r="J77" s="17" t="s">
        <v>31</v>
      </c>
      <c r="K77" s="17" t="s">
        <v>32</v>
      </c>
      <c r="L77" s="17" t="s">
        <v>97</v>
      </c>
      <c r="M77" s="17">
        <v>10</v>
      </c>
      <c r="N77" s="26">
        <v>3500</v>
      </c>
      <c r="O77" s="17">
        <v>20</v>
      </c>
      <c r="P77" s="26">
        <v>28000</v>
      </c>
      <c r="Q77" s="17">
        <v>5</v>
      </c>
      <c r="R77" s="17" t="s">
        <v>79</v>
      </c>
      <c r="S77" s="17" t="s">
        <v>35</v>
      </c>
      <c r="T77" s="17" t="s">
        <v>50</v>
      </c>
      <c r="U77" s="17">
        <v>9101810266</v>
      </c>
      <c r="V77" s="17" t="s">
        <v>38</v>
      </c>
      <c r="W77" s="29" t="str" cm="1">
        <f t="array" ref="W77">_xlfn.IFS(OR(V77="Cancelled", Q77&lt;=2), "Blacklisted", AND(P77&gt;=100000, Q77&gt;=4, O77&lt;=0.1, V77="Completed"), "Platinum", AND(P77&gt;=50000, P77&lt;=99999, Q77&gt;=3, V77="Completed"), "Gold", AND(Q77&lt;50000, V77="Completed"), "Silver", V77="Pending", "Pending")</f>
        <v>Silver</v>
      </c>
    </row>
    <row r="78" spans="1:23" x14ac:dyDescent="0.5">
      <c r="A78" s="15" t="s">
        <v>492</v>
      </c>
      <c r="B78" s="15" t="s">
        <v>83</v>
      </c>
      <c r="C78" s="15" t="s">
        <v>184</v>
      </c>
      <c r="D78" s="15" t="s">
        <v>493</v>
      </c>
      <c r="E78" s="15" t="s">
        <v>404</v>
      </c>
      <c r="F78" s="15" t="s">
        <v>180</v>
      </c>
      <c r="G78" s="15" t="s">
        <v>76</v>
      </c>
      <c r="H78" s="15" t="s">
        <v>494</v>
      </c>
      <c r="I78" s="15" t="s">
        <v>44</v>
      </c>
      <c r="J78" s="15" t="s">
        <v>45</v>
      </c>
      <c r="K78" s="15" t="s">
        <v>46</v>
      </c>
      <c r="L78" s="15" t="s">
        <v>189</v>
      </c>
      <c r="M78" s="15">
        <v>18</v>
      </c>
      <c r="N78" s="25">
        <v>700</v>
      </c>
      <c r="O78" s="15">
        <v>5</v>
      </c>
      <c r="P78" s="25">
        <v>11970</v>
      </c>
      <c r="Q78" s="15">
        <v>3</v>
      </c>
      <c r="R78" s="15" t="s">
        <v>79</v>
      </c>
      <c r="S78" s="15" t="s">
        <v>115</v>
      </c>
      <c r="T78" s="15" t="s">
        <v>89</v>
      </c>
      <c r="U78" s="15">
        <v>9464556593</v>
      </c>
      <c r="V78" s="15" t="s">
        <v>69</v>
      </c>
      <c r="W78" s="29" t="str" cm="1">
        <f t="array" ref="W78">_xlfn.IFS(OR(V78="Cancelled", Q78&lt;=2), "Blacklisted", AND(P78&gt;=100000, Q78&gt;=4, O78&lt;=0.1, V78="Completed"), "Platinum", AND(P78&gt;=50000, P78&lt;=99999, Q78&gt;=3, V78="Completed"), "Gold", AND(Q78&lt;50000, V78="Completed"), "Silver", V78="Pending", "Pending")</f>
        <v>Blacklisted</v>
      </c>
    </row>
    <row r="79" spans="1:23" x14ac:dyDescent="0.5">
      <c r="A79" s="17" t="s">
        <v>496</v>
      </c>
      <c r="B79" s="17" t="s">
        <v>221</v>
      </c>
      <c r="C79" s="17" t="s">
        <v>184</v>
      </c>
      <c r="D79" s="17" t="s">
        <v>497</v>
      </c>
      <c r="E79" s="17" t="s">
        <v>498</v>
      </c>
      <c r="F79" s="15" t="s">
        <v>225</v>
      </c>
      <c r="G79" s="17" t="s">
        <v>76</v>
      </c>
      <c r="H79" s="17" t="s">
        <v>499</v>
      </c>
      <c r="I79" s="17" t="s">
        <v>59</v>
      </c>
      <c r="J79" s="17" t="s">
        <v>31</v>
      </c>
      <c r="K79" s="17" t="s">
        <v>46</v>
      </c>
      <c r="L79" s="17" t="s">
        <v>189</v>
      </c>
      <c r="M79" s="17">
        <v>12</v>
      </c>
      <c r="N79" s="26">
        <v>700</v>
      </c>
      <c r="O79" s="17">
        <v>15</v>
      </c>
      <c r="P79" s="26">
        <v>7140</v>
      </c>
      <c r="Q79" s="17">
        <v>2</v>
      </c>
      <c r="R79" s="17" t="s">
        <v>88</v>
      </c>
      <c r="S79" s="17" t="s">
        <v>49</v>
      </c>
      <c r="T79" s="17" t="s">
        <v>228</v>
      </c>
      <c r="U79" s="17">
        <v>9338278358</v>
      </c>
      <c r="V79" s="17" t="s">
        <v>38</v>
      </c>
      <c r="W79" s="29" t="str" cm="1">
        <f t="array" ref="W79">_xlfn.IFS(OR(V79="Cancelled", Q79&lt;=2), "Blacklisted", AND(P79&gt;=100000, Q79&gt;=4, O79&lt;=0.1, V79="Completed"), "Platinum", AND(P79&gt;=50000, P79&lt;=99999, Q79&gt;=3, V79="Completed"), "Gold", AND(Q79&lt;50000, V79="Completed"), "Silver", V79="Pending", "Pending")</f>
        <v>Blacklisted</v>
      </c>
    </row>
    <row r="80" spans="1:23" x14ac:dyDescent="0.5">
      <c r="A80" s="15" t="s">
        <v>501</v>
      </c>
      <c r="B80" s="15" t="s">
        <v>71</v>
      </c>
      <c r="C80" s="15" t="s">
        <v>72</v>
      </c>
      <c r="D80" s="15" t="s">
        <v>502</v>
      </c>
      <c r="E80" s="15" t="s">
        <v>503</v>
      </c>
      <c r="F80" s="15" t="s">
        <v>217</v>
      </c>
      <c r="G80" s="15" t="s">
        <v>76</v>
      </c>
      <c r="H80" s="15" t="s">
        <v>504</v>
      </c>
      <c r="I80" s="15" t="s">
        <v>105</v>
      </c>
      <c r="J80" s="15" t="s">
        <v>106</v>
      </c>
      <c r="K80" s="15" t="s">
        <v>46</v>
      </c>
      <c r="L80" s="15" t="s">
        <v>78</v>
      </c>
      <c r="M80" s="15">
        <v>8</v>
      </c>
      <c r="N80" s="25">
        <v>1200</v>
      </c>
      <c r="O80" s="15">
        <v>0</v>
      </c>
      <c r="P80" s="25">
        <v>9600</v>
      </c>
      <c r="Q80" s="15">
        <v>4</v>
      </c>
      <c r="R80" s="15" t="s">
        <v>79</v>
      </c>
      <c r="S80" s="15" t="s">
        <v>49</v>
      </c>
      <c r="T80" s="15" t="s">
        <v>80</v>
      </c>
      <c r="U80" s="15">
        <v>9621410770</v>
      </c>
      <c r="V80" s="15" t="s">
        <v>64</v>
      </c>
      <c r="W80" s="29" t="str" cm="1">
        <f t="array" ref="W80">_xlfn.IFS(OR(V80="Cancelled", Q80&lt;=2), "Blacklisted", AND(P80&gt;=100000, Q80&gt;=4, O80&lt;=0.1, V80="Completed"), "Platinum", AND(P80&gt;=50000, P80&lt;=99999, Q80&gt;=3, V80="Completed"), "Gold", AND(Q80&lt;50000, V80="Completed"), "Silver", V80="Pending", "Pending")</f>
        <v>Pending</v>
      </c>
    </row>
    <row r="81" spans="1:23" x14ac:dyDescent="0.5">
      <c r="A81" s="17" t="s">
        <v>506</v>
      </c>
      <c r="B81" s="17" t="s">
        <v>127</v>
      </c>
      <c r="C81" s="17" t="s">
        <v>118</v>
      </c>
      <c r="D81" s="17" t="s">
        <v>507</v>
      </c>
      <c r="E81" s="17" t="s">
        <v>508</v>
      </c>
      <c r="F81" s="15" t="s">
        <v>200</v>
      </c>
      <c r="G81" s="17" t="s">
        <v>76</v>
      </c>
      <c r="H81" s="17" t="s">
        <v>509</v>
      </c>
      <c r="I81" s="17" t="s">
        <v>114</v>
      </c>
      <c r="J81" s="17" t="s">
        <v>106</v>
      </c>
      <c r="K81" s="17" t="s">
        <v>122</v>
      </c>
      <c r="L81" s="17" t="s">
        <v>123</v>
      </c>
      <c r="M81" s="17">
        <v>2</v>
      </c>
      <c r="N81" s="26">
        <v>60</v>
      </c>
      <c r="O81" s="17">
        <v>0</v>
      </c>
      <c r="P81" s="26">
        <v>120</v>
      </c>
      <c r="Q81" s="17">
        <v>2</v>
      </c>
      <c r="R81" s="17" t="s">
        <v>88</v>
      </c>
      <c r="S81" s="17" t="s">
        <v>49</v>
      </c>
      <c r="T81" s="17" t="s">
        <v>132</v>
      </c>
      <c r="U81" s="17">
        <v>9981333189</v>
      </c>
      <c r="V81" s="17" t="s">
        <v>38</v>
      </c>
      <c r="W81" s="29" t="str" cm="1">
        <f t="array" ref="W81">_xlfn.IFS(OR(V81="Cancelled", Q81&lt;=2), "Blacklisted", AND(P81&gt;=100000, Q81&gt;=4, O81&lt;=0.1, V81="Completed"), "Platinum", AND(P81&gt;=50000, P81&lt;=99999, Q81&gt;=3, V81="Completed"), "Gold", AND(Q81&lt;50000, V81="Completed"), "Silver", V81="Pending", "Pending")</f>
        <v>Blacklisted</v>
      </c>
    </row>
    <row r="82" spans="1:23" x14ac:dyDescent="0.5">
      <c r="A82" s="15" t="s">
        <v>511</v>
      </c>
      <c r="B82" s="15" t="s">
        <v>327</v>
      </c>
      <c r="C82" s="15" t="s">
        <v>259</v>
      </c>
      <c r="D82" s="15" t="s">
        <v>512</v>
      </c>
      <c r="E82" s="15" t="s">
        <v>513</v>
      </c>
      <c r="F82" s="15" t="s">
        <v>394</v>
      </c>
      <c r="G82" s="15" t="s">
        <v>76</v>
      </c>
      <c r="H82" s="15" t="s">
        <v>514</v>
      </c>
      <c r="I82" s="15" t="s">
        <v>114</v>
      </c>
      <c r="J82" s="15" t="s">
        <v>106</v>
      </c>
      <c r="K82" s="15" t="s">
        <v>122</v>
      </c>
      <c r="L82" s="15" t="s">
        <v>263</v>
      </c>
      <c r="M82" s="15">
        <v>10</v>
      </c>
      <c r="N82" s="25">
        <v>45</v>
      </c>
      <c r="O82" s="15">
        <v>15</v>
      </c>
      <c r="P82" s="25">
        <v>382.5</v>
      </c>
      <c r="Q82" s="15">
        <v>3</v>
      </c>
      <c r="R82" s="15" t="s">
        <v>48</v>
      </c>
      <c r="S82" s="15" t="s">
        <v>35</v>
      </c>
      <c r="T82" s="15" t="s">
        <v>332</v>
      </c>
      <c r="U82" s="15">
        <v>9723450355</v>
      </c>
      <c r="V82" s="15" t="s">
        <v>69</v>
      </c>
      <c r="W82" s="29" t="str" cm="1">
        <f t="array" ref="W82">_xlfn.IFS(OR(V82="Cancelled", Q82&lt;=2), "Blacklisted", AND(P82&gt;=100000, Q82&gt;=4, O82&lt;=0.1, V82="Completed"), "Platinum", AND(P82&gt;=50000, P82&lt;=99999, Q82&gt;=3, V82="Completed"), "Gold", AND(Q82&lt;50000, V82="Completed"), "Silver", V82="Pending", "Pending")</f>
        <v>Blacklisted</v>
      </c>
    </row>
    <row r="83" spans="1:23" x14ac:dyDescent="0.5">
      <c r="A83" s="17" t="s">
        <v>516</v>
      </c>
      <c r="B83" s="17" t="s">
        <v>221</v>
      </c>
      <c r="C83" s="17" t="s">
        <v>92</v>
      </c>
      <c r="D83" s="17" t="s">
        <v>517</v>
      </c>
      <c r="E83" s="17" t="s">
        <v>518</v>
      </c>
      <c r="F83" s="15" t="s">
        <v>225</v>
      </c>
      <c r="G83" s="17" t="s">
        <v>76</v>
      </c>
      <c r="H83" s="17" t="s">
        <v>519</v>
      </c>
      <c r="I83" s="17" t="s">
        <v>294</v>
      </c>
      <c r="J83" s="17" t="s">
        <v>295</v>
      </c>
      <c r="K83" s="17" t="s">
        <v>32</v>
      </c>
      <c r="L83" s="17" t="s">
        <v>97</v>
      </c>
      <c r="M83" s="17">
        <v>12</v>
      </c>
      <c r="N83" s="26">
        <v>3500</v>
      </c>
      <c r="O83" s="17">
        <v>5</v>
      </c>
      <c r="P83" s="26">
        <v>39900</v>
      </c>
      <c r="Q83" s="17">
        <v>3</v>
      </c>
      <c r="R83" s="17" t="s">
        <v>48</v>
      </c>
      <c r="S83" s="17" t="s">
        <v>61</v>
      </c>
      <c r="T83" s="17" t="s">
        <v>228</v>
      </c>
      <c r="U83" s="17">
        <v>9886243907</v>
      </c>
      <c r="V83" s="17" t="s">
        <v>64</v>
      </c>
      <c r="W83" s="29" t="str" cm="1">
        <f t="array" ref="W83">_xlfn.IFS(OR(V83="Cancelled", Q83&lt;=2), "Blacklisted", AND(P83&gt;=100000, Q83&gt;=4, O83&lt;=0.1, V83="Completed"), "Platinum", AND(P83&gt;=50000, P83&lt;=99999, Q83&gt;=3, V83="Completed"), "Gold", AND(Q83&lt;50000, V83="Completed"), "Silver", V83="Pending", "Pending")</f>
        <v>Pending</v>
      </c>
    </row>
    <row r="84" spans="1:23" x14ac:dyDescent="0.5">
      <c r="A84" s="15" t="s">
        <v>521</v>
      </c>
      <c r="B84" s="15" t="s">
        <v>127</v>
      </c>
      <c r="C84" s="15" t="s">
        <v>118</v>
      </c>
      <c r="D84" s="15" t="s">
        <v>128</v>
      </c>
      <c r="E84" s="15" t="s">
        <v>73</v>
      </c>
      <c r="F84" s="15" t="s">
        <v>200</v>
      </c>
      <c r="G84" s="15" t="s">
        <v>76</v>
      </c>
      <c r="H84" s="15" t="s">
        <v>522</v>
      </c>
      <c r="I84" s="15" t="s">
        <v>105</v>
      </c>
      <c r="J84" s="15" t="s">
        <v>106</v>
      </c>
      <c r="K84" s="15" t="s">
        <v>122</v>
      </c>
      <c r="L84" s="15" t="s">
        <v>123</v>
      </c>
      <c r="M84" s="15">
        <v>2</v>
      </c>
      <c r="N84" s="25">
        <v>60</v>
      </c>
      <c r="O84" s="15">
        <v>15</v>
      </c>
      <c r="P84" s="25">
        <v>102</v>
      </c>
      <c r="Q84" s="15">
        <v>1</v>
      </c>
      <c r="R84" s="15" t="s">
        <v>88</v>
      </c>
      <c r="S84" s="15" t="s">
        <v>115</v>
      </c>
      <c r="T84" s="15" t="s">
        <v>132</v>
      </c>
      <c r="U84" s="15">
        <v>9473931904</v>
      </c>
      <c r="V84" s="15" t="s">
        <v>38</v>
      </c>
      <c r="W84" s="29" t="str" cm="1">
        <f t="array" ref="W84">_xlfn.IFS(OR(V84="Cancelled", Q84&lt;=2), "Blacklisted", AND(P84&gt;=100000, Q84&gt;=4, O84&lt;=0.1, V84="Completed"), "Platinum", AND(P84&gt;=50000, P84&lt;=99999, Q84&gt;=3, V84="Completed"), "Gold", AND(Q84&lt;50000, V84="Completed"), "Silver", V84="Pending", "Pending")</f>
        <v>Blacklisted</v>
      </c>
    </row>
    <row r="85" spans="1:23" x14ac:dyDescent="0.5">
      <c r="A85" s="17" t="s">
        <v>524</v>
      </c>
      <c r="B85" s="17" t="s">
        <v>127</v>
      </c>
      <c r="C85" s="17" t="s">
        <v>72</v>
      </c>
      <c r="D85" s="17" t="s">
        <v>525</v>
      </c>
      <c r="E85" s="17" t="s">
        <v>526</v>
      </c>
      <c r="F85" s="15" t="s">
        <v>200</v>
      </c>
      <c r="G85" s="17" t="s">
        <v>76</v>
      </c>
      <c r="H85" s="17" t="s">
        <v>527</v>
      </c>
      <c r="I85" s="17" t="s">
        <v>30</v>
      </c>
      <c r="J85" s="17" t="s">
        <v>31</v>
      </c>
      <c r="K85" s="17" t="s">
        <v>46</v>
      </c>
      <c r="L85" s="17" t="s">
        <v>78</v>
      </c>
      <c r="M85" s="17">
        <v>18</v>
      </c>
      <c r="N85" s="26">
        <v>1200</v>
      </c>
      <c r="O85" s="17">
        <v>15</v>
      </c>
      <c r="P85" s="26">
        <v>18360</v>
      </c>
      <c r="Q85" s="17">
        <v>3</v>
      </c>
      <c r="R85" s="17" t="s">
        <v>79</v>
      </c>
      <c r="S85" s="17" t="s">
        <v>115</v>
      </c>
      <c r="T85" s="17" t="s">
        <v>132</v>
      </c>
      <c r="U85" s="17">
        <v>9287159610</v>
      </c>
      <c r="V85" s="17" t="s">
        <v>64</v>
      </c>
      <c r="W85" s="29" t="str" cm="1">
        <f t="array" ref="W85">_xlfn.IFS(OR(V85="Cancelled", Q85&lt;=2), "Blacklisted", AND(P85&gt;=100000, Q85&gt;=4, O85&lt;=0.1, V85="Completed"), "Platinum", AND(P85&gt;=50000, P85&lt;=99999, Q85&gt;=3, V85="Completed"), "Gold", AND(Q85&lt;50000, V85="Completed"), "Silver", V85="Pending", "Pending")</f>
        <v>Pending</v>
      </c>
    </row>
    <row r="86" spans="1:23" x14ac:dyDescent="0.5">
      <c r="A86" s="15" t="s">
        <v>529</v>
      </c>
      <c r="B86" s="15" t="s">
        <v>23</v>
      </c>
      <c r="C86" s="15" t="s">
        <v>40</v>
      </c>
      <c r="D86" s="15" t="s">
        <v>530</v>
      </c>
      <c r="E86" s="15" t="s">
        <v>531</v>
      </c>
      <c r="F86" s="15" t="s">
        <v>27</v>
      </c>
      <c r="G86" s="15" t="s">
        <v>28</v>
      </c>
      <c r="H86" s="15" t="s">
        <v>532</v>
      </c>
      <c r="I86" s="15" t="s">
        <v>105</v>
      </c>
      <c r="J86" s="15" t="s">
        <v>106</v>
      </c>
      <c r="K86" s="15" t="s">
        <v>46</v>
      </c>
      <c r="L86" s="15" t="s">
        <v>47</v>
      </c>
      <c r="M86" s="15">
        <v>18</v>
      </c>
      <c r="N86" s="25">
        <v>12000</v>
      </c>
      <c r="O86" s="15">
        <v>15</v>
      </c>
      <c r="P86" s="25">
        <v>183600</v>
      </c>
      <c r="Q86" s="15">
        <v>2</v>
      </c>
      <c r="R86" s="15" t="s">
        <v>34</v>
      </c>
      <c r="S86" s="15" t="s">
        <v>49</v>
      </c>
      <c r="T86" s="15" t="s">
        <v>50</v>
      </c>
      <c r="U86" s="15">
        <v>9876513858</v>
      </c>
      <c r="V86" s="15" t="s">
        <v>38</v>
      </c>
      <c r="W86" s="29" t="str" cm="1">
        <f t="array" ref="W86">_xlfn.IFS(OR(V86="Cancelled", Q86&lt;=2), "Blacklisted", AND(P86&gt;=100000, Q86&gt;=4, O86&lt;=0.1, V86="Completed"), "Platinum", AND(P86&gt;=50000, P86&lt;=99999, Q86&gt;=3, V86="Completed"), "Gold", AND(Q86&lt;50000, V86="Completed"), "Silver", V86="Pending", "Pending")</f>
        <v>Blacklisted</v>
      </c>
    </row>
    <row r="87" spans="1:23" x14ac:dyDescent="0.5">
      <c r="A87" s="17" t="s">
        <v>534</v>
      </c>
      <c r="B87" s="17" t="s">
        <v>83</v>
      </c>
      <c r="C87" s="17" t="s">
        <v>222</v>
      </c>
      <c r="D87" s="17" t="s">
        <v>531</v>
      </c>
      <c r="E87" s="17" t="s">
        <v>535</v>
      </c>
      <c r="F87" s="15" t="s">
        <v>180</v>
      </c>
      <c r="G87" s="17" t="s">
        <v>76</v>
      </c>
      <c r="H87" s="17" t="s">
        <v>536</v>
      </c>
      <c r="I87" s="17" t="s">
        <v>138</v>
      </c>
      <c r="J87" s="17" t="s">
        <v>106</v>
      </c>
      <c r="K87" s="17" t="s">
        <v>122</v>
      </c>
      <c r="L87" s="17" t="s">
        <v>227</v>
      </c>
      <c r="M87" s="17">
        <v>7</v>
      </c>
      <c r="N87" s="26">
        <v>20</v>
      </c>
      <c r="O87" s="17">
        <v>0</v>
      </c>
      <c r="P87" s="26">
        <v>140</v>
      </c>
      <c r="Q87" s="17">
        <v>2</v>
      </c>
      <c r="R87" s="17" t="s">
        <v>79</v>
      </c>
      <c r="S87" s="17" t="s">
        <v>35</v>
      </c>
      <c r="T87" s="17" t="s">
        <v>89</v>
      </c>
      <c r="U87" s="17">
        <v>9237400853</v>
      </c>
      <c r="V87" s="17" t="s">
        <v>69</v>
      </c>
      <c r="W87" s="29" t="str" cm="1">
        <f t="array" ref="W87">_xlfn.IFS(OR(V87="Cancelled", Q87&lt;=2), "Blacklisted", AND(P87&gt;=100000, Q87&gt;=4, O87&lt;=0.1, V87="Completed"), "Platinum", AND(P87&gt;=50000, P87&lt;=99999, Q87&gt;=3, V87="Completed"), "Gold", AND(Q87&lt;50000, V87="Completed"), "Silver", V87="Pending", "Pending")</f>
        <v>Blacklisted</v>
      </c>
    </row>
    <row r="88" spans="1:23" x14ac:dyDescent="0.5">
      <c r="A88" s="15" t="s">
        <v>538</v>
      </c>
      <c r="B88" s="15" t="s">
        <v>251</v>
      </c>
      <c r="C88" s="15" t="s">
        <v>92</v>
      </c>
      <c r="D88" s="15" t="s">
        <v>459</v>
      </c>
      <c r="E88" s="15" t="s">
        <v>539</v>
      </c>
      <c r="F88" s="15" t="s">
        <v>254</v>
      </c>
      <c r="G88" s="15" t="s">
        <v>28</v>
      </c>
      <c r="H88" s="15" t="s">
        <v>540</v>
      </c>
      <c r="I88" s="15" t="s">
        <v>114</v>
      </c>
      <c r="J88" s="15" t="s">
        <v>106</v>
      </c>
      <c r="K88" s="15" t="s">
        <v>32</v>
      </c>
      <c r="L88" s="15" t="s">
        <v>97</v>
      </c>
      <c r="M88" s="15">
        <v>20</v>
      </c>
      <c r="N88" s="25">
        <v>3500</v>
      </c>
      <c r="O88" s="15">
        <v>20</v>
      </c>
      <c r="P88" s="25">
        <v>56000</v>
      </c>
      <c r="Q88" s="15">
        <v>4</v>
      </c>
      <c r="R88" s="15" t="s">
        <v>79</v>
      </c>
      <c r="S88" s="15" t="s">
        <v>115</v>
      </c>
      <c r="T88" s="15" t="s">
        <v>256</v>
      </c>
      <c r="U88" s="15">
        <v>9599597595</v>
      </c>
      <c r="V88" s="15" t="s">
        <v>64</v>
      </c>
      <c r="W88" s="29" t="str" cm="1">
        <f t="array" ref="W88">_xlfn.IFS(OR(V88="Cancelled", Q88&lt;=2), "Blacklisted", AND(P88&gt;=100000, Q88&gt;=4, O88&lt;=0.1, V88="Completed"), "Platinum", AND(P88&gt;=50000, P88&lt;=99999, Q88&gt;=3, V88="Completed"), "Gold", AND(Q88&lt;50000, V88="Completed"), "Silver", V88="Pending", "Pending")</f>
        <v>Pending</v>
      </c>
    </row>
    <row r="89" spans="1:23" x14ac:dyDescent="0.5">
      <c r="A89" s="17" t="s">
        <v>542</v>
      </c>
      <c r="B89" s="17" t="s">
        <v>100</v>
      </c>
      <c r="C89" s="17" t="s">
        <v>169</v>
      </c>
      <c r="D89" s="17" t="s">
        <v>543</v>
      </c>
      <c r="E89" s="17" t="s">
        <v>544</v>
      </c>
      <c r="F89" s="15" t="s">
        <v>103</v>
      </c>
      <c r="G89" s="17" t="s">
        <v>28</v>
      </c>
      <c r="H89" s="17" t="s">
        <v>545</v>
      </c>
      <c r="I89" s="17" t="s">
        <v>138</v>
      </c>
      <c r="J89" s="17" t="s">
        <v>106</v>
      </c>
      <c r="K89" s="17" t="s">
        <v>32</v>
      </c>
      <c r="L89" s="17" t="s">
        <v>174</v>
      </c>
      <c r="M89" s="17">
        <v>8</v>
      </c>
      <c r="N89" s="26">
        <v>8500</v>
      </c>
      <c r="O89" s="17">
        <v>20</v>
      </c>
      <c r="P89" s="26">
        <v>54400</v>
      </c>
      <c r="Q89" s="17">
        <v>3</v>
      </c>
      <c r="R89" s="17" t="s">
        <v>79</v>
      </c>
      <c r="S89" s="17" t="s">
        <v>115</v>
      </c>
      <c r="T89" s="17" t="s">
        <v>144</v>
      </c>
      <c r="U89" s="17">
        <v>9230007509</v>
      </c>
      <c r="V89" s="17" t="s">
        <v>64</v>
      </c>
      <c r="W89" s="29" t="str" cm="1">
        <f t="array" ref="W89">_xlfn.IFS(OR(V89="Cancelled", Q89&lt;=2), "Blacklisted", AND(P89&gt;=100000, Q89&gt;=4, O89&lt;=0.1, V89="Completed"), "Platinum", AND(P89&gt;=50000, P89&lt;=99999, Q89&gt;=3, V89="Completed"), "Gold", AND(Q89&lt;50000, V89="Completed"), "Silver", V89="Pending", "Pending")</f>
        <v>Pending</v>
      </c>
    </row>
    <row r="90" spans="1:23" x14ac:dyDescent="0.5">
      <c r="A90" s="15" t="s">
        <v>547</v>
      </c>
      <c r="B90" s="15" t="s">
        <v>327</v>
      </c>
      <c r="C90" s="15" t="s">
        <v>40</v>
      </c>
      <c r="D90" s="15" t="s">
        <v>548</v>
      </c>
      <c r="E90" s="15" t="s">
        <v>549</v>
      </c>
      <c r="F90" s="15" t="s">
        <v>394</v>
      </c>
      <c r="G90" s="15" t="s">
        <v>76</v>
      </c>
      <c r="H90" s="15" t="s">
        <v>550</v>
      </c>
      <c r="I90" s="15" t="s">
        <v>138</v>
      </c>
      <c r="J90" s="15" t="s">
        <v>551</v>
      </c>
      <c r="K90" s="15" t="s">
        <v>46</v>
      </c>
      <c r="L90" s="15" t="s">
        <v>47</v>
      </c>
      <c r="M90" s="15">
        <v>6</v>
      </c>
      <c r="N90" s="25">
        <v>12000</v>
      </c>
      <c r="O90" s="15">
        <v>5</v>
      </c>
      <c r="P90" s="25">
        <v>68400</v>
      </c>
      <c r="Q90" s="15">
        <v>4</v>
      </c>
      <c r="R90" s="15" t="s">
        <v>48</v>
      </c>
      <c r="S90" s="15" t="s">
        <v>35</v>
      </c>
      <c r="T90" s="15" t="s">
        <v>332</v>
      </c>
      <c r="U90" s="15">
        <v>9823428025</v>
      </c>
      <c r="V90" s="15" t="s">
        <v>38</v>
      </c>
      <c r="W90" s="29" t="str" cm="1">
        <f t="array" ref="W90">_xlfn.IFS(OR(V90="Cancelled", Q90&lt;=2), "Blacklisted", AND(P90&gt;=100000, Q90&gt;=4, O90&lt;=0.1, V90="Completed"), "Platinum", AND(P90&gt;=50000, P90&lt;=99999, Q90&gt;=3, V90="Completed"), "Gold", AND(Q90&lt;50000, V90="Completed"), "Silver", V90="Pending", "Pending")</f>
        <v>Gold</v>
      </c>
    </row>
    <row r="91" spans="1:23" x14ac:dyDescent="0.5">
      <c r="A91" s="17" t="s">
        <v>553</v>
      </c>
      <c r="B91" s="17" t="s">
        <v>23</v>
      </c>
      <c r="C91" s="17" t="s">
        <v>169</v>
      </c>
      <c r="D91" s="17" t="s">
        <v>554</v>
      </c>
      <c r="E91" s="17" t="s">
        <v>404</v>
      </c>
      <c r="F91" s="15" t="s">
        <v>27</v>
      </c>
      <c r="G91" s="17" t="s">
        <v>28</v>
      </c>
      <c r="H91" s="17" t="s">
        <v>555</v>
      </c>
      <c r="I91" s="17" t="s">
        <v>114</v>
      </c>
      <c r="J91" s="17" t="s">
        <v>106</v>
      </c>
      <c r="K91" s="17" t="s">
        <v>32</v>
      </c>
      <c r="L91" s="17" t="s">
        <v>174</v>
      </c>
      <c r="M91" s="17">
        <v>15</v>
      </c>
      <c r="N91" s="26">
        <v>8500</v>
      </c>
      <c r="O91" s="17">
        <v>0</v>
      </c>
      <c r="P91" s="26">
        <v>127500</v>
      </c>
      <c r="Q91" s="17">
        <v>4</v>
      </c>
      <c r="R91" s="17" t="s">
        <v>48</v>
      </c>
      <c r="S91" s="17" t="s">
        <v>35</v>
      </c>
      <c r="T91" s="17" t="s">
        <v>50</v>
      </c>
      <c r="U91" s="17">
        <v>9505048912</v>
      </c>
      <c r="V91" s="17" t="s">
        <v>69</v>
      </c>
      <c r="W91" s="29" t="str" cm="1">
        <f t="array" ref="W91">_xlfn.IFS(OR(V91="Cancelled", Q91&lt;=2), "Blacklisted", AND(P91&gt;=100000, Q91&gt;=4, O91&lt;=0.1, V91="Completed"), "Platinum", AND(P91&gt;=50000, P91&lt;=99999, Q91&gt;=3, V91="Completed"), "Gold", AND(Q91&lt;50000, V91="Completed"), "Silver", V91="Pending", "Pending")</f>
        <v>Blacklisted</v>
      </c>
    </row>
    <row r="92" spans="1:23" x14ac:dyDescent="0.5">
      <c r="A92" s="15" t="s">
        <v>557</v>
      </c>
      <c r="B92" s="15" t="s">
        <v>53</v>
      </c>
      <c r="C92" s="15" t="s">
        <v>72</v>
      </c>
      <c r="D92" s="15" t="s">
        <v>558</v>
      </c>
      <c r="E92" s="15" t="s">
        <v>377</v>
      </c>
      <c r="F92" s="15" t="s">
        <v>163</v>
      </c>
      <c r="G92" s="15" t="s">
        <v>28</v>
      </c>
      <c r="H92" s="15" t="s">
        <v>559</v>
      </c>
      <c r="I92" s="15" t="s">
        <v>212</v>
      </c>
      <c r="J92" s="15" t="s">
        <v>45</v>
      </c>
      <c r="K92" s="15" t="s">
        <v>46</v>
      </c>
      <c r="L92" s="15" t="s">
        <v>78</v>
      </c>
      <c r="M92" s="15">
        <v>5</v>
      </c>
      <c r="N92" s="25">
        <v>1200</v>
      </c>
      <c r="O92" s="15">
        <v>15</v>
      </c>
      <c r="P92" s="25">
        <v>5100</v>
      </c>
      <c r="Q92" s="15">
        <v>1</v>
      </c>
      <c r="R92" s="15" t="s">
        <v>48</v>
      </c>
      <c r="S92" s="15" t="s">
        <v>35</v>
      </c>
      <c r="T92" s="15" t="s">
        <v>62</v>
      </c>
      <c r="U92" s="15">
        <v>9508068393</v>
      </c>
      <c r="V92" s="15" t="s">
        <v>69</v>
      </c>
      <c r="W92" s="29" t="str" cm="1">
        <f t="array" ref="W92">_xlfn.IFS(OR(V92="Cancelled", Q92&lt;=2), "Blacklisted", AND(P92&gt;=100000, Q92&gt;=4, O92&lt;=0.1, V92="Completed"), "Platinum", AND(P92&gt;=50000, P92&lt;=99999, Q92&gt;=3, V92="Completed"), "Gold", AND(Q92&lt;50000, V92="Completed"), "Silver", V92="Pending", "Pending")</f>
        <v>Blacklisted</v>
      </c>
    </row>
    <row r="93" spans="1:23" x14ac:dyDescent="0.5">
      <c r="A93" s="17" t="s">
        <v>561</v>
      </c>
      <c r="B93" s="17" t="s">
        <v>53</v>
      </c>
      <c r="C93" s="17" t="s">
        <v>222</v>
      </c>
      <c r="D93" s="17" t="s">
        <v>562</v>
      </c>
      <c r="E93" s="17" t="s">
        <v>563</v>
      </c>
      <c r="F93" s="15" t="s">
        <v>163</v>
      </c>
      <c r="G93" s="17" t="s">
        <v>28</v>
      </c>
      <c r="H93" s="17" t="s">
        <v>564</v>
      </c>
      <c r="I93" s="17" t="s">
        <v>30</v>
      </c>
      <c r="J93" s="17" t="s">
        <v>31</v>
      </c>
      <c r="K93" s="17" t="s">
        <v>122</v>
      </c>
      <c r="L93" s="17" t="s">
        <v>227</v>
      </c>
      <c r="M93" s="17">
        <v>4</v>
      </c>
      <c r="N93" s="26">
        <v>20</v>
      </c>
      <c r="O93" s="17">
        <v>0</v>
      </c>
      <c r="P93" s="26">
        <v>80</v>
      </c>
      <c r="Q93" s="17">
        <v>4</v>
      </c>
      <c r="R93" s="17" t="s">
        <v>48</v>
      </c>
      <c r="S93" s="17" t="s">
        <v>49</v>
      </c>
      <c r="T93" s="17" t="s">
        <v>62</v>
      </c>
      <c r="U93" s="17">
        <v>9785807771</v>
      </c>
      <c r="V93" s="17" t="s">
        <v>38</v>
      </c>
      <c r="W93" s="29" t="str" cm="1">
        <f t="array" ref="W93">_xlfn.IFS(OR(V93="Cancelled", Q93&lt;=2), "Blacklisted", AND(P93&gt;=100000, Q93&gt;=4, O93&lt;=0.1, V93="Completed"), "Platinum", AND(P93&gt;=50000, P93&lt;=99999, Q93&gt;=3, V93="Completed"), "Gold", AND(Q93&lt;50000, V93="Completed"), "Silver", V93="Pending", "Pending")</f>
        <v>Silver</v>
      </c>
    </row>
    <row r="94" spans="1:23" x14ac:dyDescent="0.5">
      <c r="A94" s="15" t="s">
        <v>566</v>
      </c>
      <c r="B94" s="15" t="s">
        <v>23</v>
      </c>
      <c r="C94" s="15" t="s">
        <v>222</v>
      </c>
      <c r="D94" s="15" t="s">
        <v>567</v>
      </c>
      <c r="E94" s="15" t="s">
        <v>568</v>
      </c>
      <c r="F94" s="15" t="s">
        <v>27</v>
      </c>
      <c r="G94" s="15" t="s">
        <v>28</v>
      </c>
      <c r="H94" s="15" t="s">
        <v>569</v>
      </c>
      <c r="I94" s="15" t="s">
        <v>59</v>
      </c>
      <c r="J94" s="15" t="s">
        <v>31</v>
      </c>
      <c r="K94" s="15" t="s">
        <v>122</v>
      </c>
      <c r="L94" s="15" t="s">
        <v>227</v>
      </c>
      <c r="M94" s="15">
        <v>10</v>
      </c>
      <c r="N94" s="25">
        <v>20</v>
      </c>
      <c r="O94" s="15">
        <v>0</v>
      </c>
      <c r="P94" s="25">
        <v>200</v>
      </c>
      <c r="Q94" s="15">
        <v>3</v>
      </c>
      <c r="R94" s="15" t="s">
        <v>34</v>
      </c>
      <c r="S94" s="15" t="s">
        <v>151</v>
      </c>
      <c r="T94" s="15" t="s">
        <v>50</v>
      </c>
      <c r="U94" s="15">
        <v>9215250979</v>
      </c>
      <c r="V94" s="15" t="s">
        <v>64</v>
      </c>
      <c r="W94" s="29" t="str" cm="1">
        <f t="array" ref="W94">_xlfn.IFS(OR(V94="Cancelled", Q94&lt;=2), "Blacklisted", AND(P94&gt;=100000, Q94&gt;=4, O94&lt;=0.1, V94="Completed"), "Platinum", AND(P94&gt;=50000, P94&lt;=99999, Q94&gt;=3, V94="Completed"), "Gold", AND(Q94&lt;50000, V94="Completed"), "Silver", V94="Pending", "Pending")</f>
        <v>Pending</v>
      </c>
    </row>
    <row r="95" spans="1:23" x14ac:dyDescent="0.5">
      <c r="A95" s="17" t="s">
        <v>571</v>
      </c>
      <c r="B95" s="17" t="s">
        <v>168</v>
      </c>
      <c r="C95" s="17" t="s">
        <v>24</v>
      </c>
      <c r="D95" s="17" t="s">
        <v>572</v>
      </c>
      <c r="E95" s="17" t="s">
        <v>573</v>
      </c>
      <c r="F95" s="15" t="s">
        <v>361</v>
      </c>
      <c r="G95" s="17" t="s">
        <v>28</v>
      </c>
      <c r="H95" s="17" t="s">
        <v>574</v>
      </c>
      <c r="I95" s="17" t="s">
        <v>44</v>
      </c>
      <c r="J95" s="17" t="s">
        <v>45</v>
      </c>
      <c r="K95" s="17" t="s">
        <v>32</v>
      </c>
      <c r="L95" s="17" t="s">
        <v>33</v>
      </c>
      <c r="M95" s="17">
        <v>18</v>
      </c>
      <c r="N95" s="26">
        <v>2200</v>
      </c>
      <c r="O95" s="17">
        <v>10</v>
      </c>
      <c r="P95" s="26">
        <v>35640</v>
      </c>
      <c r="Q95" s="17">
        <v>3</v>
      </c>
      <c r="R95" s="17" t="s">
        <v>34</v>
      </c>
      <c r="S95" s="17" t="s">
        <v>35</v>
      </c>
      <c r="T95" s="17" t="s">
        <v>175</v>
      </c>
      <c r="U95" s="17">
        <v>9845884906</v>
      </c>
      <c r="V95" s="17" t="s">
        <v>69</v>
      </c>
      <c r="W95" s="29" t="str" cm="1">
        <f t="array" ref="W95">_xlfn.IFS(OR(V95="Cancelled", Q95&lt;=2), "Blacklisted", AND(P95&gt;=100000, Q95&gt;=4, O95&lt;=0.1, V95="Completed"), "Platinum", AND(P95&gt;=50000, P95&lt;=99999, Q95&gt;=3, V95="Completed"), "Gold", AND(Q95&lt;50000, V95="Completed"), "Silver", V95="Pending", "Pending")</f>
        <v>Blacklisted</v>
      </c>
    </row>
    <row r="96" spans="1:23" x14ac:dyDescent="0.5">
      <c r="A96" s="15" t="s">
        <v>576</v>
      </c>
      <c r="B96" s="15" t="s">
        <v>327</v>
      </c>
      <c r="C96" s="15" t="s">
        <v>92</v>
      </c>
      <c r="D96" s="15" t="s">
        <v>577</v>
      </c>
      <c r="E96" s="15" t="s">
        <v>578</v>
      </c>
      <c r="F96" s="15" t="s">
        <v>394</v>
      </c>
      <c r="G96" s="15" t="s">
        <v>76</v>
      </c>
      <c r="H96" s="15" t="s">
        <v>579</v>
      </c>
      <c r="I96" s="15" t="s">
        <v>44</v>
      </c>
      <c r="J96" s="15" t="s">
        <v>45</v>
      </c>
      <c r="K96" s="15" t="s">
        <v>32</v>
      </c>
      <c r="L96" s="15" t="s">
        <v>97</v>
      </c>
      <c r="M96" s="15">
        <v>7</v>
      </c>
      <c r="N96" s="25">
        <v>3500</v>
      </c>
      <c r="O96" s="15">
        <v>15</v>
      </c>
      <c r="P96" s="25">
        <v>20825</v>
      </c>
      <c r="Q96" s="15">
        <v>3</v>
      </c>
      <c r="R96" s="15" t="s">
        <v>48</v>
      </c>
      <c r="S96" s="15" t="s">
        <v>49</v>
      </c>
      <c r="T96" s="15" t="s">
        <v>332</v>
      </c>
      <c r="U96" s="15">
        <v>9393097397</v>
      </c>
      <c r="V96" s="15" t="s">
        <v>38</v>
      </c>
      <c r="W96" s="29" t="str" cm="1">
        <f t="array" ref="W96">_xlfn.IFS(OR(V96="Cancelled", Q96&lt;=2), "Blacklisted", AND(P96&gt;=100000, Q96&gt;=4, O96&lt;=0.1, V96="Completed"), "Platinum", AND(P96&gt;=50000, P96&lt;=99999, Q96&gt;=3, V96="Completed"), "Gold", AND(Q96&lt;50000, V96="Completed"), "Silver", V96="Pending", "Pending")</f>
        <v>Silver</v>
      </c>
    </row>
    <row r="97" spans="1:23" x14ac:dyDescent="0.5">
      <c r="A97" s="17" t="s">
        <v>581</v>
      </c>
      <c r="B97" s="17" t="s">
        <v>100</v>
      </c>
      <c r="C97" s="17" t="s">
        <v>169</v>
      </c>
      <c r="D97" s="17" t="s">
        <v>582</v>
      </c>
      <c r="E97" s="17" t="s">
        <v>583</v>
      </c>
      <c r="F97" s="15" t="s">
        <v>103</v>
      </c>
      <c r="G97" s="17" t="s">
        <v>28</v>
      </c>
      <c r="H97" s="17" t="s">
        <v>584</v>
      </c>
      <c r="I97" s="17" t="s">
        <v>294</v>
      </c>
      <c r="J97" s="17" t="s">
        <v>295</v>
      </c>
      <c r="K97" s="17" t="s">
        <v>32</v>
      </c>
      <c r="L97" s="17" t="s">
        <v>174</v>
      </c>
      <c r="M97" s="17">
        <v>19</v>
      </c>
      <c r="N97" s="26">
        <v>8500</v>
      </c>
      <c r="O97" s="17">
        <v>15</v>
      </c>
      <c r="P97" s="26">
        <v>137275</v>
      </c>
      <c r="Q97" s="17">
        <v>4</v>
      </c>
      <c r="R97" s="17" t="s">
        <v>79</v>
      </c>
      <c r="S97" s="17" t="s">
        <v>151</v>
      </c>
      <c r="T97" s="17" t="s">
        <v>144</v>
      </c>
      <c r="U97" s="17">
        <v>9958032109</v>
      </c>
      <c r="V97" s="17" t="s">
        <v>64</v>
      </c>
      <c r="W97" s="29" t="str" cm="1">
        <f t="array" ref="W97">_xlfn.IFS(OR(V97="Cancelled", Q97&lt;=2), "Blacklisted", AND(P97&gt;=100000, Q97&gt;=4, O97&lt;=0.1, V97="Completed"), "Platinum", AND(P97&gt;=50000, P97&lt;=99999, Q97&gt;=3, V97="Completed"), "Gold", AND(Q97&lt;50000, V97="Completed"), "Silver", V97="Pending", "Pending")</f>
        <v>Pending</v>
      </c>
    </row>
    <row r="98" spans="1:23" x14ac:dyDescent="0.5">
      <c r="A98" s="15" t="s">
        <v>586</v>
      </c>
      <c r="B98" s="15" t="s">
        <v>251</v>
      </c>
      <c r="C98" s="15" t="s">
        <v>40</v>
      </c>
      <c r="D98" s="15" t="s">
        <v>587</v>
      </c>
      <c r="E98" s="15" t="s">
        <v>588</v>
      </c>
      <c r="F98" s="15" t="s">
        <v>254</v>
      </c>
      <c r="G98" s="15" t="s">
        <v>28</v>
      </c>
      <c r="H98" s="15" t="s">
        <v>589</v>
      </c>
      <c r="I98" s="15" t="s">
        <v>138</v>
      </c>
      <c r="J98" s="15" t="s">
        <v>106</v>
      </c>
      <c r="K98" s="15" t="s">
        <v>46</v>
      </c>
      <c r="L98" s="15" t="s">
        <v>47</v>
      </c>
      <c r="M98" s="15">
        <v>13</v>
      </c>
      <c r="N98" s="25">
        <v>12000</v>
      </c>
      <c r="O98" s="15">
        <v>15</v>
      </c>
      <c r="P98" s="25">
        <v>132600</v>
      </c>
      <c r="Q98" s="15">
        <v>4</v>
      </c>
      <c r="R98" s="15" t="s">
        <v>34</v>
      </c>
      <c r="S98" s="15" t="s">
        <v>49</v>
      </c>
      <c r="T98" s="15" t="s">
        <v>256</v>
      </c>
      <c r="U98" s="15">
        <v>9755082957</v>
      </c>
      <c r="V98" s="15" t="s">
        <v>38</v>
      </c>
      <c r="W98" s="29" t="str" cm="1">
        <f t="array" ref="W98">_xlfn.IFS(OR(V98="Cancelled", Q98&lt;=2), "Blacklisted", AND(P98&gt;=100000, Q98&gt;=4, O98&lt;=0.1, V98="Completed"), "Platinum", AND(P98&gt;=50000, P98&lt;=99999, Q98&gt;=3, V98="Completed"), "Gold", AND(Q98&lt;50000, V98="Completed"), "Silver", V98="Pending", "Pending")</f>
        <v>Silver</v>
      </c>
    </row>
    <row r="99" spans="1:23" x14ac:dyDescent="0.5">
      <c r="A99" s="17" t="s">
        <v>591</v>
      </c>
      <c r="B99" s="17" t="s">
        <v>327</v>
      </c>
      <c r="C99" s="17" t="s">
        <v>222</v>
      </c>
      <c r="D99" s="17" t="s">
        <v>592</v>
      </c>
      <c r="E99" s="17" t="s">
        <v>398</v>
      </c>
      <c r="F99" s="15" t="s">
        <v>394</v>
      </c>
      <c r="G99" s="17" t="s">
        <v>76</v>
      </c>
      <c r="H99" s="17" t="s">
        <v>593</v>
      </c>
      <c r="I99" s="17" t="s">
        <v>114</v>
      </c>
      <c r="J99" s="17" t="s">
        <v>106</v>
      </c>
      <c r="K99" s="17" t="s">
        <v>122</v>
      </c>
      <c r="L99" s="17" t="s">
        <v>227</v>
      </c>
      <c r="M99" s="17">
        <v>7</v>
      </c>
      <c r="N99" s="26">
        <v>20</v>
      </c>
      <c r="O99" s="17">
        <v>0</v>
      </c>
      <c r="P99" s="26">
        <v>140</v>
      </c>
      <c r="Q99" s="17">
        <v>1</v>
      </c>
      <c r="R99" s="17" t="s">
        <v>79</v>
      </c>
      <c r="S99" s="17" t="s">
        <v>151</v>
      </c>
      <c r="T99" s="17" t="s">
        <v>332</v>
      </c>
      <c r="U99" s="17">
        <v>9872235856</v>
      </c>
      <c r="V99" s="17" t="s">
        <v>69</v>
      </c>
      <c r="W99" s="29" t="str" cm="1">
        <f t="array" ref="W99">_xlfn.IFS(OR(V99="Cancelled", Q99&lt;=2), "Blacklisted", AND(P99&gt;=100000, Q99&gt;=4, O99&lt;=0.1, V99="Completed"), "Platinum", AND(P99&gt;=50000, P99&lt;=99999, Q99&gt;=3, V99="Completed"), "Gold", AND(Q99&lt;50000, V99="Completed"), "Silver", V99="Pending", "Pending")</f>
        <v>Blacklisted</v>
      </c>
    </row>
    <row r="100" spans="1:23" x14ac:dyDescent="0.5">
      <c r="A100" s="15" t="s">
        <v>595</v>
      </c>
      <c r="B100" s="15" t="s">
        <v>168</v>
      </c>
      <c r="C100" s="15" t="s">
        <v>184</v>
      </c>
      <c r="D100" s="15" t="s">
        <v>596</v>
      </c>
      <c r="E100" s="15" t="s">
        <v>597</v>
      </c>
      <c r="F100" s="15" t="s">
        <v>361</v>
      </c>
      <c r="G100" s="15" t="s">
        <v>28</v>
      </c>
      <c r="H100" s="15" t="s">
        <v>598</v>
      </c>
      <c r="I100" s="15" t="s">
        <v>44</v>
      </c>
      <c r="J100" s="15" t="s">
        <v>45</v>
      </c>
      <c r="K100" s="15" t="s">
        <v>46</v>
      </c>
      <c r="L100" s="15" t="s">
        <v>189</v>
      </c>
      <c r="M100" s="15">
        <v>5</v>
      </c>
      <c r="N100" s="25">
        <v>700</v>
      </c>
      <c r="O100" s="15">
        <v>15</v>
      </c>
      <c r="P100" s="25">
        <v>999999</v>
      </c>
      <c r="Q100" s="15">
        <v>4</v>
      </c>
      <c r="R100" s="15" t="s">
        <v>79</v>
      </c>
      <c r="S100" s="15" t="s">
        <v>35</v>
      </c>
      <c r="T100" s="15" t="s">
        <v>175</v>
      </c>
      <c r="U100" s="15">
        <v>9335138816</v>
      </c>
      <c r="V100" s="15" t="s">
        <v>64</v>
      </c>
      <c r="W100" s="29" t="str" cm="1">
        <f t="array" ref="W100">_xlfn.IFS(OR(V100="Cancelled", Q100&lt;=2), "Blacklisted", AND(P100&gt;=100000, Q100&gt;=4, O100&lt;=0.1, V100="Completed"), "Platinum", AND(P100&gt;=50000, P100&lt;=99999, Q100&gt;=3, V100="Completed"), "Gold", AND(Q100&lt;50000, V100="Completed"), "Silver", V100="Pending", "Pending")</f>
        <v>Pending</v>
      </c>
    </row>
    <row r="101" spans="1:23" x14ac:dyDescent="0.5">
      <c r="A101" s="17" t="s">
        <v>600</v>
      </c>
      <c r="B101" s="17" t="s">
        <v>83</v>
      </c>
      <c r="C101" s="17" t="s">
        <v>259</v>
      </c>
      <c r="D101" s="17" t="s">
        <v>583</v>
      </c>
      <c r="E101" s="17" t="s">
        <v>601</v>
      </c>
      <c r="F101" s="15" t="s">
        <v>180</v>
      </c>
      <c r="G101" s="17" t="s">
        <v>76</v>
      </c>
      <c r="H101" s="17" t="s">
        <v>602</v>
      </c>
      <c r="I101" s="17" t="s">
        <v>59</v>
      </c>
      <c r="J101" s="17" t="s">
        <v>31</v>
      </c>
      <c r="K101" s="17" t="s">
        <v>122</v>
      </c>
      <c r="L101" s="17" t="s">
        <v>263</v>
      </c>
      <c r="M101" s="17">
        <v>9</v>
      </c>
      <c r="N101" s="26">
        <v>45</v>
      </c>
      <c r="O101" s="17">
        <v>5</v>
      </c>
      <c r="P101" s="26">
        <v>384.75</v>
      </c>
      <c r="Q101" s="17">
        <v>3</v>
      </c>
      <c r="R101" s="17" t="s">
        <v>34</v>
      </c>
      <c r="S101" s="17" t="s">
        <v>35</v>
      </c>
      <c r="T101" s="17" t="s">
        <v>89</v>
      </c>
      <c r="U101" s="17">
        <v>9750365609</v>
      </c>
      <c r="V101" s="17" t="s">
        <v>38</v>
      </c>
      <c r="W101" s="29" t="str" cm="1">
        <f t="array" ref="W101">_xlfn.IFS(OR(V101="Cancelled", Q101&lt;=2), "Blacklisted", AND(P101&gt;=100000, Q101&gt;=4, O101&lt;=0.1, V101="Completed"), "Platinum", AND(P101&gt;=50000, P101&lt;=99999, Q101&gt;=3, V101="Completed"), "Gold", AND(Q101&lt;50000, V101="Completed"), "Silver", V101="Pending", "Pending")</f>
        <v>Silver</v>
      </c>
    </row>
    <row r="102" spans="1:23" x14ac:dyDescent="0.5">
      <c r="A102" s="15" t="s">
        <v>604</v>
      </c>
      <c r="B102" s="15" t="s">
        <v>127</v>
      </c>
      <c r="C102" s="15" t="s">
        <v>118</v>
      </c>
      <c r="D102" s="15" t="s">
        <v>605</v>
      </c>
      <c r="E102" s="15" t="s">
        <v>606</v>
      </c>
      <c r="F102" s="15" t="s">
        <v>200</v>
      </c>
      <c r="G102" s="15" t="s">
        <v>76</v>
      </c>
      <c r="H102" s="15" t="s">
        <v>607</v>
      </c>
      <c r="I102" s="15" t="s">
        <v>294</v>
      </c>
      <c r="J102" s="15" t="s">
        <v>295</v>
      </c>
      <c r="K102" s="15" t="s">
        <v>122</v>
      </c>
      <c r="L102" s="15" t="s">
        <v>123</v>
      </c>
      <c r="M102" s="15">
        <v>19</v>
      </c>
      <c r="N102" s="25">
        <v>60</v>
      </c>
      <c r="O102" s="15">
        <v>10</v>
      </c>
      <c r="P102" s="25">
        <v>1026</v>
      </c>
      <c r="Q102" s="15">
        <v>5</v>
      </c>
      <c r="R102" s="15" t="s">
        <v>48</v>
      </c>
      <c r="S102" s="15" t="s">
        <v>115</v>
      </c>
      <c r="T102" s="15" t="s">
        <v>132</v>
      </c>
      <c r="U102" s="15">
        <v>9736812737</v>
      </c>
      <c r="V102" s="15" t="s">
        <v>38</v>
      </c>
      <c r="W102" s="29" t="str" cm="1">
        <f t="array" ref="W102">_xlfn.IFS(OR(V102="Cancelled", Q102&lt;=2), "Blacklisted", AND(P102&gt;=100000, Q102&gt;=4, O102&lt;=0.1, V102="Completed"), "Platinum", AND(P102&gt;=50000, P102&lt;=99999, Q102&gt;=3, V102="Completed"), "Gold", AND(Q102&lt;50000, V102="Completed"), "Silver", V102="Pending", "Pending")</f>
        <v>Silver</v>
      </c>
    </row>
    <row r="103" spans="1:23" x14ac:dyDescent="0.5">
      <c r="A103" s="17" t="s">
        <v>609</v>
      </c>
      <c r="B103" s="17" t="s">
        <v>327</v>
      </c>
      <c r="C103" s="17" t="s">
        <v>184</v>
      </c>
      <c r="D103" s="17" t="s">
        <v>610</v>
      </c>
      <c r="E103" s="17" t="s">
        <v>611</v>
      </c>
      <c r="F103" s="15" t="s">
        <v>394</v>
      </c>
      <c r="G103" s="17" t="s">
        <v>76</v>
      </c>
      <c r="H103" s="17" t="s">
        <v>612</v>
      </c>
      <c r="I103" s="17" t="s">
        <v>138</v>
      </c>
      <c r="J103" s="17" t="s">
        <v>106</v>
      </c>
      <c r="K103" s="17" t="s">
        <v>46</v>
      </c>
      <c r="L103" s="17" t="s">
        <v>189</v>
      </c>
      <c r="M103" s="17">
        <v>4</v>
      </c>
      <c r="N103" s="26">
        <v>700</v>
      </c>
      <c r="O103" s="17">
        <v>5</v>
      </c>
      <c r="P103" s="26">
        <v>2660</v>
      </c>
      <c r="Q103" s="17">
        <v>3</v>
      </c>
      <c r="R103" s="17" t="s">
        <v>48</v>
      </c>
      <c r="S103" s="17" t="s">
        <v>61</v>
      </c>
      <c r="T103" s="17" t="s">
        <v>332</v>
      </c>
      <c r="U103" s="17">
        <v>9271420931</v>
      </c>
      <c r="V103" s="17" t="s">
        <v>38</v>
      </c>
      <c r="W103" s="29" t="str" cm="1">
        <f t="array" ref="W103">_xlfn.IFS(OR(V103="Cancelled", Q103&lt;=2), "Blacklisted", AND(P103&gt;=100000, Q103&gt;=4, O103&lt;=0.1, V103="Completed"), "Platinum", AND(P103&gt;=50000, P103&lt;=99999, Q103&gt;=3, V103="Completed"), "Gold", AND(Q103&lt;50000, V103="Completed"), "Silver", V103="Pending", "Pending")</f>
        <v>Silver</v>
      </c>
    </row>
    <row r="104" spans="1:23" x14ac:dyDescent="0.5">
      <c r="A104" s="15" t="s">
        <v>614</v>
      </c>
      <c r="B104" s="15" t="s">
        <v>327</v>
      </c>
      <c r="C104" s="15" t="s">
        <v>92</v>
      </c>
      <c r="D104" s="15" t="s">
        <v>583</v>
      </c>
      <c r="E104" s="15" t="s">
        <v>615</v>
      </c>
      <c r="F104" s="15" t="s">
        <v>394</v>
      </c>
      <c r="G104" s="15" t="s">
        <v>76</v>
      </c>
      <c r="H104" s="15" t="s">
        <v>616</v>
      </c>
      <c r="I104" s="15" t="s">
        <v>114</v>
      </c>
      <c r="J104" s="15" t="s">
        <v>106</v>
      </c>
      <c r="K104" s="15" t="s">
        <v>32</v>
      </c>
      <c r="L104" s="15" t="s">
        <v>97</v>
      </c>
      <c r="M104" s="15">
        <v>16</v>
      </c>
      <c r="N104" s="25">
        <v>3500</v>
      </c>
      <c r="O104" s="15">
        <v>0</v>
      </c>
      <c r="P104" s="25">
        <v>56000</v>
      </c>
      <c r="Q104" s="15">
        <v>2</v>
      </c>
      <c r="R104" s="15" t="s">
        <v>79</v>
      </c>
      <c r="S104" s="15" t="s">
        <v>49</v>
      </c>
      <c r="T104" s="15" t="s">
        <v>332</v>
      </c>
      <c r="U104" s="15">
        <v>9781411370</v>
      </c>
      <c r="V104" s="15" t="s">
        <v>38</v>
      </c>
      <c r="W104" s="29" t="str" cm="1">
        <f t="array" ref="W104">_xlfn.IFS(OR(V104="Cancelled", Q104&lt;=2), "Blacklisted", AND(P104&gt;=100000, Q104&gt;=4, O104&lt;=0.1, V104="Completed"), "Platinum", AND(P104&gt;=50000, P104&lt;=99999, Q104&gt;=3, V104="Completed"), "Gold", AND(Q104&lt;50000, V104="Completed"), "Silver", V104="Pending", "Pending")</f>
        <v>Blacklisted</v>
      </c>
    </row>
    <row r="105" spans="1:23" x14ac:dyDescent="0.5">
      <c r="A105" s="17" t="s">
        <v>618</v>
      </c>
      <c r="B105" s="17" t="s">
        <v>251</v>
      </c>
      <c r="C105" s="17" t="s">
        <v>259</v>
      </c>
      <c r="D105" s="17" t="s">
        <v>619</v>
      </c>
      <c r="E105" s="17" t="s">
        <v>620</v>
      </c>
      <c r="F105" s="15" t="s">
        <v>254</v>
      </c>
      <c r="G105" s="17" t="s">
        <v>28</v>
      </c>
      <c r="H105" s="17" t="s">
        <v>621</v>
      </c>
      <c r="I105" s="17" t="s">
        <v>59</v>
      </c>
      <c r="J105" s="17" t="s">
        <v>31</v>
      </c>
      <c r="K105" s="17" t="s">
        <v>122</v>
      </c>
      <c r="L105" s="17" t="s">
        <v>263</v>
      </c>
      <c r="M105" s="17">
        <v>5</v>
      </c>
      <c r="N105" s="26">
        <v>45</v>
      </c>
      <c r="O105" s="17">
        <v>20</v>
      </c>
      <c r="P105" s="26">
        <v>180</v>
      </c>
      <c r="Q105" s="17">
        <v>3</v>
      </c>
      <c r="R105" s="17" t="s">
        <v>79</v>
      </c>
      <c r="S105" s="17" t="s">
        <v>35</v>
      </c>
      <c r="T105" s="17" t="s">
        <v>256</v>
      </c>
      <c r="U105" s="17">
        <v>9584152818</v>
      </c>
      <c r="V105" s="17" t="s">
        <v>38</v>
      </c>
      <c r="W105" s="29" t="str" cm="1">
        <f t="array" ref="W105">_xlfn.IFS(OR(V105="Cancelled", Q105&lt;=2), "Blacklisted", AND(P105&gt;=100000, Q105&gt;=4, O105&lt;=0.1, V105="Completed"), "Platinum", AND(P105&gt;=50000, P105&lt;=99999, Q105&gt;=3, V105="Completed"), "Gold", AND(Q105&lt;50000, V105="Completed"), "Silver", V105="Pending", "Pending")</f>
        <v>Silver</v>
      </c>
    </row>
    <row r="106" spans="1:23" x14ac:dyDescent="0.5">
      <c r="A106" s="15" t="s">
        <v>623</v>
      </c>
      <c r="B106" s="15" t="s">
        <v>83</v>
      </c>
      <c r="C106" s="15" t="s">
        <v>222</v>
      </c>
      <c r="D106" s="15" t="s">
        <v>624</v>
      </c>
      <c r="E106" s="15" t="s">
        <v>525</v>
      </c>
      <c r="F106" s="15" t="s">
        <v>180</v>
      </c>
      <c r="G106" s="15" t="s">
        <v>76</v>
      </c>
      <c r="H106" s="15" t="s">
        <v>625</v>
      </c>
      <c r="I106" s="15" t="s">
        <v>105</v>
      </c>
      <c r="J106" s="15" t="s">
        <v>106</v>
      </c>
      <c r="K106" s="15" t="s">
        <v>122</v>
      </c>
      <c r="L106" s="15" t="s">
        <v>227</v>
      </c>
      <c r="M106" s="15">
        <v>9</v>
      </c>
      <c r="N106" s="25">
        <v>20</v>
      </c>
      <c r="O106" s="15">
        <v>10</v>
      </c>
      <c r="P106" s="25">
        <v>162</v>
      </c>
      <c r="Q106" s="15">
        <v>4</v>
      </c>
      <c r="R106" s="15" t="s">
        <v>79</v>
      </c>
      <c r="S106" s="15" t="s">
        <v>35</v>
      </c>
      <c r="T106" s="15" t="s">
        <v>89</v>
      </c>
      <c r="U106" s="15">
        <v>9507986836</v>
      </c>
      <c r="V106" s="15" t="s">
        <v>64</v>
      </c>
      <c r="W106" s="29" t="str" cm="1">
        <f t="array" ref="W106">_xlfn.IFS(OR(V106="Cancelled", Q106&lt;=2), "Blacklisted", AND(P106&gt;=100000, Q106&gt;=4, O106&lt;=0.1, V106="Completed"), "Platinum", AND(P106&gt;=50000, P106&lt;=99999, Q106&gt;=3, V106="Completed"), "Gold", AND(Q106&lt;50000, V106="Completed"), "Silver", V106="Pending", "Pending")</f>
        <v>Pending</v>
      </c>
    </row>
    <row r="107" spans="1:23" x14ac:dyDescent="0.5">
      <c r="A107" s="17" t="s">
        <v>627</v>
      </c>
      <c r="B107" s="17" t="s">
        <v>53</v>
      </c>
      <c r="C107" s="17" t="s">
        <v>72</v>
      </c>
      <c r="D107" s="17" t="s">
        <v>628</v>
      </c>
      <c r="E107" s="17" t="s">
        <v>431</v>
      </c>
      <c r="F107" s="15" t="s">
        <v>163</v>
      </c>
      <c r="G107" s="17" t="s">
        <v>28</v>
      </c>
      <c r="H107" s="17" t="s">
        <v>629</v>
      </c>
      <c r="I107" s="17" t="s">
        <v>44</v>
      </c>
      <c r="J107" s="17" t="s">
        <v>45</v>
      </c>
      <c r="K107" s="17" t="s">
        <v>46</v>
      </c>
      <c r="L107" s="17" t="s">
        <v>78</v>
      </c>
      <c r="M107" s="17">
        <v>9</v>
      </c>
      <c r="N107" s="26">
        <v>1200</v>
      </c>
      <c r="O107" s="17">
        <v>5</v>
      </c>
      <c r="P107" s="26">
        <v>10260</v>
      </c>
      <c r="Q107" s="17">
        <v>3</v>
      </c>
      <c r="R107" s="17" t="s">
        <v>88</v>
      </c>
      <c r="S107" s="17" t="s">
        <v>35</v>
      </c>
      <c r="T107" s="17" t="s">
        <v>62</v>
      </c>
      <c r="U107" s="17">
        <v>9518249687</v>
      </c>
      <c r="V107" s="17" t="s">
        <v>64</v>
      </c>
      <c r="W107" s="29" t="str" cm="1">
        <f t="array" ref="W107">_xlfn.IFS(OR(V107="Cancelled", Q107&lt;=2), "Blacklisted", AND(P107&gt;=100000, Q107&gt;=4, O107&lt;=0.1, V107="Completed"), "Platinum", AND(P107&gt;=50000, P107&lt;=99999, Q107&gt;=3, V107="Completed"), "Gold", AND(Q107&lt;50000, V107="Completed"), "Silver", V107="Pending", "Pending")</f>
        <v>Pending</v>
      </c>
    </row>
    <row r="108" spans="1:23" x14ac:dyDescent="0.5">
      <c r="A108" s="15" t="s">
        <v>631</v>
      </c>
      <c r="B108" s="15" t="s">
        <v>100</v>
      </c>
      <c r="C108" s="15" t="s">
        <v>92</v>
      </c>
      <c r="D108" s="15" t="s">
        <v>387</v>
      </c>
      <c r="E108" s="15" t="s">
        <v>632</v>
      </c>
      <c r="F108" s="15" t="s">
        <v>103</v>
      </c>
      <c r="G108" s="15" t="s">
        <v>28</v>
      </c>
      <c r="H108" s="15" t="s">
        <v>633</v>
      </c>
      <c r="I108" s="15" t="s">
        <v>44</v>
      </c>
      <c r="J108" s="15" t="s">
        <v>45</v>
      </c>
      <c r="K108" s="15" t="s">
        <v>32</v>
      </c>
      <c r="L108" s="15" t="s">
        <v>97</v>
      </c>
      <c r="M108" s="15">
        <v>3</v>
      </c>
      <c r="N108" s="25">
        <v>3500</v>
      </c>
      <c r="O108" s="15">
        <v>10</v>
      </c>
      <c r="P108" s="25">
        <v>9450</v>
      </c>
      <c r="Q108" s="15">
        <v>2</v>
      </c>
      <c r="R108" s="15" t="s">
        <v>79</v>
      </c>
      <c r="S108" s="15" t="s">
        <v>151</v>
      </c>
      <c r="T108" s="15" t="s">
        <v>144</v>
      </c>
      <c r="U108" s="15">
        <v>9179328207</v>
      </c>
      <c r="V108" s="15" t="s">
        <v>69</v>
      </c>
      <c r="W108" s="29" t="str" cm="1">
        <f t="array" ref="W108">_xlfn.IFS(OR(V108="Cancelled", Q108&lt;=2), "Blacklisted", AND(P108&gt;=100000, Q108&gt;=4, O108&lt;=0.1, V108="Completed"), "Platinum", AND(P108&gt;=50000, P108&lt;=99999, Q108&gt;=3, V108="Completed"), "Gold", AND(Q108&lt;50000, V108="Completed"), "Silver", V108="Pending", "Pending")</f>
        <v>Blacklisted</v>
      </c>
    </row>
    <row r="109" spans="1:23" x14ac:dyDescent="0.5">
      <c r="A109" s="17" t="s">
        <v>635</v>
      </c>
      <c r="B109" s="17" t="s">
        <v>221</v>
      </c>
      <c r="C109" s="17" t="s">
        <v>72</v>
      </c>
      <c r="D109" s="17" t="s">
        <v>241</v>
      </c>
      <c r="E109" s="17" t="s">
        <v>636</v>
      </c>
      <c r="F109" s="15" t="s">
        <v>225</v>
      </c>
      <c r="G109" s="17" t="s">
        <v>76</v>
      </c>
      <c r="H109" s="17" t="s">
        <v>637</v>
      </c>
      <c r="I109" s="17" t="s">
        <v>105</v>
      </c>
      <c r="J109" s="17" t="s">
        <v>106</v>
      </c>
      <c r="K109" s="17" t="s">
        <v>46</v>
      </c>
      <c r="L109" s="17" t="s">
        <v>78</v>
      </c>
      <c r="M109" s="17">
        <v>6</v>
      </c>
      <c r="N109" s="26">
        <v>1200</v>
      </c>
      <c r="O109" s="17">
        <v>15</v>
      </c>
      <c r="P109" s="26">
        <v>6120</v>
      </c>
      <c r="Q109" s="17">
        <v>4</v>
      </c>
      <c r="R109" s="17" t="s">
        <v>88</v>
      </c>
      <c r="S109" s="17" t="s">
        <v>35</v>
      </c>
      <c r="T109" s="17" t="s">
        <v>228</v>
      </c>
      <c r="U109" s="17">
        <v>9778490728</v>
      </c>
      <c r="V109" s="17" t="s">
        <v>69</v>
      </c>
      <c r="W109" s="29" t="str" cm="1">
        <f t="array" ref="W109">_xlfn.IFS(OR(V109="Cancelled", Q109&lt;=2), "Blacklisted", AND(P109&gt;=100000, Q109&gt;=4, O109&lt;=0.1, V109="Completed"), "Platinum", AND(P109&gt;=50000, P109&lt;=99999, Q109&gt;=3, V109="Completed"), "Gold", AND(Q109&lt;50000, V109="Completed"), "Silver", V109="Pending", "Pending")</f>
        <v>Blacklisted</v>
      </c>
    </row>
    <row r="110" spans="1:23" x14ac:dyDescent="0.5">
      <c r="A110" s="15" t="s">
        <v>639</v>
      </c>
      <c r="B110" s="15" t="s">
        <v>83</v>
      </c>
      <c r="C110" s="15" t="s">
        <v>72</v>
      </c>
      <c r="D110" s="15" t="s">
        <v>640</v>
      </c>
      <c r="E110" s="15" t="s">
        <v>641</v>
      </c>
      <c r="F110" s="15" t="s">
        <v>180</v>
      </c>
      <c r="G110" s="15" t="s">
        <v>76</v>
      </c>
      <c r="H110" s="15" t="s">
        <v>642</v>
      </c>
      <c r="I110" s="15" t="s">
        <v>212</v>
      </c>
      <c r="J110" s="15" t="s">
        <v>45</v>
      </c>
      <c r="K110" s="15" t="s">
        <v>46</v>
      </c>
      <c r="L110" s="15" t="s">
        <v>78</v>
      </c>
      <c r="M110" s="15">
        <v>17</v>
      </c>
      <c r="N110" s="25">
        <v>1200</v>
      </c>
      <c r="O110" s="15">
        <v>15</v>
      </c>
      <c r="P110" s="25">
        <v>17340</v>
      </c>
      <c r="Q110" s="15">
        <v>1</v>
      </c>
      <c r="R110" s="15" t="s">
        <v>34</v>
      </c>
      <c r="S110" s="15" t="s">
        <v>61</v>
      </c>
      <c r="T110" s="15" t="s">
        <v>89</v>
      </c>
      <c r="U110" s="15">
        <v>9223058722</v>
      </c>
      <c r="V110" s="15" t="s">
        <v>38</v>
      </c>
      <c r="W110" s="29" t="str" cm="1">
        <f t="array" ref="W110">_xlfn.IFS(OR(V110="Cancelled", Q110&lt;=2), "Blacklisted", AND(P110&gt;=100000, Q110&gt;=4, O110&lt;=0.1, V110="Completed"), "Platinum", AND(P110&gt;=50000, P110&lt;=99999, Q110&gt;=3, V110="Completed"), "Gold", AND(Q110&lt;50000, V110="Completed"), "Silver", V110="Pending", "Pending")</f>
        <v>Blacklisted</v>
      </c>
    </row>
    <row r="111" spans="1:23" x14ac:dyDescent="0.5">
      <c r="A111" s="17" t="s">
        <v>644</v>
      </c>
      <c r="B111" s="17" t="s">
        <v>221</v>
      </c>
      <c r="C111" s="17" t="s">
        <v>169</v>
      </c>
      <c r="D111" s="17" t="s">
        <v>645</v>
      </c>
      <c r="E111" s="17" t="s">
        <v>287</v>
      </c>
      <c r="F111" s="15" t="s">
        <v>225</v>
      </c>
      <c r="G111" s="17" t="s">
        <v>76</v>
      </c>
      <c r="H111" s="17" t="s">
        <v>646</v>
      </c>
      <c r="I111" s="17" t="s">
        <v>59</v>
      </c>
      <c r="J111" s="17" t="s">
        <v>31</v>
      </c>
      <c r="K111" s="17" t="s">
        <v>32</v>
      </c>
      <c r="L111" s="17" t="s">
        <v>174</v>
      </c>
      <c r="M111" s="17">
        <v>15</v>
      </c>
      <c r="N111" s="26">
        <v>8500</v>
      </c>
      <c r="O111" s="17">
        <v>0</v>
      </c>
      <c r="P111" s="26">
        <v>127500</v>
      </c>
      <c r="Q111" s="17">
        <v>3</v>
      </c>
      <c r="R111" s="17" t="s">
        <v>34</v>
      </c>
      <c r="S111" s="17" t="s">
        <v>115</v>
      </c>
      <c r="T111" s="17" t="s">
        <v>228</v>
      </c>
      <c r="U111" s="17">
        <v>9999889465</v>
      </c>
      <c r="V111" s="17" t="s">
        <v>64</v>
      </c>
      <c r="W111" s="29" t="str" cm="1">
        <f t="array" ref="W111">_xlfn.IFS(OR(V111="Cancelled", Q111&lt;=2), "Blacklisted", AND(P111&gt;=100000, Q111&gt;=4, O111&lt;=0.1, V111="Completed"), "Platinum", AND(P111&gt;=50000, P111&lt;=99999, Q111&gt;=3, V111="Completed"), "Gold", AND(Q111&lt;50000, V111="Completed"), "Silver", V111="Pending", "Pending")</f>
        <v>Pending</v>
      </c>
    </row>
    <row r="112" spans="1:23" x14ac:dyDescent="0.5">
      <c r="A112" s="15" t="s">
        <v>648</v>
      </c>
      <c r="B112" s="15" t="s">
        <v>127</v>
      </c>
      <c r="C112" s="15" t="s">
        <v>72</v>
      </c>
      <c r="D112" s="15" t="s">
        <v>101</v>
      </c>
      <c r="E112" s="15" t="s">
        <v>102</v>
      </c>
      <c r="F112" s="15" t="s">
        <v>200</v>
      </c>
      <c r="G112" s="15" t="s">
        <v>76</v>
      </c>
      <c r="H112" s="15" t="s">
        <v>649</v>
      </c>
      <c r="I112" s="15" t="s">
        <v>30</v>
      </c>
      <c r="J112" s="15" t="s">
        <v>31</v>
      </c>
      <c r="K112" s="15" t="s">
        <v>46</v>
      </c>
      <c r="L112" s="15" t="s">
        <v>78</v>
      </c>
      <c r="M112" s="15">
        <v>1</v>
      </c>
      <c r="N112" s="25">
        <v>1200</v>
      </c>
      <c r="O112" s="15">
        <v>20</v>
      </c>
      <c r="P112" s="25">
        <v>960</v>
      </c>
      <c r="Q112" s="15">
        <v>1</v>
      </c>
      <c r="R112" s="15" t="s">
        <v>88</v>
      </c>
      <c r="S112" s="15" t="s">
        <v>115</v>
      </c>
      <c r="T112" s="15" t="s">
        <v>132</v>
      </c>
      <c r="U112" s="15">
        <v>9489687402</v>
      </c>
      <c r="V112" s="15" t="s">
        <v>64</v>
      </c>
      <c r="W112" s="29" t="str" cm="1">
        <f t="array" ref="W112">_xlfn.IFS(OR(V112="Cancelled", Q112&lt;=2), "Blacklisted", AND(P112&gt;=100000, Q112&gt;=4, O112&lt;=0.1, V112="Completed"), "Platinum", AND(P112&gt;=50000, P112&lt;=99999, Q112&gt;=3, V112="Completed"), "Gold", AND(Q112&lt;50000, V112="Completed"), "Silver", V112="Pending", "Pending")</f>
        <v>Blacklisted</v>
      </c>
    </row>
    <row r="113" spans="1:23" x14ac:dyDescent="0.5">
      <c r="A113" s="17" t="s">
        <v>651</v>
      </c>
      <c r="B113" s="17" t="s">
        <v>127</v>
      </c>
      <c r="C113" s="17" t="s">
        <v>169</v>
      </c>
      <c r="D113" s="17" t="s">
        <v>652</v>
      </c>
      <c r="E113" s="17" t="s">
        <v>539</v>
      </c>
      <c r="F113" s="15" t="s">
        <v>200</v>
      </c>
      <c r="G113" s="17" t="s">
        <v>76</v>
      </c>
      <c r="H113" s="17" t="s">
        <v>653</v>
      </c>
      <c r="I113" s="17" t="s">
        <v>294</v>
      </c>
      <c r="J113" s="17" t="s">
        <v>295</v>
      </c>
      <c r="K113" s="17" t="s">
        <v>32</v>
      </c>
      <c r="L113" s="17" t="s">
        <v>174</v>
      </c>
      <c r="M113" s="17">
        <v>5</v>
      </c>
      <c r="N113" s="26">
        <v>8500</v>
      </c>
      <c r="O113" s="17">
        <v>10</v>
      </c>
      <c r="P113" s="26">
        <v>38250</v>
      </c>
      <c r="Q113" s="17">
        <v>1</v>
      </c>
      <c r="R113" s="17" t="s">
        <v>79</v>
      </c>
      <c r="S113" s="17" t="s">
        <v>61</v>
      </c>
      <c r="T113" s="17" t="s">
        <v>132</v>
      </c>
      <c r="U113" s="17">
        <v>9236963301</v>
      </c>
      <c r="V113" s="17" t="s">
        <v>38</v>
      </c>
      <c r="W113" s="29" t="str" cm="1">
        <f t="array" ref="W113">_xlfn.IFS(OR(V113="Cancelled", Q113&lt;=2), "Blacklisted", AND(P113&gt;=100000, Q113&gt;=4, O113&lt;=0.1, V113="Completed"), "Platinum", AND(P113&gt;=50000, P113&lt;=99999, Q113&gt;=3, V113="Completed"), "Gold", AND(Q113&lt;50000, V113="Completed"), "Silver", V113="Pending", "Pending")</f>
        <v>Blacklisted</v>
      </c>
    </row>
    <row r="114" spans="1:23" x14ac:dyDescent="0.5">
      <c r="A114" s="15" t="s">
        <v>655</v>
      </c>
      <c r="B114" s="15" t="s">
        <v>53</v>
      </c>
      <c r="C114" s="15" t="s">
        <v>259</v>
      </c>
      <c r="D114" s="15" t="s">
        <v>656</v>
      </c>
      <c r="E114" s="15" t="s">
        <v>657</v>
      </c>
      <c r="F114" s="15" t="s">
        <v>163</v>
      </c>
      <c r="G114" s="15" t="s">
        <v>28</v>
      </c>
      <c r="H114" s="15" t="s">
        <v>658</v>
      </c>
      <c r="I114" s="15" t="s">
        <v>30</v>
      </c>
      <c r="J114" s="15" t="s">
        <v>31</v>
      </c>
      <c r="K114" s="15" t="s">
        <v>122</v>
      </c>
      <c r="L114" s="15" t="s">
        <v>263</v>
      </c>
      <c r="M114" s="15">
        <v>12</v>
      </c>
      <c r="N114" s="25">
        <v>45</v>
      </c>
      <c r="O114" s="15">
        <v>5</v>
      </c>
      <c r="P114" s="25">
        <v>513</v>
      </c>
      <c r="Q114" s="15">
        <v>2</v>
      </c>
      <c r="R114" s="15" t="s">
        <v>48</v>
      </c>
      <c r="S114" s="15" t="s">
        <v>35</v>
      </c>
      <c r="T114" s="15" t="s">
        <v>62</v>
      </c>
      <c r="U114" s="15">
        <v>9653594592</v>
      </c>
      <c r="V114" s="15" t="s">
        <v>69</v>
      </c>
      <c r="W114" s="29" t="str" cm="1">
        <f t="array" ref="W114">_xlfn.IFS(OR(V114="Cancelled", Q114&lt;=2), "Blacklisted", AND(P114&gt;=100000, Q114&gt;=4, O114&lt;=0.1, V114="Completed"), "Platinum", AND(P114&gt;=50000, P114&lt;=99999, Q114&gt;=3, V114="Completed"), "Gold", AND(Q114&lt;50000, V114="Completed"), "Silver", V114="Pending", "Pending")</f>
        <v>Blacklisted</v>
      </c>
    </row>
    <row r="115" spans="1:23" x14ac:dyDescent="0.5">
      <c r="A115" s="17" t="s">
        <v>660</v>
      </c>
      <c r="B115" s="17" t="s">
        <v>221</v>
      </c>
      <c r="C115" s="17" t="s">
        <v>118</v>
      </c>
      <c r="D115" s="17" t="s">
        <v>341</v>
      </c>
      <c r="E115" s="17" t="s">
        <v>661</v>
      </c>
      <c r="F115" s="15" t="s">
        <v>225</v>
      </c>
      <c r="G115" s="17" t="s">
        <v>76</v>
      </c>
      <c r="H115" s="17" t="s">
        <v>662</v>
      </c>
      <c r="I115" s="17" t="s">
        <v>114</v>
      </c>
      <c r="J115" s="17" t="s">
        <v>106</v>
      </c>
      <c r="K115" s="17" t="s">
        <v>122</v>
      </c>
      <c r="L115" s="17" t="s">
        <v>123</v>
      </c>
      <c r="M115" s="17">
        <v>5</v>
      </c>
      <c r="N115" s="26">
        <v>60</v>
      </c>
      <c r="O115" s="17">
        <v>5</v>
      </c>
      <c r="P115" s="26">
        <v>285</v>
      </c>
      <c r="Q115" s="17">
        <v>2</v>
      </c>
      <c r="R115" s="17" t="s">
        <v>34</v>
      </c>
      <c r="S115" s="17" t="s">
        <v>61</v>
      </c>
      <c r="T115" s="17" t="s">
        <v>228</v>
      </c>
      <c r="U115" s="17">
        <v>9781970426</v>
      </c>
      <c r="V115" s="17" t="s">
        <v>38</v>
      </c>
      <c r="W115" s="29" t="str" cm="1">
        <f t="array" ref="W115">_xlfn.IFS(OR(V115="Cancelled", Q115&lt;=2), "Blacklisted", AND(P115&gt;=100000, Q115&gt;=4, O115&lt;=0.1, V115="Completed"), "Platinum", AND(P115&gt;=50000, P115&lt;=99999, Q115&gt;=3, V115="Completed"), "Gold", AND(Q115&lt;50000, V115="Completed"), "Silver", V115="Pending", "Pending")</f>
        <v>Blacklisted</v>
      </c>
    </row>
    <row r="116" spans="1:23" x14ac:dyDescent="0.5">
      <c r="A116" s="15" t="s">
        <v>664</v>
      </c>
      <c r="B116" s="15" t="s">
        <v>53</v>
      </c>
      <c r="C116" s="15" t="s">
        <v>184</v>
      </c>
      <c r="D116" s="15" t="s">
        <v>665</v>
      </c>
      <c r="E116" s="15" t="s">
        <v>666</v>
      </c>
      <c r="F116" s="15" t="s">
        <v>163</v>
      </c>
      <c r="G116" s="15" t="s">
        <v>28</v>
      </c>
      <c r="H116" s="15" t="s">
        <v>667</v>
      </c>
      <c r="I116" s="15" t="s">
        <v>294</v>
      </c>
      <c r="J116" s="15" t="s">
        <v>295</v>
      </c>
      <c r="K116" s="15" t="s">
        <v>46</v>
      </c>
      <c r="L116" s="15" t="s">
        <v>189</v>
      </c>
      <c r="M116" s="15">
        <v>3</v>
      </c>
      <c r="N116" s="25">
        <v>700</v>
      </c>
      <c r="O116" s="15">
        <v>0</v>
      </c>
      <c r="P116" s="25">
        <v>2100</v>
      </c>
      <c r="Q116" s="15">
        <v>4</v>
      </c>
      <c r="R116" s="15" t="s">
        <v>79</v>
      </c>
      <c r="S116" s="15" t="s">
        <v>61</v>
      </c>
      <c r="T116" s="15" t="s">
        <v>62</v>
      </c>
      <c r="U116" s="15">
        <v>9862165194</v>
      </c>
      <c r="V116" s="15" t="s">
        <v>38</v>
      </c>
      <c r="W116" s="29" t="str" cm="1">
        <f t="array" ref="W116">_xlfn.IFS(OR(V116="Cancelled", Q116&lt;=2), "Blacklisted", AND(P116&gt;=100000, Q116&gt;=4, O116&lt;=0.1, V116="Completed"), "Platinum", AND(P116&gt;=50000, P116&lt;=99999, Q116&gt;=3, V116="Completed"), "Gold", AND(Q116&lt;50000, V116="Completed"), "Silver", V116="Pending", "Pending")</f>
        <v>Silver</v>
      </c>
    </row>
    <row r="117" spans="1:23" x14ac:dyDescent="0.5">
      <c r="A117" s="17" t="s">
        <v>669</v>
      </c>
      <c r="B117" s="17" t="s">
        <v>168</v>
      </c>
      <c r="C117" s="17" t="s">
        <v>222</v>
      </c>
      <c r="D117" s="17" t="s">
        <v>335</v>
      </c>
      <c r="E117" s="17" t="s">
        <v>606</v>
      </c>
      <c r="F117" s="15" t="s">
        <v>361</v>
      </c>
      <c r="G117" s="17" t="s">
        <v>28</v>
      </c>
      <c r="H117" s="17" t="s">
        <v>670</v>
      </c>
      <c r="I117" s="17" t="s">
        <v>44</v>
      </c>
      <c r="J117" s="17" t="s">
        <v>45</v>
      </c>
      <c r="K117" s="17" t="s">
        <v>122</v>
      </c>
      <c r="L117" s="17" t="s">
        <v>227</v>
      </c>
      <c r="M117" s="17">
        <v>6</v>
      </c>
      <c r="N117" s="26">
        <v>20</v>
      </c>
      <c r="O117" s="17">
        <v>15</v>
      </c>
      <c r="P117" s="26">
        <v>102</v>
      </c>
      <c r="Q117" s="17">
        <v>5</v>
      </c>
      <c r="R117" s="17" t="s">
        <v>79</v>
      </c>
      <c r="S117" s="17" t="s">
        <v>151</v>
      </c>
      <c r="T117" s="17" t="s">
        <v>175</v>
      </c>
      <c r="U117" s="17">
        <v>9661280388</v>
      </c>
      <c r="V117" s="17" t="s">
        <v>38</v>
      </c>
      <c r="W117" s="29" t="str" cm="1">
        <f t="array" ref="W117">_xlfn.IFS(OR(V117="Cancelled", Q117&lt;=2), "Blacklisted", AND(P117&gt;=100000, Q117&gt;=4, O117&lt;=0.1, V117="Completed"), "Platinum", AND(P117&gt;=50000, P117&lt;=99999, Q117&gt;=3, V117="Completed"), "Gold", AND(Q117&lt;50000, V117="Completed"), "Silver", V117="Pending", "Pending")</f>
        <v>Silver</v>
      </c>
    </row>
    <row r="118" spans="1:23" x14ac:dyDescent="0.5">
      <c r="A118" s="15" t="s">
        <v>672</v>
      </c>
      <c r="B118" s="15" t="s">
        <v>100</v>
      </c>
      <c r="C118" s="15" t="s">
        <v>184</v>
      </c>
      <c r="D118" s="15" t="s">
        <v>673</v>
      </c>
      <c r="E118" s="15" t="s">
        <v>674</v>
      </c>
      <c r="F118" s="15" t="s">
        <v>103</v>
      </c>
      <c r="G118" s="15" t="s">
        <v>28</v>
      </c>
      <c r="H118" s="15" t="s">
        <v>675</v>
      </c>
      <c r="I118" s="15" t="s">
        <v>59</v>
      </c>
      <c r="J118" s="15" t="s">
        <v>31</v>
      </c>
      <c r="K118" s="15" t="s">
        <v>46</v>
      </c>
      <c r="L118" s="15" t="s">
        <v>189</v>
      </c>
      <c r="M118" s="15">
        <v>2</v>
      </c>
      <c r="N118" s="25">
        <v>700</v>
      </c>
      <c r="O118" s="15">
        <v>15</v>
      </c>
      <c r="P118" s="25">
        <v>1190</v>
      </c>
      <c r="Q118" s="15">
        <v>4</v>
      </c>
      <c r="R118" s="15" t="s">
        <v>34</v>
      </c>
      <c r="S118" s="15" t="s">
        <v>151</v>
      </c>
      <c r="T118" s="15" t="s">
        <v>144</v>
      </c>
      <c r="U118" s="15">
        <v>9896985355</v>
      </c>
      <c r="V118" s="15" t="s">
        <v>64</v>
      </c>
      <c r="W118" s="29" t="str" cm="1">
        <f t="array" ref="W118">_xlfn.IFS(OR(V118="Cancelled", Q118&lt;=2), "Blacklisted", AND(P118&gt;=100000, Q118&gt;=4, O118&lt;=0.1, V118="Completed"), "Platinum", AND(P118&gt;=50000, P118&lt;=99999, Q118&gt;=3, V118="Completed"), "Gold", AND(Q118&lt;50000, V118="Completed"), "Silver", V118="Pending", "Pending")</f>
        <v>Pending</v>
      </c>
    </row>
    <row r="119" spans="1:23" x14ac:dyDescent="0.5">
      <c r="A119" s="17" t="s">
        <v>677</v>
      </c>
      <c r="B119" s="17" t="s">
        <v>327</v>
      </c>
      <c r="C119" s="17" t="s">
        <v>259</v>
      </c>
      <c r="D119" s="17" t="s">
        <v>678</v>
      </c>
      <c r="E119" s="17" t="s">
        <v>679</v>
      </c>
      <c r="F119" s="15" t="s">
        <v>394</v>
      </c>
      <c r="G119" s="17" t="s">
        <v>76</v>
      </c>
      <c r="H119" s="17" t="s">
        <v>680</v>
      </c>
      <c r="I119" s="17" t="s">
        <v>114</v>
      </c>
      <c r="J119" s="17" t="s">
        <v>106</v>
      </c>
      <c r="K119" s="17" t="s">
        <v>122</v>
      </c>
      <c r="L119" s="17" t="s">
        <v>263</v>
      </c>
      <c r="M119" s="17">
        <v>16</v>
      </c>
      <c r="N119" s="26">
        <v>45</v>
      </c>
      <c r="O119" s="17">
        <v>0</v>
      </c>
      <c r="P119" s="26">
        <v>720</v>
      </c>
      <c r="Q119" s="17">
        <v>1</v>
      </c>
      <c r="R119" s="17" t="s">
        <v>48</v>
      </c>
      <c r="S119" s="17" t="s">
        <v>61</v>
      </c>
      <c r="T119" s="17" t="s">
        <v>332</v>
      </c>
      <c r="U119" s="17">
        <v>9807154421</v>
      </c>
      <c r="V119" s="17" t="s">
        <v>38</v>
      </c>
      <c r="W119" s="29" t="str" cm="1">
        <f t="array" ref="W119">_xlfn.IFS(OR(V119="Cancelled", Q119&lt;=2), "Blacklisted", AND(P119&gt;=100000, Q119&gt;=4, O119&lt;=0.1, V119="Completed"), "Platinum", AND(P119&gt;=50000, P119&lt;=99999, Q119&gt;=3, V119="Completed"), "Gold", AND(Q119&lt;50000, V119="Completed"), "Silver", V119="Pending", "Pending")</f>
        <v>Blacklisted</v>
      </c>
    </row>
    <row r="120" spans="1:23" x14ac:dyDescent="0.5">
      <c r="A120" s="15" t="s">
        <v>682</v>
      </c>
      <c r="B120" s="15" t="s">
        <v>71</v>
      </c>
      <c r="C120" s="15" t="s">
        <v>72</v>
      </c>
      <c r="D120" s="15" t="s">
        <v>683</v>
      </c>
      <c r="E120" s="15" t="s">
        <v>684</v>
      </c>
      <c r="F120" s="15" t="s">
        <v>217</v>
      </c>
      <c r="G120" s="15" t="s">
        <v>76</v>
      </c>
      <c r="H120" s="15" t="s">
        <v>685</v>
      </c>
      <c r="I120" s="15" t="s">
        <v>138</v>
      </c>
      <c r="J120" s="15" t="s">
        <v>106</v>
      </c>
      <c r="K120" s="15" t="s">
        <v>46</v>
      </c>
      <c r="L120" s="15" t="s">
        <v>78</v>
      </c>
      <c r="M120" s="15">
        <v>10</v>
      </c>
      <c r="N120" s="25">
        <v>1200</v>
      </c>
      <c r="O120" s="15">
        <v>15</v>
      </c>
      <c r="P120" s="25">
        <v>7140</v>
      </c>
      <c r="Q120" s="15">
        <v>4</v>
      </c>
      <c r="R120" s="15" t="s">
        <v>88</v>
      </c>
      <c r="S120" s="15" t="s">
        <v>151</v>
      </c>
      <c r="T120" s="15" t="s">
        <v>80</v>
      </c>
      <c r="U120" s="15">
        <v>9919834000</v>
      </c>
      <c r="V120" s="15" t="s">
        <v>64</v>
      </c>
      <c r="W120" s="29" t="str" cm="1">
        <f t="array" ref="W120">_xlfn.IFS(OR(V120="Cancelled", Q120&lt;=2), "Blacklisted", AND(P120&gt;=100000, Q120&gt;=4, O120&lt;=0.1, V120="Completed"), "Platinum", AND(P120&gt;=50000, P120&lt;=99999, Q120&gt;=3, V120="Completed"), "Gold", AND(Q120&lt;50000, V120="Completed"), "Silver", V120="Pending", "Pending")</f>
        <v>Pending</v>
      </c>
    </row>
    <row r="121" spans="1:23" x14ac:dyDescent="0.5">
      <c r="A121" s="17" t="s">
        <v>688</v>
      </c>
      <c r="B121" s="17" t="s">
        <v>100</v>
      </c>
      <c r="C121" s="17" t="s">
        <v>40</v>
      </c>
      <c r="D121" s="17" t="s">
        <v>376</v>
      </c>
      <c r="E121" s="17" t="s">
        <v>469</v>
      </c>
      <c r="F121" s="15" t="s">
        <v>103</v>
      </c>
      <c r="G121" s="17" t="s">
        <v>28</v>
      </c>
      <c r="H121" s="17" t="s">
        <v>689</v>
      </c>
      <c r="I121" s="17" t="s">
        <v>212</v>
      </c>
      <c r="J121" s="17" t="s">
        <v>45</v>
      </c>
      <c r="K121" s="17" t="s">
        <v>46</v>
      </c>
      <c r="L121" s="17" t="s">
        <v>47</v>
      </c>
      <c r="M121" s="17">
        <v>14</v>
      </c>
      <c r="N121" s="26">
        <v>12000</v>
      </c>
      <c r="O121" s="17">
        <v>15</v>
      </c>
      <c r="P121" s="26">
        <v>142800</v>
      </c>
      <c r="Q121" s="17">
        <v>2</v>
      </c>
      <c r="R121" s="17" t="s">
        <v>48</v>
      </c>
      <c r="S121" s="17" t="s">
        <v>61</v>
      </c>
      <c r="T121" s="17" t="s">
        <v>144</v>
      </c>
      <c r="U121" s="17">
        <v>9739798818</v>
      </c>
      <c r="V121" s="17" t="s">
        <v>64</v>
      </c>
      <c r="W121" s="29" t="str" cm="1">
        <f t="array" ref="W121">_xlfn.IFS(OR(V121="Cancelled", Q121&lt;=2), "Blacklisted", AND(P121&gt;=100000, Q121&gt;=4, O121&lt;=0.1, V121="Completed"), "Platinum", AND(P121&gt;=50000, P121&lt;=99999, Q121&gt;=3, V121="Completed"), "Gold", AND(Q121&lt;50000, V121="Completed"), "Silver", V121="Pending", "Pending")</f>
        <v>Blacklisted</v>
      </c>
    </row>
    <row r="122" spans="1:23" x14ac:dyDescent="0.5">
      <c r="A122" s="15" t="s">
        <v>691</v>
      </c>
      <c r="B122" s="15" t="s">
        <v>127</v>
      </c>
      <c r="C122" s="15" t="s">
        <v>169</v>
      </c>
      <c r="D122" s="15" t="s">
        <v>454</v>
      </c>
      <c r="E122" s="15" t="s">
        <v>692</v>
      </c>
      <c r="F122" s="15" t="s">
        <v>200</v>
      </c>
      <c r="G122" s="15" t="s">
        <v>76</v>
      </c>
      <c r="H122" s="15" t="s">
        <v>693</v>
      </c>
      <c r="I122" s="15" t="s">
        <v>114</v>
      </c>
      <c r="J122" s="15" t="s">
        <v>106</v>
      </c>
      <c r="K122" s="15" t="s">
        <v>32</v>
      </c>
      <c r="L122" s="15" t="s">
        <v>174</v>
      </c>
      <c r="M122" s="15">
        <v>8</v>
      </c>
      <c r="N122" s="25">
        <v>8500</v>
      </c>
      <c r="O122" s="15">
        <v>20</v>
      </c>
      <c r="P122" s="25">
        <v>54400</v>
      </c>
      <c r="Q122" s="15">
        <v>3</v>
      </c>
      <c r="R122" s="15" t="s">
        <v>79</v>
      </c>
      <c r="S122" s="15" t="s">
        <v>49</v>
      </c>
      <c r="T122" s="15" t="s">
        <v>132</v>
      </c>
      <c r="U122" s="15">
        <v>9208625306</v>
      </c>
      <c r="V122" s="15" t="s">
        <v>38</v>
      </c>
      <c r="W122" s="29" t="str" cm="1">
        <f t="array" ref="W122">_xlfn.IFS(OR(V122="Cancelled", Q122&lt;=2), "Blacklisted", AND(P122&gt;=100000, Q122&gt;=4, O122&lt;=0.1, V122="Completed"), "Platinum", AND(P122&gt;=50000, P122&lt;=99999, Q122&gt;=3, V122="Completed"), "Gold", AND(Q122&lt;50000, V122="Completed"), "Silver", V122="Pending", "Pending")</f>
        <v>Gold</v>
      </c>
    </row>
    <row r="123" spans="1:23" x14ac:dyDescent="0.5">
      <c r="A123" s="17" t="s">
        <v>695</v>
      </c>
      <c r="B123" s="17" t="s">
        <v>83</v>
      </c>
      <c r="C123" s="17" t="s">
        <v>259</v>
      </c>
      <c r="D123" s="17" t="s">
        <v>110</v>
      </c>
      <c r="E123" s="17" t="s">
        <v>313</v>
      </c>
      <c r="F123" s="15" t="s">
        <v>180</v>
      </c>
      <c r="G123" s="17" t="s">
        <v>76</v>
      </c>
      <c r="H123" s="17" t="s">
        <v>696</v>
      </c>
      <c r="I123" s="17" t="s">
        <v>59</v>
      </c>
      <c r="J123" s="17" t="s">
        <v>31</v>
      </c>
      <c r="K123" s="17" t="s">
        <v>122</v>
      </c>
      <c r="L123" s="17" t="s">
        <v>263</v>
      </c>
      <c r="M123" s="17">
        <v>3</v>
      </c>
      <c r="N123" s="26">
        <v>45</v>
      </c>
      <c r="O123" s="17">
        <v>0</v>
      </c>
      <c r="P123" s="26">
        <v>135</v>
      </c>
      <c r="Q123" s="17">
        <v>4</v>
      </c>
      <c r="R123" s="17" t="s">
        <v>88</v>
      </c>
      <c r="S123" s="17" t="s">
        <v>61</v>
      </c>
      <c r="T123" s="17" t="s">
        <v>89</v>
      </c>
      <c r="U123" s="17">
        <v>9970178536</v>
      </c>
      <c r="V123" s="17" t="s">
        <v>69</v>
      </c>
      <c r="W123" s="29" t="str" cm="1">
        <f t="array" ref="W123">_xlfn.IFS(OR(V123="Cancelled", Q123&lt;=2), "Blacklisted", AND(P123&gt;=100000, Q123&gt;=4, O123&lt;=0.1, V123="Completed"), "Platinum", AND(P123&gt;=50000, P123&lt;=99999, Q123&gt;=3, V123="Completed"), "Gold", AND(Q123&lt;50000, V123="Completed"), "Silver", V123="Pending", "Pending")</f>
        <v>Blacklisted</v>
      </c>
    </row>
    <row r="124" spans="1:23" x14ac:dyDescent="0.5">
      <c r="A124" s="15" t="s">
        <v>698</v>
      </c>
      <c r="B124" s="15" t="s">
        <v>327</v>
      </c>
      <c r="C124" s="15" t="s">
        <v>184</v>
      </c>
      <c r="D124" s="15" t="s">
        <v>464</v>
      </c>
      <c r="E124" s="15" t="s">
        <v>84</v>
      </c>
      <c r="F124" s="15" t="s">
        <v>394</v>
      </c>
      <c r="G124" s="15" t="s">
        <v>76</v>
      </c>
      <c r="H124" s="15" t="s">
        <v>699</v>
      </c>
      <c r="I124" s="15" t="s">
        <v>212</v>
      </c>
      <c r="J124" s="15" t="s">
        <v>45</v>
      </c>
      <c r="K124" s="15" t="s">
        <v>46</v>
      </c>
      <c r="L124" s="15" t="s">
        <v>189</v>
      </c>
      <c r="M124" s="15">
        <v>13</v>
      </c>
      <c r="N124" s="25">
        <v>700</v>
      </c>
      <c r="O124" s="15">
        <v>5</v>
      </c>
      <c r="P124" s="25">
        <v>8645</v>
      </c>
      <c r="Q124" s="15">
        <v>3</v>
      </c>
      <c r="R124" s="15" t="s">
        <v>79</v>
      </c>
      <c r="S124" s="15" t="s">
        <v>115</v>
      </c>
      <c r="T124" s="15" t="s">
        <v>332</v>
      </c>
      <c r="U124" s="15">
        <v>9633745195</v>
      </c>
      <c r="V124" s="15" t="s">
        <v>64</v>
      </c>
      <c r="W124" s="29" t="str" cm="1">
        <f t="array" ref="W124">_xlfn.IFS(OR(V124="Cancelled", Q124&lt;=2), "Blacklisted", AND(P124&gt;=100000, Q124&gt;=4, O124&lt;=0.1, V124="Completed"), "Platinum", AND(P124&gt;=50000, P124&lt;=99999, Q124&gt;=3, V124="Completed"), "Gold", AND(Q124&lt;50000, V124="Completed"), "Silver", V124="Pending", "Pending")</f>
        <v>Pending</v>
      </c>
    </row>
    <row r="125" spans="1:23" x14ac:dyDescent="0.5">
      <c r="A125" s="17" t="s">
        <v>701</v>
      </c>
      <c r="B125" s="17" t="s">
        <v>168</v>
      </c>
      <c r="C125" s="17" t="s">
        <v>72</v>
      </c>
      <c r="D125" s="17" t="s">
        <v>702</v>
      </c>
      <c r="E125" s="17" t="s">
        <v>703</v>
      </c>
      <c r="F125" s="15" t="s">
        <v>361</v>
      </c>
      <c r="G125" s="17" t="s">
        <v>28</v>
      </c>
      <c r="H125" s="17" t="s">
        <v>704</v>
      </c>
      <c r="I125" s="17" t="s">
        <v>105</v>
      </c>
      <c r="J125" s="17" t="s">
        <v>106</v>
      </c>
      <c r="K125" s="17" t="s">
        <v>46</v>
      </c>
      <c r="L125" s="17" t="s">
        <v>78</v>
      </c>
      <c r="M125" s="17">
        <v>14</v>
      </c>
      <c r="N125" s="26">
        <v>1200</v>
      </c>
      <c r="O125" s="17">
        <v>20</v>
      </c>
      <c r="P125" s="26">
        <v>13440</v>
      </c>
      <c r="Q125" s="17">
        <v>5</v>
      </c>
      <c r="R125" s="17" t="s">
        <v>48</v>
      </c>
      <c r="S125" s="17" t="s">
        <v>61</v>
      </c>
      <c r="T125" s="17" t="s">
        <v>175</v>
      </c>
      <c r="U125" s="17">
        <v>9922102053</v>
      </c>
      <c r="V125" s="17" t="s">
        <v>38</v>
      </c>
      <c r="W125" s="29" t="str" cm="1">
        <f t="array" ref="W125">_xlfn.IFS(OR(V125="Cancelled", Q125&lt;=2), "Blacklisted", AND(P125&gt;=100000, Q125&gt;=4, O125&lt;=0.1, V125="Completed"), "Platinum", AND(P125&gt;=50000, P125&lt;=99999, Q125&gt;=3, V125="Completed"), "Gold", AND(Q125&lt;50000, V125="Completed"), "Silver", V125="Pending", "Pending")</f>
        <v>Silver</v>
      </c>
    </row>
    <row r="126" spans="1:23" x14ac:dyDescent="0.5">
      <c r="A126" s="15" t="s">
        <v>706</v>
      </c>
      <c r="B126" s="15" t="s">
        <v>100</v>
      </c>
      <c r="C126" s="15" t="s">
        <v>259</v>
      </c>
      <c r="D126" s="15" t="s">
        <v>597</v>
      </c>
      <c r="E126" s="15" t="s">
        <v>707</v>
      </c>
      <c r="F126" s="15" t="s">
        <v>103</v>
      </c>
      <c r="G126" s="15" t="s">
        <v>28</v>
      </c>
      <c r="H126" s="15" t="s">
        <v>708</v>
      </c>
      <c r="I126" s="15" t="s">
        <v>44</v>
      </c>
      <c r="J126" s="15" t="s">
        <v>45</v>
      </c>
      <c r="K126" s="15" t="s">
        <v>122</v>
      </c>
      <c r="L126" s="15" t="s">
        <v>263</v>
      </c>
      <c r="M126" s="15">
        <v>2</v>
      </c>
      <c r="N126" s="25">
        <v>45</v>
      </c>
      <c r="O126" s="15">
        <v>5</v>
      </c>
      <c r="P126" s="25">
        <v>85.5</v>
      </c>
      <c r="Q126" s="15">
        <v>3</v>
      </c>
      <c r="R126" s="15" t="s">
        <v>88</v>
      </c>
      <c r="S126" s="15" t="s">
        <v>35</v>
      </c>
      <c r="T126" s="15" t="s">
        <v>144</v>
      </c>
      <c r="U126" s="15">
        <v>9135963930</v>
      </c>
      <c r="V126" s="15" t="s">
        <v>69</v>
      </c>
      <c r="W126" s="29" t="str" cm="1">
        <f t="array" ref="W126">_xlfn.IFS(OR(V126="Cancelled", Q126&lt;=2), "Blacklisted", AND(P126&gt;=100000, Q126&gt;=4, O126&lt;=0.1, V126="Completed"), "Platinum", AND(P126&gt;=50000, P126&lt;=99999, Q126&gt;=3, V126="Completed"), "Gold", AND(Q126&lt;50000, V126="Completed"), "Silver", V126="Pending", "Pending")</f>
        <v>Blacklisted</v>
      </c>
    </row>
    <row r="127" spans="1:23" x14ac:dyDescent="0.5">
      <c r="A127" s="17" t="s">
        <v>710</v>
      </c>
      <c r="B127" s="17" t="s">
        <v>168</v>
      </c>
      <c r="C127" s="17" t="s">
        <v>72</v>
      </c>
      <c r="D127" s="17" t="s">
        <v>711</v>
      </c>
      <c r="E127" s="17" t="s">
        <v>712</v>
      </c>
      <c r="F127" s="15" t="s">
        <v>361</v>
      </c>
      <c r="G127" s="17" t="s">
        <v>28</v>
      </c>
      <c r="H127" s="17" t="s">
        <v>713</v>
      </c>
      <c r="I127" s="17" t="s">
        <v>59</v>
      </c>
      <c r="J127" s="17" t="s">
        <v>31</v>
      </c>
      <c r="K127" s="17" t="s">
        <v>46</v>
      </c>
      <c r="L127" s="17" t="s">
        <v>78</v>
      </c>
      <c r="M127" s="17">
        <v>2</v>
      </c>
      <c r="N127" s="26">
        <v>1200</v>
      </c>
      <c r="O127" s="17">
        <v>20</v>
      </c>
      <c r="P127" s="26">
        <v>1920</v>
      </c>
      <c r="Q127" s="17">
        <v>3</v>
      </c>
      <c r="R127" s="17" t="s">
        <v>79</v>
      </c>
      <c r="S127" s="17" t="s">
        <v>115</v>
      </c>
      <c r="T127" s="17" t="s">
        <v>175</v>
      </c>
      <c r="U127" s="17">
        <v>9429405275</v>
      </c>
      <c r="V127" s="17" t="s">
        <v>38</v>
      </c>
      <c r="W127" s="29" t="str" cm="1">
        <f t="array" ref="W127">_xlfn.IFS(OR(V127="Cancelled", Q127&lt;=2), "Blacklisted", AND(P127&gt;=100000, Q127&gt;=4, O127&lt;=0.1, V127="Completed"), "Platinum", AND(P127&gt;=50000, P127&lt;=99999, Q127&gt;=3, V127="Completed"), "Gold", AND(Q127&lt;50000, V127="Completed"), "Silver", V127="Pending", "Pending")</f>
        <v>Silver</v>
      </c>
    </row>
    <row r="128" spans="1:23" x14ac:dyDescent="0.5">
      <c r="A128" s="15" t="s">
        <v>715</v>
      </c>
      <c r="B128" s="15" t="s">
        <v>127</v>
      </c>
      <c r="C128" s="15" t="s">
        <v>54</v>
      </c>
      <c r="D128" s="15" t="s">
        <v>224</v>
      </c>
      <c r="E128" s="15" t="s">
        <v>716</v>
      </c>
      <c r="F128" s="15" t="s">
        <v>200</v>
      </c>
      <c r="G128" s="15" t="s">
        <v>76</v>
      </c>
      <c r="H128" s="15" t="s">
        <v>717</v>
      </c>
      <c r="I128" s="15" t="s">
        <v>59</v>
      </c>
      <c r="J128" s="15" t="s">
        <v>31</v>
      </c>
      <c r="K128" s="15" t="s">
        <v>46</v>
      </c>
      <c r="L128" s="15" t="s">
        <v>60</v>
      </c>
      <c r="M128" s="15">
        <v>10</v>
      </c>
      <c r="N128" s="25">
        <v>55000</v>
      </c>
      <c r="O128" s="15">
        <v>5</v>
      </c>
      <c r="P128" s="25">
        <v>522500</v>
      </c>
      <c r="Q128" s="15">
        <v>5</v>
      </c>
      <c r="R128" s="15" t="s">
        <v>88</v>
      </c>
      <c r="S128" s="15" t="s">
        <v>61</v>
      </c>
      <c r="T128" s="15" t="s">
        <v>132</v>
      </c>
      <c r="U128" s="15">
        <v>9521757571</v>
      </c>
      <c r="V128" s="15" t="s">
        <v>64</v>
      </c>
      <c r="W128" s="29" t="str" cm="1">
        <f t="array" ref="W128">_xlfn.IFS(OR(V128="Cancelled", Q128&lt;=2), "Blacklisted", AND(P128&gt;=100000, Q128&gt;=4, O128&lt;=0.1, V128="Completed"), "Platinum", AND(P128&gt;=50000, P128&lt;=99999, Q128&gt;=3, V128="Completed"), "Gold", AND(Q128&lt;50000, V128="Completed"), "Silver", V128="Pending", "Pending")</f>
        <v>Pending</v>
      </c>
    </row>
    <row r="129" spans="1:23" x14ac:dyDescent="0.5">
      <c r="A129" s="17" t="s">
        <v>719</v>
      </c>
      <c r="B129" s="17" t="s">
        <v>251</v>
      </c>
      <c r="C129" s="17" t="s">
        <v>92</v>
      </c>
      <c r="D129" s="17" t="s">
        <v>720</v>
      </c>
      <c r="E129" s="17" t="s">
        <v>382</v>
      </c>
      <c r="F129" s="15" t="s">
        <v>254</v>
      </c>
      <c r="G129" s="17" t="s">
        <v>28</v>
      </c>
      <c r="H129" s="17" t="s">
        <v>721</v>
      </c>
      <c r="I129" s="17" t="s">
        <v>212</v>
      </c>
      <c r="J129" s="17" t="s">
        <v>45</v>
      </c>
      <c r="K129" s="17" t="s">
        <v>32</v>
      </c>
      <c r="L129" s="17" t="s">
        <v>97</v>
      </c>
      <c r="M129" s="17">
        <v>15</v>
      </c>
      <c r="N129" s="26">
        <v>3500</v>
      </c>
      <c r="O129" s="17">
        <v>10</v>
      </c>
      <c r="P129" s="26">
        <v>47250</v>
      </c>
      <c r="Q129" s="17">
        <v>3</v>
      </c>
      <c r="R129" s="17" t="s">
        <v>48</v>
      </c>
      <c r="S129" s="17" t="s">
        <v>115</v>
      </c>
      <c r="T129" s="17" t="s">
        <v>256</v>
      </c>
      <c r="U129" s="17">
        <v>9467375455</v>
      </c>
      <c r="V129" s="17" t="s">
        <v>38</v>
      </c>
      <c r="W129" s="29" t="str" cm="1">
        <f t="array" ref="W129">_xlfn.IFS(OR(V129="Cancelled", Q129&lt;=2), "Blacklisted", AND(P129&gt;=100000, Q129&gt;=4, O129&lt;=0.1, V129="Completed"), "Platinum", AND(P129&gt;=50000, P129&lt;=99999, Q129&gt;=3, V129="Completed"), "Gold", AND(Q129&lt;50000, V129="Completed"), "Silver", V129="Pending", "Pending")</f>
        <v>Silver</v>
      </c>
    </row>
    <row r="130" spans="1:23" x14ac:dyDescent="0.5">
      <c r="A130" s="15" t="s">
        <v>723</v>
      </c>
      <c r="B130" s="15" t="s">
        <v>100</v>
      </c>
      <c r="C130" s="15" t="s">
        <v>24</v>
      </c>
      <c r="D130" s="15" t="s">
        <v>562</v>
      </c>
      <c r="E130" s="15" t="s">
        <v>724</v>
      </c>
      <c r="F130" s="15" t="s">
        <v>103</v>
      </c>
      <c r="G130" s="15" t="s">
        <v>28</v>
      </c>
      <c r="H130" s="15" t="s">
        <v>725</v>
      </c>
      <c r="I130" s="15" t="s">
        <v>59</v>
      </c>
      <c r="J130" s="15" t="s">
        <v>31</v>
      </c>
      <c r="K130" s="15" t="s">
        <v>32</v>
      </c>
      <c r="L130" s="15" t="s">
        <v>33</v>
      </c>
      <c r="M130" s="15">
        <v>10</v>
      </c>
      <c r="N130" s="25">
        <v>2200</v>
      </c>
      <c r="O130" s="15">
        <v>15</v>
      </c>
      <c r="P130" s="25">
        <v>18700</v>
      </c>
      <c r="Q130" s="15">
        <v>4</v>
      </c>
      <c r="R130" s="15" t="s">
        <v>79</v>
      </c>
      <c r="S130" s="15" t="s">
        <v>49</v>
      </c>
      <c r="T130" s="15" t="s">
        <v>144</v>
      </c>
      <c r="U130" s="15">
        <v>9838809695</v>
      </c>
      <c r="V130" s="15" t="s">
        <v>64</v>
      </c>
      <c r="W130" s="29" t="str" cm="1">
        <f t="array" ref="W130">_xlfn.IFS(OR(V130="Cancelled", Q130&lt;=2), "Blacklisted", AND(P130&gt;=100000, Q130&gt;=4, O130&lt;=0.1, V130="Completed"), "Platinum", AND(P130&gt;=50000, P130&lt;=99999, Q130&gt;=3, V130="Completed"), "Gold", AND(Q130&lt;50000, V130="Completed"), "Silver", V130="Pending", "Pending")</f>
        <v>Pending</v>
      </c>
    </row>
    <row r="131" spans="1:23" x14ac:dyDescent="0.5">
      <c r="A131" s="17" t="s">
        <v>727</v>
      </c>
      <c r="B131" s="17" t="s">
        <v>251</v>
      </c>
      <c r="C131" s="17" t="s">
        <v>92</v>
      </c>
      <c r="D131" s="17" t="s">
        <v>260</v>
      </c>
      <c r="E131" s="17" t="s">
        <v>231</v>
      </c>
      <c r="F131" s="15" t="s">
        <v>254</v>
      </c>
      <c r="G131" s="17" t="s">
        <v>28</v>
      </c>
      <c r="H131" s="17" t="s">
        <v>728</v>
      </c>
      <c r="I131" s="17" t="s">
        <v>114</v>
      </c>
      <c r="J131" s="17" t="s">
        <v>106</v>
      </c>
      <c r="K131" s="17" t="s">
        <v>32</v>
      </c>
      <c r="L131" s="17" t="s">
        <v>97</v>
      </c>
      <c r="M131" s="17">
        <v>11</v>
      </c>
      <c r="N131" s="26">
        <v>3500</v>
      </c>
      <c r="O131" s="17">
        <v>5</v>
      </c>
      <c r="P131" s="26">
        <v>36575</v>
      </c>
      <c r="Q131" s="17">
        <v>5</v>
      </c>
      <c r="R131" s="17" t="s">
        <v>34</v>
      </c>
      <c r="S131" s="17" t="s">
        <v>35</v>
      </c>
      <c r="T131" s="17" t="s">
        <v>256</v>
      </c>
      <c r="U131" s="17">
        <v>9296609782</v>
      </c>
      <c r="V131" s="17" t="s">
        <v>69</v>
      </c>
      <c r="W131" s="29" t="str" cm="1">
        <f t="array" ref="W131">_xlfn.IFS(OR(V131="Cancelled", Q131&lt;=2), "Blacklisted", AND(P131&gt;=100000, Q131&gt;=4, O131&lt;=0.1, V131="Completed"), "Platinum", AND(P131&gt;=50000, P131&lt;=99999, Q131&gt;=3, V131="Completed"), "Gold", AND(Q131&lt;50000, V131="Completed"), "Silver", V131="Pending", "Pending")</f>
        <v>Blacklisted</v>
      </c>
    </row>
    <row r="132" spans="1:23" x14ac:dyDescent="0.5">
      <c r="A132" s="15" t="s">
        <v>730</v>
      </c>
      <c r="B132" s="15" t="s">
        <v>168</v>
      </c>
      <c r="C132" s="15" t="s">
        <v>72</v>
      </c>
      <c r="D132" s="15" t="s">
        <v>731</v>
      </c>
      <c r="E132" s="15" t="s">
        <v>732</v>
      </c>
      <c r="F132" s="15" t="s">
        <v>361</v>
      </c>
      <c r="G132" s="15" t="s">
        <v>28</v>
      </c>
      <c r="H132" s="15" t="s">
        <v>733</v>
      </c>
      <c r="I132" s="15" t="s">
        <v>59</v>
      </c>
      <c r="J132" s="15" t="s">
        <v>31</v>
      </c>
      <c r="K132" s="15" t="s">
        <v>46</v>
      </c>
      <c r="L132" s="15" t="s">
        <v>78</v>
      </c>
      <c r="M132" s="15">
        <v>14</v>
      </c>
      <c r="N132" s="25">
        <v>1200</v>
      </c>
      <c r="O132" s="15">
        <v>0</v>
      </c>
      <c r="P132" s="25">
        <v>16800</v>
      </c>
      <c r="Q132" s="15">
        <v>5</v>
      </c>
      <c r="R132" s="15" t="s">
        <v>34</v>
      </c>
      <c r="S132" s="15" t="s">
        <v>49</v>
      </c>
      <c r="T132" s="15" t="s">
        <v>175</v>
      </c>
      <c r="U132" s="15">
        <v>9848259992</v>
      </c>
      <c r="V132" s="15" t="s">
        <v>69</v>
      </c>
      <c r="W132" s="29" t="str" cm="1">
        <f t="array" ref="W132">_xlfn.IFS(OR(V132="Cancelled", Q132&lt;=2), "Blacklisted", AND(P132&gt;=100000, Q132&gt;=4, O132&lt;=0.1, V132="Completed"), "Platinum", AND(P132&gt;=50000, P132&lt;=99999, Q132&gt;=3, V132="Completed"), "Gold", AND(Q132&lt;50000, V132="Completed"), "Silver", V132="Pending", "Pending")</f>
        <v>Blacklisted</v>
      </c>
    </row>
    <row r="133" spans="1:23" x14ac:dyDescent="0.5">
      <c r="A133" s="17" t="s">
        <v>735</v>
      </c>
      <c r="B133" s="17" t="s">
        <v>100</v>
      </c>
      <c r="C133" s="17" t="s">
        <v>222</v>
      </c>
      <c r="D133" s="17" t="s">
        <v>736</v>
      </c>
      <c r="E133" s="17" t="s">
        <v>170</v>
      </c>
      <c r="F133" s="15" t="s">
        <v>103</v>
      </c>
      <c r="G133" s="17" t="s">
        <v>28</v>
      </c>
      <c r="H133" s="17" t="s">
        <v>737</v>
      </c>
      <c r="I133" s="17" t="s">
        <v>44</v>
      </c>
      <c r="J133" s="17" t="s">
        <v>45</v>
      </c>
      <c r="K133" s="17" t="s">
        <v>122</v>
      </c>
      <c r="L133" s="17" t="s">
        <v>227</v>
      </c>
      <c r="M133" s="17">
        <v>11</v>
      </c>
      <c r="N133" s="26">
        <v>20</v>
      </c>
      <c r="O133" s="17">
        <v>20</v>
      </c>
      <c r="P133" s="26">
        <v>176</v>
      </c>
      <c r="Q133" s="17">
        <v>4</v>
      </c>
      <c r="R133" s="17" t="s">
        <v>48</v>
      </c>
      <c r="S133" s="17" t="s">
        <v>35</v>
      </c>
      <c r="T133" s="17" t="s">
        <v>144</v>
      </c>
      <c r="U133" s="17">
        <v>9254082295</v>
      </c>
      <c r="V133" s="17" t="s">
        <v>38</v>
      </c>
      <c r="W133" s="29" t="str" cm="1">
        <f t="array" ref="W133">_xlfn.IFS(OR(V133="Cancelled", Q133&lt;=2), "Blacklisted", AND(P133&gt;=100000, Q133&gt;=4, O133&lt;=0.1, V133="Completed"), "Platinum", AND(P133&gt;=50000, P133&lt;=99999, Q133&gt;=3, V133="Completed"), "Gold", AND(Q133&lt;50000, V133="Completed"), "Silver", V133="Pending", "Pending")</f>
        <v>Silver</v>
      </c>
    </row>
    <row r="134" spans="1:23" x14ac:dyDescent="0.5">
      <c r="A134" s="15" t="s">
        <v>739</v>
      </c>
      <c r="B134" s="15" t="s">
        <v>71</v>
      </c>
      <c r="C134" s="15" t="s">
        <v>40</v>
      </c>
      <c r="D134" s="15" t="s">
        <v>740</v>
      </c>
      <c r="E134" s="15" t="s">
        <v>657</v>
      </c>
      <c r="F134" s="15" t="s">
        <v>217</v>
      </c>
      <c r="G134" s="15" t="s">
        <v>76</v>
      </c>
      <c r="H134" s="15" t="s">
        <v>741</v>
      </c>
      <c r="I134" s="15" t="s">
        <v>114</v>
      </c>
      <c r="J134" s="15" t="s">
        <v>106</v>
      </c>
      <c r="K134" s="15" t="s">
        <v>46</v>
      </c>
      <c r="L134" s="15" t="s">
        <v>47</v>
      </c>
      <c r="M134" s="15">
        <v>6</v>
      </c>
      <c r="N134" s="25">
        <v>12000</v>
      </c>
      <c r="O134" s="15">
        <v>10</v>
      </c>
      <c r="P134" s="25">
        <v>64800</v>
      </c>
      <c r="Q134" s="15">
        <v>5</v>
      </c>
      <c r="R134" s="15" t="s">
        <v>88</v>
      </c>
      <c r="S134" s="15" t="s">
        <v>151</v>
      </c>
      <c r="T134" s="15" t="s">
        <v>80</v>
      </c>
      <c r="U134" s="15">
        <v>9687923860</v>
      </c>
      <c r="V134" s="15" t="s">
        <v>38</v>
      </c>
      <c r="W134" s="29" t="str" cm="1">
        <f t="array" ref="W134">_xlfn.IFS(OR(V134="Cancelled", Q134&lt;=2), "Blacklisted", AND(P134&gt;=100000, Q134&gt;=4, O134&lt;=0.1, V134="Completed"), "Platinum", AND(P134&gt;=50000, P134&lt;=99999, Q134&gt;=3, V134="Completed"), "Gold", AND(Q134&lt;50000, V134="Completed"), "Silver", V134="Pending", "Pending")</f>
        <v>Gold</v>
      </c>
    </row>
    <row r="135" spans="1:23" x14ac:dyDescent="0.5">
      <c r="A135" s="17" t="s">
        <v>743</v>
      </c>
      <c r="B135" s="17" t="s">
        <v>71</v>
      </c>
      <c r="C135" s="17" t="s">
        <v>24</v>
      </c>
      <c r="D135" s="17" t="s">
        <v>652</v>
      </c>
      <c r="E135" s="17" t="s">
        <v>539</v>
      </c>
      <c r="F135" s="15" t="s">
        <v>217</v>
      </c>
      <c r="G135" s="17" t="s">
        <v>76</v>
      </c>
      <c r="H135" s="17" t="s">
        <v>744</v>
      </c>
      <c r="I135" s="17" t="s">
        <v>30</v>
      </c>
      <c r="J135" s="17" t="s">
        <v>31</v>
      </c>
      <c r="K135" s="17" t="s">
        <v>32</v>
      </c>
      <c r="L135" s="17" t="s">
        <v>33</v>
      </c>
      <c r="M135" s="17">
        <v>6</v>
      </c>
      <c r="N135" s="26">
        <v>2200</v>
      </c>
      <c r="O135" s="17">
        <v>5</v>
      </c>
      <c r="P135" s="26">
        <v>12540</v>
      </c>
      <c r="Q135" s="17">
        <v>4</v>
      </c>
      <c r="R135" s="17" t="s">
        <v>34</v>
      </c>
      <c r="S135" s="17" t="s">
        <v>49</v>
      </c>
      <c r="T135" s="17" t="s">
        <v>80</v>
      </c>
      <c r="U135" s="17">
        <v>9426459149</v>
      </c>
      <c r="V135" s="17" t="s">
        <v>38</v>
      </c>
      <c r="W135" s="29" t="str" cm="1">
        <f t="array" ref="W135">_xlfn.IFS(OR(V135="Cancelled", Q135&lt;=2), "Blacklisted", AND(P135&gt;=100000, Q135&gt;=4, O135&lt;=0.1, V135="Completed"), "Platinum", AND(P135&gt;=50000, P135&lt;=99999, Q135&gt;=3, V135="Completed"), "Gold", AND(Q135&lt;50000, V135="Completed"), "Silver", V135="Pending", "Pending")</f>
        <v>Silver</v>
      </c>
    </row>
    <row r="136" spans="1:23" x14ac:dyDescent="0.5">
      <c r="A136" s="15" t="s">
        <v>746</v>
      </c>
      <c r="B136" s="15" t="s">
        <v>53</v>
      </c>
      <c r="C136" s="15" t="s">
        <v>92</v>
      </c>
      <c r="D136" s="15" t="s">
        <v>408</v>
      </c>
      <c r="E136" s="15" t="s">
        <v>488</v>
      </c>
      <c r="F136" s="15" t="s">
        <v>163</v>
      </c>
      <c r="G136" s="15" t="s">
        <v>28</v>
      </c>
      <c r="H136" s="15" t="s">
        <v>747</v>
      </c>
      <c r="I136" s="15" t="s">
        <v>44</v>
      </c>
      <c r="J136" s="15" t="s">
        <v>45</v>
      </c>
      <c r="K136" s="15" t="s">
        <v>32</v>
      </c>
      <c r="L136" s="15" t="s">
        <v>97</v>
      </c>
      <c r="M136" s="15">
        <v>3</v>
      </c>
      <c r="N136" s="25">
        <v>3500</v>
      </c>
      <c r="O136" s="15">
        <v>5</v>
      </c>
      <c r="P136" s="25">
        <v>9975</v>
      </c>
      <c r="Q136" s="15">
        <v>4</v>
      </c>
      <c r="R136" s="15" t="s">
        <v>48</v>
      </c>
      <c r="S136" s="15" t="s">
        <v>49</v>
      </c>
      <c r="T136" s="15" t="s">
        <v>62</v>
      </c>
      <c r="U136" s="15">
        <v>9155925975</v>
      </c>
      <c r="V136" s="15" t="s">
        <v>64</v>
      </c>
      <c r="W136" s="29" t="str" cm="1">
        <f t="array" ref="W136">_xlfn.IFS(OR(V136="Cancelled", Q136&lt;=2), "Blacklisted", AND(P136&gt;=100000, Q136&gt;=4, O136&lt;=0.1, V136="Completed"), "Platinum", AND(P136&gt;=50000, P136&lt;=99999, Q136&gt;=3, V136="Completed"), "Gold", AND(Q136&lt;50000, V136="Completed"), "Silver", V136="Pending", "Pending")</f>
        <v>Pending</v>
      </c>
    </row>
    <row r="137" spans="1:23" x14ac:dyDescent="0.5">
      <c r="A137" s="17" t="s">
        <v>749</v>
      </c>
      <c r="B137" s="17" t="s">
        <v>71</v>
      </c>
      <c r="C137" s="17" t="s">
        <v>169</v>
      </c>
      <c r="D137" s="17" t="s">
        <v>750</v>
      </c>
      <c r="E137" s="17" t="s">
        <v>751</v>
      </c>
      <c r="F137" s="15" t="s">
        <v>217</v>
      </c>
      <c r="G137" s="17" t="s">
        <v>76</v>
      </c>
      <c r="H137" s="17" t="s">
        <v>752</v>
      </c>
      <c r="I137" s="17" t="s">
        <v>30</v>
      </c>
      <c r="J137" s="17" t="s">
        <v>31</v>
      </c>
      <c r="K137" s="17" t="s">
        <v>32</v>
      </c>
      <c r="L137" s="17" t="s">
        <v>174</v>
      </c>
      <c r="M137" s="17">
        <v>5</v>
      </c>
      <c r="N137" s="26">
        <v>8500</v>
      </c>
      <c r="O137" s="17">
        <v>20</v>
      </c>
      <c r="P137" s="26">
        <v>34000</v>
      </c>
      <c r="Q137" s="17">
        <v>5</v>
      </c>
      <c r="R137" s="17" t="s">
        <v>34</v>
      </c>
      <c r="S137" s="17" t="s">
        <v>61</v>
      </c>
      <c r="T137" s="17" t="s">
        <v>80</v>
      </c>
      <c r="U137" s="17">
        <v>9945247701</v>
      </c>
      <c r="V137" s="17" t="s">
        <v>64</v>
      </c>
      <c r="W137" s="29" t="str" cm="1">
        <f t="array" ref="W137">_xlfn.IFS(OR(V137="Cancelled", Q137&lt;=2), "Blacklisted", AND(P137&gt;=100000, Q137&gt;=4, O137&lt;=0.1, V137="Completed"), "Platinum", AND(P137&gt;=50000, P137&lt;=99999, Q137&gt;=3, V137="Completed"), "Gold", AND(Q137&lt;50000, V137="Completed"), "Silver", V137="Pending", "Pending")</f>
        <v>Pending</v>
      </c>
    </row>
    <row r="138" spans="1:23" x14ac:dyDescent="0.5">
      <c r="A138" s="15" t="s">
        <v>754</v>
      </c>
      <c r="B138" s="15" t="s">
        <v>23</v>
      </c>
      <c r="C138" s="15" t="s">
        <v>92</v>
      </c>
      <c r="D138" s="15" t="s">
        <v>755</v>
      </c>
      <c r="E138" s="15" t="s">
        <v>756</v>
      </c>
      <c r="F138" s="15" t="s">
        <v>27</v>
      </c>
      <c r="G138" s="15" t="s">
        <v>28</v>
      </c>
      <c r="H138" s="15" t="s">
        <v>757</v>
      </c>
      <c r="I138" s="15" t="s">
        <v>59</v>
      </c>
      <c r="J138" s="15" t="s">
        <v>31</v>
      </c>
      <c r="K138" s="15" t="s">
        <v>32</v>
      </c>
      <c r="L138" s="15" t="s">
        <v>97</v>
      </c>
      <c r="M138" s="15">
        <v>14</v>
      </c>
      <c r="N138" s="25">
        <v>3500</v>
      </c>
      <c r="O138" s="15">
        <v>10</v>
      </c>
      <c r="P138" s="25">
        <v>44100</v>
      </c>
      <c r="Q138" s="15">
        <v>4</v>
      </c>
      <c r="R138" s="15" t="s">
        <v>88</v>
      </c>
      <c r="S138" s="15" t="s">
        <v>35</v>
      </c>
      <c r="T138" s="15" t="s">
        <v>50</v>
      </c>
      <c r="U138" s="15">
        <v>9597378398</v>
      </c>
      <c r="V138" s="15" t="s">
        <v>69</v>
      </c>
      <c r="W138" s="29" t="str" cm="1">
        <f t="array" ref="W138">_xlfn.IFS(OR(V138="Cancelled", Q138&lt;=2), "Blacklisted", AND(P138&gt;=100000, Q138&gt;=4, O138&lt;=0.1, V138="Completed"), "Platinum", AND(P138&gt;=50000, P138&lt;=99999, Q138&gt;=3, V138="Completed"), "Gold", AND(Q138&lt;50000, V138="Completed"), "Silver", V138="Pending", "Pending")</f>
        <v>Blacklisted</v>
      </c>
    </row>
    <row r="139" spans="1:23" x14ac:dyDescent="0.5">
      <c r="A139" s="17" t="s">
        <v>759</v>
      </c>
      <c r="B139" s="17" t="s">
        <v>327</v>
      </c>
      <c r="C139" s="17" t="s">
        <v>259</v>
      </c>
      <c r="D139" s="17" t="s">
        <v>760</v>
      </c>
      <c r="E139" s="17" t="s">
        <v>761</v>
      </c>
      <c r="F139" s="15" t="s">
        <v>394</v>
      </c>
      <c r="G139" s="17" t="s">
        <v>76</v>
      </c>
      <c r="H139" s="17" t="s">
        <v>762</v>
      </c>
      <c r="I139" s="17" t="s">
        <v>138</v>
      </c>
      <c r="J139" s="17" t="s">
        <v>106</v>
      </c>
      <c r="K139" s="17" t="s">
        <v>122</v>
      </c>
      <c r="L139" s="17" t="s">
        <v>263</v>
      </c>
      <c r="M139" s="17">
        <v>8</v>
      </c>
      <c r="N139" s="26">
        <v>45</v>
      </c>
      <c r="O139" s="17">
        <v>0</v>
      </c>
      <c r="P139" s="26">
        <v>360</v>
      </c>
      <c r="Q139" s="17">
        <v>1</v>
      </c>
      <c r="R139" s="17" t="s">
        <v>79</v>
      </c>
      <c r="S139" s="17" t="s">
        <v>151</v>
      </c>
      <c r="T139" s="17" t="s">
        <v>332</v>
      </c>
      <c r="U139" s="17">
        <v>9343963736</v>
      </c>
      <c r="V139" s="17" t="s">
        <v>69</v>
      </c>
      <c r="W139" s="29" t="str" cm="1">
        <f t="array" ref="W139">_xlfn.IFS(OR(V139="Cancelled", Q139&lt;=2), "Blacklisted", AND(P139&gt;=100000, Q139&gt;=4, O139&lt;=0.1, V139="Completed"), "Platinum", AND(P139&gt;=50000, P139&lt;=99999, Q139&gt;=3, V139="Completed"), "Gold", AND(Q139&lt;50000, V139="Completed"), "Silver", V139="Pending", "Pending")</f>
        <v>Blacklisted</v>
      </c>
    </row>
    <row r="140" spans="1:23" x14ac:dyDescent="0.5">
      <c r="A140" s="15" t="s">
        <v>764</v>
      </c>
      <c r="B140" s="15" t="s">
        <v>221</v>
      </c>
      <c r="C140" s="15" t="s">
        <v>259</v>
      </c>
      <c r="D140" s="15" t="s">
        <v>765</v>
      </c>
      <c r="E140" s="15" t="s">
        <v>766</v>
      </c>
      <c r="F140" s="15" t="s">
        <v>225</v>
      </c>
      <c r="G140" s="15" t="s">
        <v>76</v>
      </c>
      <c r="H140" s="15" t="s">
        <v>767</v>
      </c>
      <c r="I140" s="15" t="s">
        <v>44</v>
      </c>
      <c r="J140" s="15" t="s">
        <v>45</v>
      </c>
      <c r="K140" s="15" t="s">
        <v>122</v>
      </c>
      <c r="L140" s="15" t="s">
        <v>263</v>
      </c>
      <c r="M140" s="15">
        <v>11</v>
      </c>
      <c r="N140" s="25">
        <v>45</v>
      </c>
      <c r="O140" s="15">
        <v>5</v>
      </c>
      <c r="P140" s="25">
        <v>470.25</v>
      </c>
      <c r="Q140" s="15">
        <v>3</v>
      </c>
      <c r="R140" s="15" t="s">
        <v>79</v>
      </c>
      <c r="S140" s="15" t="s">
        <v>49</v>
      </c>
      <c r="T140" s="15" t="s">
        <v>228</v>
      </c>
      <c r="U140" s="15">
        <v>9548742147</v>
      </c>
      <c r="V140" s="15" t="s">
        <v>38</v>
      </c>
      <c r="W140" s="29" t="str" cm="1">
        <f t="array" ref="W140">_xlfn.IFS(OR(V140="Cancelled", Q140&lt;=2), "Blacklisted", AND(P140&gt;=100000, Q140&gt;=4, O140&lt;=0.1, V140="Completed"), "Platinum", AND(P140&gt;=50000, P140&lt;=99999, Q140&gt;=3, V140="Completed"), "Gold", AND(Q140&lt;50000, V140="Completed"), "Silver", V140="Pending", "Pending")</f>
        <v>Silver</v>
      </c>
    </row>
    <row r="141" spans="1:23" x14ac:dyDescent="0.5">
      <c r="A141" s="17" t="s">
        <v>769</v>
      </c>
      <c r="B141" s="17" t="s">
        <v>83</v>
      </c>
      <c r="C141" s="17" t="s">
        <v>54</v>
      </c>
      <c r="D141" s="17" t="s">
        <v>770</v>
      </c>
      <c r="E141" s="17" t="s">
        <v>771</v>
      </c>
      <c r="F141" s="15" t="s">
        <v>180</v>
      </c>
      <c r="G141" s="17" t="s">
        <v>76</v>
      </c>
      <c r="H141" s="17" t="s">
        <v>772</v>
      </c>
      <c r="I141" s="17" t="s">
        <v>138</v>
      </c>
      <c r="J141" s="17" t="s">
        <v>106</v>
      </c>
      <c r="K141" s="17" t="s">
        <v>46</v>
      </c>
      <c r="L141" s="17" t="s">
        <v>60</v>
      </c>
      <c r="M141" s="17">
        <v>19</v>
      </c>
      <c r="N141" s="26">
        <v>55000</v>
      </c>
      <c r="O141" s="17">
        <v>0</v>
      </c>
      <c r="P141" s="26">
        <v>1045000</v>
      </c>
      <c r="Q141" s="17">
        <v>2</v>
      </c>
      <c r="R141" s="17" t="s">
        <v>79</v>
      </c>
      <c r="S141" s="17" t="s">
        <v>35</v>
      </c>
      <c r="T141" s="17" t="s">
        <v>89</v>
      </c>
      <c r="U141" s="17">
        <v>9912945471</v>
      </c>
      <c r="V141" s="17" t="s">
        <v>69</v>
      </c>
      <c r="W141" s="29" t="str" cm="1">
        <f t="array" ref="W141">_xlfn.IFS(OR(V141="Cancelled", Q141&lt;=2), "Blacklisted", AND(P141&gt;=100000, Q141&gt;=4, O141&lt;=0.1, V141="Completed"), "Platinum", AND(P141&gt;=50000, P141&lt;=99999, Q141&gt;=3, V141="Completed"), "Gold", AND(Q141&lt;50000, V141="Completed"), "Silver", V141="Pending", "Pending")</f>
        <v>Blacklisted</v>
      </c>
    </row>
    <row r="142" spans="1:23" x14ac:dyDescent="0.5">
      <c r="A142" s="15" t="s">
        <v>774</v>
      </c>
      <c r="B142" s="15" t="s">
        <v>53</v>
      </c>
      <c r="C142" s="15" t="s">
        <v>92</v>
      </c>
      <c r="D142" s="15" t="s">
        <v>775</v>
      </c>
      <c r="E142" s="15" t="s">
        <v>539</v>
      </c>
      <c r="F142" s="15" t="s">
        <v>163</v>
      </c>
      <c r="G142" s="15" t="s">
        <v>28</v>
      </c>
      <c r="H142" s="15" t="s">
        <v>776</v>
      </c>
      <c r="I142" s="15" t="s">
        <v>114</v>
      </c>
      <c r="J142" s="15" t="s">
        <v>106</v>
      </c>
      <c r="K142" s="15" t="s">
        <v>32</v>
      </c>
      <c r="L142" s="15" t="s">
        <v>97</v>
      </c>
      <c r="M142" s="15">
        <v>20</v>
      </c>
      <c r="N142" s="25">
        <v>3500</v>
      </c>
      <c r="O142" s="15">
        <v>20</v>
      </c>
      <c r="P142" s="25">
        <v>56000</v>
      </c>
      <c r="Q142" s="15">
        <v>4</v>
      </c>
      <c r="R142" s="15" t="s">
        <v>48</v>
      </c>
      <c r="S142" s="15" t="s">
        <v>49</v>
      </c>
      <c r="T142" s="15" t="s">
        <v>62</v>
      </c>
      <c r="U142" s="15">
        <v>9912630684</v>
      </c>
      <c r="V142" s="15" t="s">
        <v>38</v>
      </c>
      <c r="W142" s="29" t="str" cm="1">
        <f t="array" ref="W142">_xlfn.IFS(OR(V142="Cancelled", Q142&lt;=2), "Blacklisted", AND(P142&gt;=100000, Q142&gt;=4, O142&lt;=0.1, V142="Completed"), "Platinum", AND(P142&gt;=50000, P142&lt;=99999, Q142&gt;=3, V142="Completed"), "Gold", AND(Q142&lt;50000, V142="Completed"), "Silver", V142="Pending", "Pending")</f>
        <v>Gold</v>
      </c>
    </row>
    <row r="143" spans="1:23" x14ac:dyDescent="0.5">
      <c r="A143" s="17" t="s">
        <v>778</v>
      </c>
      <c r="B143" s="17" t="s">
        <v>83</v>
      </c>
      <c r="C143" s="17" t="s">
        <v>24</v>
      </c>
      <c r="D143" s="17" t="s">
        <v>276</v>
      </c>
      <c r="E143" s="17" t="s">
        <v>779</v>
      </c>
      <c r="F143" s="15" t="s">
        <v>180</v>
      </c>
      <c r="G143" s="17" t="s">
        <v>76</v>
      </c>
      <c r="H143" s="17" t="s">
        <v>780</v>
      </c>
      <c r="I143" s="17" t="s">
        <v>114</v>
      </c>
      <c r="J143" s="17" t="s">
        <v>106</v>
      </c>
      <c r="K143" s="17" t="s">
        <v>32</v>
      </c>
      <c r="L143" s="17" t="s">
        <v>33</v>
      </c>
      <c r="M143" s="17">
        <v>17</v>
      </c>
      <c r="N143" s="26">
        <v>2200</v>
      </c>
      <c r="O143" s="17">
        <v>0</v>
      </c>
      <c r="P143" s="26">
        <v>37400</v>
      </c>
      <c r="Q143" s="17">
        <v>5</v>
      </c>
      <c r="R143" s="17" t="s">
        <v>48</v>
      </c>
      <c r="S143" s="17" t="s">
        <v>35</v>
      </c>
      <c r="T143" s="17" t="s">
        <v>89</v>
      </c>
      <c r="U143" s="17">
        <v>9114017237</v>
      </c>
      <c r="V143" s="17" t="s">
        <v>64</v>
      </c>
      <c r="W143" s="29" t="str" cm="1">
        <f t="array" ref="W143">_xlfn.IFS(OR(V143="Cancelled", Q143&lt;=2), "Blacklisted", AND(P143&gt;=100000, Q143&gt;=4, O143&lt;=0.1, V143="Completed"), "Platinum", AND(P143&gt;=50000, P143&lt;=99999, Q143&gt;=3, V143="Completed"), "Gold", AND(Q143&lt;50000, V143="Completed"), "Silver", V143="Pending", "Pending")</f>
        <v>Pending</v>
      </c>
    </row>
    <row r="144" spans="1:23" x14ac:dyDescent="0.5">
      <c r="A144" s="15" t="s">
        <v>782</v>
      </c>
      <c r="B144" s="15" t="s">
        <v>83</v>
      </c>
      <c r="C144" s="15" t="s">
        <v>72</v>
      </c>
      <c r="D144" s="15" t="s">
        <v>770</v>
      </c>
      <c r="E144" s="15" t="s">
        <v>783</v>
      </c>
      <c r="F144" s="15" t="s">
        <v>180</v>
      </c>
      <c r="G144" s="15" t="s">
        <v>76</v>
      </c>
      <c r="H144" s="15" t="s">
        <v>784</v>
      </c>
      <c r="I144" s="15" t="s">
        <v>114</v>
      </c>
      <c r="J144" s="15" t="s">
        <v>106</v>
      </c>
      <c r="K144" s="15" t="s">
        <v>46</v>
      </c>
      <c r="L144" s="15" t="s">
        <v>78</v>
      </c>
      <c r="M144" s="15">
        <v>10</v>
      </c>
      <c r="N144" s="25">
        <v>1200</v>
      </c>
      <c r="O144" s="15">
        <v>5</v>
      </c>
      <c r="P144" s="25">
        <v>11400</v>
      </c>
      <c r="Q144" s="15">
        <v>2</v>
      </c>
      <c r="R144" s="15" t="s">
        <v>34</v>
      </c>
      <c r="S144" s="15" t="s">
        <v>49</v>
      </c>
      <c r="T144" s="15" t="s">
        <v>89</v>
      </c>
      <c r="U144" s="15">
        <v>9872471236</v>
      </c>
      <c r="V144" s="15" t="s">
        <v>69</v>
      </c>
      <c r="W144" s="29" t="str" cm="1">
        <f t="array" ref="W144">_xlfn.IFS(OR(V144="Cancelled", Q144&lt;=2), "Blacklisted", AND(P144&gt;=100000, Q144&gt;=4, O144&lt;=0.1, V144="Completed"), "Platinum", AND(P144&gt;=50000, P144&lt;=99999, Q144&gt;=3, V144="Completed"), "Gold", AND(Q144&lt;50000, V144="Completed"), "Silver", V144="Pending", "Pending")</f>
        <v>Blacklisted</v>
      </c>
    </row>
    <row r="145" spans="1:23" x14ac:dyDescent="0.5">
      <c r="A145" s="17" t="s">
        <v>786</v>
      </c>
      <c r="B145" s="17" t="s">
        <v>221</v>
      </c>
      <c r="C145" s="17" t="s">
        <v>118</v>
      </c>
      <c r="D145" s="17" t="s">
        <v>787</v>
      </c>
      <c r="E145" s="17" t="s">
        <v>788</v>
      </c>
      <c r="F145" s="15" t="s">
        <v>225</v>
      </c>
      <c r="G145" s="17" t="s">
        <v>76</v>
      </c>
      <c r="H145" s="17" t="s">
        <v>789</v>
      </c>
      <c r="I145" s="17" t="s">
        <v>30</v>
      </c>
      <c r="J145" s="17" t="s">
        <v>31</v>
      </c>
      <c r="K145" s="17" t="s">
        <v>122</v>
      </c>
      <c r="L145" s="17" t="s">
        <v>123</v>
      </c>
      <c r="M145" s="17">
        <v>3</v>
      </c>
      <c r="N145" s="26">
        <v>60</v>
      </c>
      <c r="O145" s="17">
        <v>0</v>
      </c>
      <c r="P145" s="26">
        <v>180</v>
      </c>
      <c r="Q145" s="17">
        <v>4</v>
      </c>
      <c r="R145" s="17" t="s">
        <v>48</v>
      </c>
      <c r="S145" s="17" t="s">
        <v>151</v>
      </c>
      <c r="T145" s="17" t="s">
        <v>228</v>
      </c>
      <c r="U145" s="17">
        <v>9461383824</v>
      </c>
      <c r="V145" s="17" t="s">
        <v>38</v>
      </c>
      <c r="W145" s="29" t="str" cm="1">
        <f t="array" ref="W145">_xlfn.IFS(OR(V145="Cancelled", Q145&lt;=2), "Blacklisted", AND(P145&gt;=100000, Q145&gt;=4, O145&lt;=0.1, V145="Completed"), "Platinum", AND(P145&gt;=50000, P145&lt;=99999, Q145&gt;=3, V145="Completed"), "Gold", AND(Q145&lt;50000, V145="Completed"), "Silver", V145="Pending", "Pending")</f>
        <v>Silver</v>
      </c>
    </row>
    <row r="146" spans="1:23" x14ac:dyDescent="0.5">
      <c r="A146" s="15" t="s">
        <v>791</v>
      </c>
      <c r="B146" s="15" t="s">
        <v>53</v>
      </c>
      <c r="C146" s="15" t="s">
        <v>24</v>
      </c>
      <c r="D146" s="15" t="s">
        <v>792</v>
      </c>
      <c r="E146" s="15" t="s">
        <v>793</v>
      </c>
      <c r="F146" s="15" t="s">
        <v>163</v>
      </c>
      <c r="G146" s="15" t="s">
        <v>28</v>
      </c>
      <c r="H146" s="15" t="s">
        <v>794</v>
      </c>
      <c r="I146" s="15" t="s">
        <v>105</v>
      </c>
      <c r="J146" s="15" t="s">
        <v>106</v>
      </c>
      <c r="K146" s="15" t="s">
        <v>32</v>
      </c>
      <c r="L146" s="15" t="s">
        <v>33</v>
      </c>
      <c r="M146" s="15">
        <v>18</v>
      </c>
      <c r="N146" s="25">
        <v>2200</v>
      </c>
      <c r="O146" s="15">
        <v>10</v>
      </c>
      <c r="P146" s="25">
        <v>35640</v>
      </c>
      <c r="Q146" s="15">
        <v>1</v>
      </c>
      <c r="R146" s="15" t="s">
        <v>79</v>
      </c>
      <c r="S146" s="15" t="s">
        <v>151</v>
      </c>
      <c r="T146" s="15" t="s">
        <v>62</v>
      </c>
      <c r="U146" s="15">
        <v>9243407457</v>
      </c>
      <c r="V146" s="15" t="s">
        <v>69</v>
      </c>
      <c r="W146" s="29" t="str" cm="1">
        <f t="array" ref="W146">_xlfn.IFS(OR(V146="Cancelled", Q146&lt;=2), "Blacklisted", AND(P146&gt;=100000, Q146&gt;=4, O146&lt;=0.1, V146="Completed"), "Platinum", AND(P146&gt;=50000, P146&lt;=99999, Q146&gt;=3, V146="Completed"), "Gold", AND(Q146&lt;50000, V146="Completed"), "Silver", V146="Pending", "Pending")</f>
        <v>Blacklisted</v>
      </c>
    </row>
    <row r="147" spans="1:23" x14ac:dyDescent="0.5">
      <c r="A147" s="17" t="s">
        <v>796</v>
      </c>
      <c r="B147" s="17" t="s">
        <v>71</v>
      </c>
      <c r="C147" s="17" t="s">
        <v>118</v>
      </c>
      <c r="D147" s="17" t="s">
        <v>797</v>
      </c>
      <c r="E147" s="17" t="s">
        <v>798</v>
      </c>
      <c r="F147" s="15" t="s">
        <v>217</v>
      </c>
      <c r="G147" s="17" t="s">
        <v>76</v>
      </c>
      <c r="H147" s="17" t="s">
        <v>799</v>
      </c>
      <c r="I147" s="17" t="s">
        <v>44</v>
      </c>
      <c r="J147" s="17" t="s">
        <v>45</v>
      </c>
      <c r="K147" s="17" t="s">
        <v>122</v>
      </c>
      <c r="L147" s="17" t="s">
        <v>123</v>
      </c>
      <c r="M147" s="17">
        <v>18</v>
      </c>
      <c r="N147" s="26">
        <v>60</v>
      </c>
      <c r="O147" s="17">
        <v>5</v>
      </c>
      <c r="P147" s="26">
        <v>1026</v>
      </c>
      <c r="Q147" s="17">
        <v>3</v>
      </c>
      <c r="R147" s="17" t="s">
        <v>79</v>
      </c>
      <c r="S147" s="17" t="s">
        <v>49</v>
      </c>
      <c r="T147" s="17" t="s">
        <v>80</v>
      </c>
      <c r="U147" s="17">
        <v>9418672379</v>
      </c>
      <c r="V147" s="17" t="s">
        <v>64</v>
      </c>
      <c r="W147" s="29" t="str" cm="1">
        <f t="array" ref="W147">_xlfn.IFS(OR(V147="Cancelled", Q147&lt;=2), "Blacklisted", AND(P147&gt;=100000, Q147&gt;=4, O147&lt;=0.1, V147="Completed"), "Platinum", AND(P147&gt;=50000, P147&lt;=99999, Q147&gt;=3, V147="Completed"), "Gold", AND(Q147&lt;50000, V147="Completed"), "Silver", V147="Pending", "Pending")</f>
        <v>Pending</v>
      </c>
    </row>
    <row r="148" spans="1:23" x14ac:dyDescent="0.5">
      <c r="A148" s="15" t="s">
        <v>801</v>
      </c>
      <c r="B148" s="15" t="s">
        <v>127</v>
      </c>
      <c r="C148" s="15" t="s">
        <v>54</v>
      </c>
      <c r="D148" s="15" t="s">
        <v>422</v>
      </c>
      <c r="E148" s="15" t="s">
        <v>377</v>
      </c>
      <c r="F148" s="15" t="s">
        <v>200</v>
      </c>
      <c r="G148" s="15" t="s">
        <v>76</v>
      </c>
      <c r="H148" s="15" t="s">
        <v>802</v>
      </c>
      <c r="I148" s="15" t="s">
        <v>114</v>
      </c>
      <c r="J148" s="15" t="s">
        <v>106</v>
      </c>
      <c r="K148" s="15" t="s">
        <v>46</v>
      </c>
      <c r="L148" s="15" t="s">
        <v>60</v>
      </c>
      <c r="M148" s="15">
        <v>11</v>
      </c>
      <c r="N148" s="25">
        <v>55000</v>
      </c>
      <c r="O148" s="15">
        <v>15</v>
      </c>
      <c r="P148" s="25">
        <v>514250</v>
      </c>
      <c r="Q148" s="15">
        <v>4</v>
      </c>
      <c r="R148" s="15" t="s">
        <v>88</v>
      </c>
      <c r="S148" s="15" t="s">
        <v>115</v>
      </c>
      <c r="T148" s="15" t="s">
        <v>132</v>
      </c>
      <c r="U148" s="15">
        <v>9222733065</v>
      </c>
      <c r="V148" s="15" t="s">
        <v>69</v>
      </c>
      <c r="W148" s="29" t="str" cm="1">
        <f t="array" ref="W148">_xlfn.IFS(OR(V148="Cancelled", Q148&lt;=2), "Blacklisted", AND(P148&gt;=100000, Q148&gt;=4, O148&lt;=0.1, V148="Completed"), "Platinum", AND(P148&gt;=50000, P148&lt;=99999, Q148&gt;=3, V148="Completed"), "Gold", AND(Q148&lt;50000, V148="Completed"), "Silver", V148="Pending", "Pending")</f>
        <v>Blacklisted</v>
      </c>
    </row>
    <row r="149" spans="1:23" x14ac:dyDescent="0.5">
      <c r="A149" s="17" t="s">
        <v>804</v>
      </c>
      <c r="B149" s="17" t="s">
        <v>251</v>
      </c>
      <c r="C149" s="17" t="s">
        <v>169</v>
      </c>
      <c r="D149" s="17" t="s">
        <v>474</v>
      </c>
      <c r="E149" s="17" t="s">
        <v>464</v>
      </c>
      <c r="F149" s="15" t="s">
        <v>254</v>
      </c>
      <c r="G149" s="17" t="s">
        <v>28</v>
      </c>
      <c r="H149" s="17" t="s">
        <v>805</v>
      </c>
      <c r="I149" s="17" t="s">
        <v>294</v>
      </c>
      <c r="J149" s="17" t="s">
        <v>295</v>
      </c>
      <c r="K149" s="17" t="s">
        <v>32</v>
      </c>
      <c r="L149" s="17" t="s">
        <v>174</v>
      </c>
      <c r="M149" s="17">
        <v>5</v>
      </c>
      <c r="N149" s="26">
        <v>8500</v>
      </c>
      <c r="O149" s="17">
        <v>5</v>
      </c>
      <c r="P149" s="26">
        <v>40375</v>
      </c>
      <c r="Q149" s="17">
        <v>4</v>
      </c>
      <c r="R149" s="17" t="s">
        <v>34</v>
      </c>
      <c r="S149" s="17" t="s">
        <v>151</v>
      </c>
      <c r="T149" s="17" t="s">
        <v>256</v>
      </c>
      <c r="U149" s="17">
        <v>9684246902</v>
      </c>
      <c r="V149" s="17" t="s">
        <v>38</v>
      </c>
      <c r="W149" s="29" t="str" cm="1">
        <f t="array" ref="W149">_xlfn.IFS(OR(V149="Cancelled", Q149&lt;=2), "Blacklisted", AND(P149&gt;=100000, Q149&gt;=4, O149&lt;=0.1, V149="Completed"), "Platinum", AND(P149&gt;=50000, P149&lt;=99999, Q149&gt;=3, V149="Completed"), "Gold", AND(Q149&lt;50000, V149="Completed"), "Silver", V149="Pending", "Pending")</f>
        <v>Silver</v>
      </c>
    </row>
    <row r="150" spans="1:23" x14ac:dyDescent="0.5">
      <c r="A150" s="15" t="s">
        <v>192</v>
      </c>
      <c r="B150" s="15" t="s">
        <v>100</v>
      </c>
      <c r="C150" s="15" t="s">
        <v>184</v>
      </c>
      <c r="D150" s="15" t="s">
        <v>246</v>
      </c>
      <c r="E150" s="15" t="s">
        <v>128</v>
      </c>
      <c r="F150" s="15" t="s">
        <v>103</v>
      </c>
      <c r="G150" s="15" t="s">
        <v>28</v>
      </c>
      <c r="H150" s="15" t="s">
        <v>807</v>
      </c>
      <c r="I150" s="15" t="s">
        <v>212</v>
      </c>
      <c r="J150" s="15" t="s">
        <v>45</v>
      </c>
      <c r="K150" s="15" t="s">
        <v>46</v>
      </c>
      <c r="L150" s="15" t="s">
        <v>189</v>
      </c>
      <c r="M150" s="15">
        <v>16</v>
      </c>
      <c r="N150" s="25">
        <v>700</v>
      </c>
      <c r="O150" s="15">
        <v>15</v>
      </c>
      <c r="P150" s="25">
        <v>9520</v>
      </c>
      <c r="Q150" s="15">
        <v>4</v>
      </c>
      <c r="R150" s="15" t="s">
        <v>79</v>
      </c>
      <c r="S150" s="15" t="s">
        <v>61</v>
      </c>
      <c r="T150" s="15" t="s">
        <v>144</v>
      </c>
      <c r="U150" s="15">
        <v>9989580228</v>
      </c>
      <c r="V150" s="15" t="s">
        <v>38</v>
      </c>
      <c r="W150" s="29" t="str" cm="1">
        <f t="array" ref="W150">_xlfn.IFS(OR(V150="Cancelled", Q150&lt;=2), "Blacklisted", AND(P150&gt;=100000, Q150&gt;=4, O150&lt;=0.1, V150="Completed"), "Platinum", AND(P150&gt;=50000, P150&lt;=99999, Q150&gt;=3, V150="Completed"), "Gold", AND(Q150&lt;50000, V150="Completed"), "Silver", V150="Pending", "Pending")</f>
        <v>Silver</v>
      </c>
    </row>
    <row r="151" spans="1:23" x14ac:dyDescent="0.5">
      <c r="A151" s="17" t="s">
        <v>809</v>
      </c>
      <c r="B151" s="17" t="s">
        <v>127</v>
      </c>
      <c r="C151" s="17" t="s">
        <v>184</v>
      </c>
      <c r="D151" s="17" t="s">
        <v>489</v>
      </c>
      <c r="E151" s="17" t="s">
        <v>267</v>
      </c>
      <c r="F151" s="15" t="s">
        <v>200</v>
      </c>
      <c r="G151" s="17" t="s">
        <v>76</v>
      </c>
      <c r="H151" s="17" t="s">
        <v>810</v>
      </c>
      <c r="I151" s="17" t="s">
        <v>114</v>
      </c>
      <c r="J151" s="17" t="s">
        <v>106</v>
      </c>
      <c r="K151" s="17" t="s">
        <v>46</v>
      </c>
      <c r="L151" s="17" t="s">
        <v>189</v>
      </c>
      <c r="M151" s="17">
        <v>6</v>
      </c>
      <c r="N151" s="26">
        <v>700</v>
      </c>
      <c r="O151" s="17">
        <v>10</v>
      </c>
      <c r="P151" s="26">
        <v>3780</v>
      </c>
      <c r="Q151" s="17">
        <v>4</v>
      </c>
      <c r="R151" s="17" t="s">
        <v>34</v>
      </c>
      <c r="S151" s="17" t="s">
        <v>49</v>
      </c>
      <c r="T151" s="17" t="s">
        <v>132</v>
      </c>
      <c r="U151" s="17">
        <v>9110269572</v>
      </c>
      <c r="V151" s="17" t="s">
        <v>69</v>
      </c>
      <c r="W151" s="29" t="str" cm="1">
        <f t="array" ref="W151">_xlfn.IFS(OR(V151="Cancelled", Q151&lt;=2), "Blacklisted", AND(P151&gt;=100000, Q151&gt;=4, O151&lt;=0.1, V151="Completed"), "Platinum", AND(P151&gt;=50000, P151&lt;=99999, Q151&gt;=3, V151="Completed"), "Gold", AND(Q151&lt;50000, V151="Completed"), "Silver", V151="Pending", "Pending")</f>
        <v>Blacklisted</v>
      </c>
    </row>
    <row r="152" spans="1:23" x14ac:dyDescent="0.5">
      <c r="A152" s="15" t="s">
        <v>812</v>
      </c>
      <c r="B152" s="15" t="s">
        <v>53</v>
      </c>
      <c r="C152" s="15" t="s">
        <v>92</v>
      </c>
      <c r="D152" s="15" t="s">
        <v>518</v>
      </c>
      <c r="E152" s="15" t="s">
        <v>615</v>
      </c>
      <c r="F152" s="15" t="s">
        <v>163</v>
      </c>
      <c r="G152" s="15" t="s">
        <v>28</v>
      </c>
      <c r="H152" s="15" t="s">
        <v>813</v>
      </c>
      <c r="I152" s="15" t="s">
        <v>44</v>
      </c>
      <c r="J152" s="15" t="s">
        <v>45</v>
      </c>
      <c r="K152" s="15" t="s">
        <v>32</v>
      </c>
      <c r="L152" s="15" t="s">
        <v>97</v>
      </c>
      <c r="M152" s="15">
        <v>20</v>
      </c>
      <c r="N152" s="25">
        <v>3500</v>
      </c>
      <c r="O152" s="15">
        <v>10</v>
      </c>
      <c r="P152" s="25">
        <v>63000</v>
      </c>
      <c r="Q152" s="15">
        <v>4</v>
      </c>
      <c r="R152" s="15" t="s">
        <v>88</v>
      </c>
      <c r="S152" s="15" t="s">
        <v>49</v>
      </c>
      <c r="T152" s="15" t="s">
        <v>62</v>
      </c>
      <c r="U152" s="15">
        <v>9745972422</v>
      </c>
      <c r="V152" s="15" t="s">
        <v>64</v>
      </c>
      <c r="W152" s="29" t="str" cm="1">
        <f t="array" ref="W152">_xlfn.IFS(OR(V152="Cancelled", Q152&lt;=2), "Blacklisted", AND(P152&gt;=100000, Q152&gt;=4, O152&lt;=0.1, V152="Completed"), "Platinum", AND(P152&gt;=50000, P152&lt;=99999, Q152&gt;=3, V152="Completed"), "Gold", AND(Q152&lt;50000, V152="Completed"), "Silver", V152="Pending", "Pending")</f>
        <v>Pending</v>
      </c>
    </row>
    <row r="153" spans="1:23" x14ac:dyDescent="0.5">
      <c r="A153" s="17" t="s">
        <v>815</v>
      </c>
      <c r="B153" s="17" t="s">
        <v>23</v>
      </c>
      <c r="C153" s="17" t="s">
        <v>222</v>
      </c>
      <c r="D153" s="17" t="s">
        <v>816</v>
      </c>
      <c r="E153" s="17" t="s">
        <v>817</v>
      </c>
      <c r="F153" s="15" t="s">
        <v>27</v>
      </c>
      <c r="G153" s="17" t="s">
        <v>28</v>
      </c>
      <c r="H153" s="17" t="s">
        <v>818</v>
      </c>
      <c r="I153" s="17" t="s">
        <v>59</v>
      </c>
      <c r="J153" s="17" t="s">
        <v>31</v>
      </c>
      <c r="K153" s="17" t="s">
        <v>122</v>
      </c>
      <c r="L153" s="17" t="s">
        <v>227</v>
      </c>
      <c r="M153" s="17">
        <v>2</v>
      </c>
      <c r="N153" s="26">
        <v>20</v>
      </c>
      <c r="O153" s="17">
        <v>10</v>
      </c>
      <c r="P153" s="26">
        <v>36</v>
      </c>
      <c r="Q153" s="17">
        <v>1</v>
      </c>
      <c r="R153" s="17" t="s">
        <v>48</v>
      </c>
      <c r="S153" s="17" t="s">
        <v>115</v>
      </c>
      <c r="T153" s="17" t="s">
        <v>50</v>
      </c>
      <c r="U153" s="17">
        <v>9123712257</v>
      </c>
      <c r="V153" s="17" t="s">
        <v>64</v>
      </c>
      <c r="W153" s="29" t="str" cm="1">
        <f t="array" ref="W153">_xlfn.IFS(OR(V153="Cancelled", Q153&lt;=2), "Blacklisted", AND(P153&gt;=100000, Q153&gt;=4, O153&lt;=0.1, V153="Completed"), "Platinum", AND(P153&gt;=50000, P153&lt;=99999, Q153&gt;=3, V153="Completed"), "Gold", AND(Q153&lt;50000, V153="Completed"), "Silver", V153="Pending", "Pending")</f>
        <v>Blacklisted</v>
      </c>
    </row>
    <row r="154" spans="1:23" x14ac:dyDescent="0.5">
      <c r="A154" s="15" t="s">
        <v>820</v>
      </c>
      <c r="B154" s="15" t="s">
        <v>100</v>
      </c>
      <c r="C154" s="15" t="s">
        <v>24</v>
      </c>
      <c r="D154" s="15" t="s">
        <v>779</v>
      </c>
      <c r="E154" s="15" t="s">
        <v>821</v>
      </c>
      <c r="F154" s="15" t="s">
        <v>103</v>
      </c>
      <c r="G154" s="15" t="s">
        <v>28</v>
      </c>
      <c r="H154" s="15" t="s">
        <v>822</v>
      </c>
      <c r="I154" s="15" t="s">
        <v>114</v>
      </c>
      <c r="J154" s="15" t="s">
        <v>106</v>
      </c>
      <c r="K154" s="15" t="s">
        <v>32</v>
      </c>
      <c r="L154" s="15" t="s">
        <v>33</v>
      </c>
      <c r="M154" s="15">
        <v>16</v>
      </c>
      <c r="N154" s="25">
        <v>2200</v>
      </c>
      <c r="O154" s="15">
        <v>20</v>
      </c>
      <c r="P154" s="25">
        <v>28160</v>
      </c>
      <c r="Q154" s="15">
        <v>2</v>
      </c>
      <c r="R154" s="15" t="s">
        <v>88</v>
      </c>
      <c r="S154" s="15" t="s">
        <v>151</v>
      </c>
      <c r="T154" s="15" t="s">
        <v>144</v>
      </c>
      <c r="U154" s="15">
        <v>9665525431</v>
      </c>
      <c r="V154" s="15" t="s">
        <v>64</v>
      </c>
      <c r="W154" s="29" t="str" cm="1">
        <f t="array" ref="W154">_xlfn.IFS(OR(V154="Cancelled", Q154&lt;=2), "Blacklisted", AND(P154&gt;=100000, Q154&gt;=4, O154&lt;=0.1, V154="Completed"), "Platinum", AND(P154&gt;=50000, P154&lt;=99999, Q154&gt;=3, V154="Completed"), "Gold", AND(Q154&lt;50000, V154="Completed"), "Silver", V154="Pending", "Pending")</f>
        <v>Blacklisted</v>
      </c>
    </row>
    <row r="155" spans="1:23" x14ac:dyDescent="0.5">
      <c r="A155" s="17" t="s">
        <v>824</v>
      </c>
      <c r="B155" s="17" t="s">
        <v>221</v>
      </c>
      <c r="C155" s="17" t="s">
        <v>40</v>
      </c>
      <c r="D155" s="17" t="s">
        <v>148</v>
      </c>
      <c r="E155" s="17" t="s">
        <v>825</v>
      </c>
      <c r="F155" s="15" t="s">
        <v>225</v>
      </c>
      <c r="G155" s="17" t="s">
        <v>76</v>
      </c>
      <c r="H155" s="17" t="s">
        <v>826</v>
      </c>
      <c r="I155" s="17" t="s">
        <v>114</v>
      </c>
      <c r="J155" s="17" t="s">
        <v>106</v>
      </c>
      <c r="K155" s="17" t="s">
        <v>46</v>
      </c>
      <c r="L155" s="17" t="s">
        <v>47</v>
      </c>
      <c r="M155" s="17">
        <v>15</v>
      </c>
      <c r="N155" s="26">
        <v>12000</v>
      </c>
      <c r="O155" s="17">
        <v>0</v>
      </c>
      <c r="P155" s="26">
        <v>180000</v>
      </c>
      <c r="Q155" s="17">
        <v>1</v>
      </c>
      <c r="R155" s="17" t="s">
        <v>79</v>
      </c>
      <c r="S155" s="17" t="s">
        <v>61</v>
      </c>
      <c r="T155" s="17" t="s">
        <v>228</v>
      </c>
      <c r="U155" s="17">
        <v>9682415134</v>
      </c>
      <c r="V155" s="17" t="s">
        <v>64</v>
      </c>
      <c r="W155" s="29" t="str" cm="1">
        <f t="array" ref="W155">_xlfn.IFS(OR(V155="Cancelled", Q155&lt;=2), "Blacklisted", AND(P155&gt;=100000, Q155&gt;=4, O155&lt;=0.1, V155="Completed"), "Platinum", AND(P155&gt;=50000, P155&lt;=99999, Q155&gt;=3, V155="Completed"), "Gold", AND(Q155&lt;50000, V155="Completed"), "Silver", V155="Pending", "Pending")</f>
        <v>Blacklisted</v>
      </c>
    </row>
    <row r="156" spans="1:23" x14ac:dyDescent="0.5">
      <c r="A156" s="15" t="s">
        <v>828</v>
      </c>
      <c r="B156" s="15" t="s">
        <v>23</v>
      </c>
      <c r="C156" s="15" t="s">
        <v>118</v>
      </c>
      <c r="D156" s="15" t="s">
        <v>829</v>
      </c>
      <c r="E156" s="15" t="s">
        <v>830</v>
      </c>
      <c r="F156" s="15" t="s">
        <v>27</v>
      </c>
      <c r="G156" s="15" t="s">
        <v>28</v>
      </c>
      <c r="H156" s="15" t="s">
        <v>831</v>
      </c>
      <c r="I156" s="15" t="s">
        <v>44</v>
      </c>
      <c r="J156" s="15" t="s">
        <v>45</v>
      </c>
      <c r="K156" s="15" t="s">
        <v>122</v>
      </c>
      <c r="L156" s="15" t="s">
        <v>123</v>
      </c>
      <c r="M156" s="15">
        <v>14</v>
      </c>
      <c r="N156" s="25">
        <v>60</v>
      </c>
      <c r="O156" s="15">
        <v>15</v>
      </c>
      <c r="P156" s="25">
        <v>714</v>
      </c>
      <c r="Q156" s="15">
        <v>4</v>
      </c>
      <c r="R156" s="15" t="s">
        <v>88</v>
      </c>
      <c r="S156" s="15" t="s">
        <v>49</v>
      </c>
      <c r="T156" s="15" t="s">
        <v>50</v>
      </c>
      <c r="U156" s="15">
        <v>9808223872</v>
      </c>
      <c r="V156" s="15" t="s">
        <v>38</v>
      </c>
      <c r="W156" s="29" t="str" cm="1">
        <f t="array" ref="W156">_xlfn.IFS(OR(V156="Cancelled", Q156&lt;=2), "Blacklisted", AND(P156&gt;=100000, Q156&gt;=4, O156&lt;=0.1, V156="Completed"), "Platinum", AND(P156&gt;=50000, P156&lt;=99999, Q156&gt;=3, V156="Completed"), "Gold", AND(Q156&lt;50000, V156="Completed"), "Silver", V156="Pending", "Pending")</f>
        <v>Silver</v>
      </c>
    </row>
    <row r="157" spans="1:23" x14ac:dyDescent="0.5">
      <c r="A157" s="17" t="s">
        <v>833</v>
      </c>
      <c r="B157" s="17" t="s">
        <v>53</v>
      </c>
      <c r="C157" s="17" t="s">
        <v>72</v>
      </c>
      <c r="D157" s="17" t="s">
        <v>834</v>
      </c>
      <c r="E157" s="17" t="s">
        <v>835</v>
      </c>
      <c r="F157" s="15" t="s">
        <v>163</v>
      </c>
      <c r="G157" s="17" t="s">
        <v>28</v>
      </c>
      <c r="H157" s="17" t="s">
        <v>836</v>
      </c>
      <c r="I157" s="17" t="s">
        <v>30</v>
      </c>
      <c r="J157" s="17" t="s">
        <v>31</v>
      </c>
      <c r="K157" s="17" t="s">
        <v>46</v>
      </c>
      <c r="L157" s="17" t="s">
        <v>78</v>
      </c>
      <c r="M157" s="17">
        <v>9</v>
      </c>
      <c r="N157" s="26">
        <v>1200</v>
      </c>
      <c r="O157" s="17">
        <v>5</v>
      </c>
      <c r="P157" s="26">
        <v>10260</v>
      </c>
      <c r="Q157" s="17">
        <v>5</v>
      </c>
      <c r="R157" s="17" t="s">
        <v>48</v>
      </c>
      <c r="S157" s="17" t="s">
        <v>61</v>
      </c>
      <c r="T157" s="17" t="s">
        <v>62</v>
      </c>
      <c r="U157" s="17">
        <v>9193549730</v>
      </c>
      <c r="V157" s="17" t="s">
        <v>64</v>
      </c>
      <c r="W157" s="29" t="str" cm="1">
        <f t="array" ref="W157">_xlfn.IFS(OR(V157="Cancelled", Q157&lt;=2), "Blacklisted", AND(P157&gt;=100000, Q157&gt;=4, O157&lt;=0.1, V157="Completed"), "Platinum", AND(P157&gt;=50000, P157&lt;=99999, Q157&gt;=3, V157="Completed"), "Gold", AND(Q157&lt;50000, V157="Completed"), "Silver", V157="Pending", "Pending")</f>
        <v>Pending</v>
      </c>
    </row>
    <row r="158" spans="1:23" x14ac:dyDescent="0.5">
      <c r="A158" s="15" t="s">
        <v>838</v>
      </c>
      <c r="B158" s="15" t="s">
        <v>221</v>
      </c>
      <c r="C158" s="15" t="s">
        <v>72</v>
      </c>
      <c r="D158" s="15" t="s">
        <v>821</v>
      </c>
      <c r="E158" s="15" t="s">
        <v>839</v>
      </c>
      <c r="F158" s="15" t="s">
        <v>225</v>
      </c>
      <c r="G158" s="15" t="s">
        <v>76</v>
      </c>
      <c r="H158" s="15" t="s">
        <v>840</v>
      </c>
      <c r="I158" s="15" t="s">
        <v>294</v>
      </c>
      <c r="J158" s="15" t="s">
        <v>295</v>
      </c>
      <c r="K158" s="15" t="s">
        <v>46</v>
      </c>
      <c r="L158" s="15" t="s">
        <v>78</v>
      </c>
      <c r="M158" s="15">
        <v>3</v>
      </c>
      <c r="N158" s="25">
        <v>1200</v>
      </c>
      <c r="O158" s="15">
        <v>10</v>
      </c>
      <c r="P158" s="25">
        <v>3240</v>
      </c>
      <c r="Q158" s="15">
        <v>2</v>
      </c>
      <c r="R158" s="15" t="s">
        <v>79</v>
      </c>
      <c r="S158" s="15" t="s">
        <v>151</v>
      </c>
      <c r="T158" s="15" t="s">
        <v>228</v>
      </c>
      <c r="U158" s="15">
        <v>9520617130</v>
      </c>
      <c r="V158" s="15" t="s">
        <v>69</v>
      </c>
      <c r="W158" s="29" t="str" cm="1">
        <f t="array" ref="W158">_xlfn.IFS(OR(V158="Cancelled", Q158&lt;=2), "Blacklisted", AND(P158&gt;=100000, Q158&gt;=4, O158&lt;=0.1, V158="Completed"), "Platinum", AND(P158&gt;=50000, P158&lt;=99999, Q158&gt;=3, V158="Completed"), "Gold", AND(Q158&lt;50000, V158="Completed"), "Silver", V158="Pending", "Pending")</f>
        <v>Blacklisted</v>
      </c>
    </row>
    <row r="159" spans="1:23" x14ac:dyDescent="0.5">
      <c r="A159" s="17" t="s">
        <v>842</v>
      </c>
      <c r="B159" s="17" t="s">
        <v>327</v>
      </c>
      <c r="C159" s="17" t="s">
        <v>118</v>
      </c>
      <c r="D159" s="17" t="s">
        <v>459</v>
      </c>
      <c r="E159" s="17" t="s">
        <v>577</v>
      </c>
      <c r="F159" s="15" t="s">
        <v>394</v>
      </c>
      <c r="G159" s="17" t="s">
        <v>76</v>
      </c>
      <c r="H159" s="17" t="s">
        <v>843</v>
      </c>
      <c r="I159" s="17" t="s">
        <v>30</v>
      </c>
      <c r="J159" s="17" t="s">
        <v>31</v>
      </c>
      <c r="K159" s="17" t="s">
        <v>122</v>
      </c>
      <c r="L159" s="17" t="s">
        <v>123</v>
      </c>
      <c r="M159" s="17">
        <v>2</v>
      </c>
      <c r="N159" s="26">
        <v>60</v>
      </c>
      <c r="O159" s="17">
        <v>10</v>
      </c>
      <c r="P159" s="26">
        <v>108</v>
      </c>
      <c r="Q159" s="17">
        <v>2</v>
      </c>
      <c r="R159" s="17" t="s">
        <v>88</v>
      </c>
      <c r="S159" s="17" t="s">
        <v>61</v>
      </c>
      <c r="T159" s="17" t="s">
        <v>332</v>
      </c>
      <c r="U159" s="17">
        <v>9264578122</v>
      </c>
      <c r="V159" s="17" t="s">
        <v>38</v>
      </c>
      <c r="W159" s="29" t="str" cm="1">
        <f t="array" ref="W159">_xlfn.IFS(OR(V159="Cancelled", Q159&lt;=2), "Blacklisted", AND(P159&gt;=100000, Q159&gt;=4, O159&lt;=0.1, V159="Completed"), "Platinum", AND(P159&gt;=50000, P159&lt;=99999, Q159&gt;=3, V159="Completed"), "Gold", AND(Q159&lt;50000, V159="Completed"), "Silver", V159="Pending", "Pending")</f>
        <v>Blacklisted</v>
      </c>
    </row>
    <row r="160" spans="1:23" x14ac:dyDescent="0.5">
      <c r="A160" s="15" t="s">
        <v>845</v>
      </c>
      <c r="B160" s="15" t="s">
        <v>71</v>
      </c>
      <c r="C160" s="15" t="s">
        <v>92</v>
      </c>
      <c r="D160" s="15" t="s">
        <v>426</v>
      </c>
      <c r="E160" s="15" t="s">
        <v>846</v>
      </c>
      <c r="F160" s="15" t="s">
        <v>217</v>
      </c>
      <c r="G160" s="15" t="s">
        <v>76</v>
      </c>
      <c r="H160" s="15" t="s">
        <v>847</v>
      </c>
      <c r="I160" s="15" t="s">
        <v>44</v>
      </c>
      <c r="J160" s="15" t="s">
        <v>45</v>
      </c>
      <c r="K160" s="15" t="s">
        <v>32</v>
      </c>
      <c r="L160" s="15" t="s">
        <v>97</v>
      </c>
      <c r="M160" s="15">
        <v>9</v>
      </c>
      <c r="N160" s="25">
        <v>3500</v>
      </c>
      <c r="O160" s="15">
        <v>20</v>
      </c>
      <c r="P160" s="25">
        <v>25200</v>
      </c>
      <c r="Q160" s="15">
        <v>1</v>
      </c>
      <c r="R160" s="15" t="s">
        <v>48</v>
      </c>
      <c r="S160" s="15" t="s">
        <v>35</v>
      </c>
      <c r="T160" s="15" t="s">
        <v>80</v>
      </c>
      <c r="U160" s="15">
        <v>9275071213</v>
      </c>
      <c r="V160" s="15" t="s">
        <v>38</v>
      </c>
      <c r="W160" s="29" t="str" cm="1">
        <f t="array" ref="W160">_xlfn.IFS(OR(V160="Cancelled", Q160&lt;=2), "Blacklisted", AND(P160&gt;=100000, Q160&gt;=4, O160&lt;=0.1, V160="Completed"), "Platinum", AND(P160&gt;=50000, P160&lt;=99999, Q160&gt;=3, V160="Completed"), "Gold", AND(Q160&lt;50000, V160="Completed"), "Silver", V160="Pending", "Pending")</f>
        <v>Blacklisted</v>
      </c>
    </row>
    <row r="161" spans="1:23" x14ac:dyDescent="0.5">
      <c r="A161" s="17" t="s">
        <v>849</v>
      </c>
      <c r="B161" s="17" t="s">
        <v>221</v>
      </c>
      <c r="C161" s="17" t="s">
        <v>54</v>
      </c>
      <c r="D161" s="17" t="s">
        <v>241</v>
      </c>
      <c r="E161" s="17" t="s">
        <v>543</v>
      </c>
      <c r="F161" s="15" t="s">
        <v>225</v>
      </c>
      <c r="G161" s="17" t="s">
        <v>76</v>
      </c>
      <c r="H161" s="17" t="s">
        <v>850</v>
      </c>
      <c r="I161" s="17" t="s">
        <v>212</v>
      </c>
      <c r="J161" s="17" t="s">
        <v>45</v>
      </c>
      <c r="K161" s="17" t="s">
        <v>46</v>
      </c>
      <c r="L161" s="17" t="s">
        <v>60</v>
      </c>
      <c r="M161" s="17">
        <v>4</v>
      </c>
      <c r="N161" s="26">
        <v>55000</v>
      </c>
      <c r="O161" s="17">
        <v>5</v>
      </c>
      <c r="P161" s="26">
        <v>209000</v>
      </c>
      <c r="Q161" s="17">
        <v>2</v>
      </c>
      <c r="R161" s="17" t="s">
        <v>34</v>
      </c>
      <c r="S161" s="17" t="s">
        <v>151</v>
      </c>
      <c r="T161" s="17" t="s">
        <v>228</v>
      </c>
      <c r="U161" s="17">
        <v>9715222543</v>
      </c>
      <c r="V161" s="17" t="s">
        <v>64</v>
      </c>
      <c r="W161" s="29" t="str" cm="1">
        <f t="array" ref="W161">_xlfn.IFS(OR(V161="Cancelled", Q161&lt;=2), "Blacklisted", AND(P161&gt;=100000, Q161&gt;=4, O161&lt;=0.1, V161="Completed"), "Platinum", AND(P161&gt;=50000, P161&lt;=99999, Q161&gt;=3, V161="Completed"), "Gold", AND(Q161&lt;50000, V161="Completed"), "Silver", V161="Pending", "Pending")</f>
        <v>Blacklisted</v>
      </c>
    </row>
    <row r="162" spans="1:23" x14ac:dyDescent="0.5">
      <c r="A162" s="15" t="s">
        <v>852</v>
      </c>
      <c r="B162" s="15" t="s">
        <v>327</v>
      </c>
      <c r="C162" s="15" t="s">
        <v>184</v>
      </c>
      <c r="D162" s="15" t="s">
        <v>488</v>
      </c>
      <c r="E162" s="15" t="s">
        <v>266</v>
      </c>
      <c r="F162" s="15" t="s">
        <v>394</v>
      </c>
      <c r="G162" s="15" t="s">
        <v>76</v>
      </c>
      <c r="H162" s="15" t="s">
        <v>854</v>
      </c>
      <c r="I162" s="15" t="s">
        <v>44</v>
      </c>
      <c r="J162" s="15" t="s">
        <v>45</v>
      </c>
      <c r="K162" s="15" t="s">
        <v>46</v>
      </c>
      <c r="L162" s="15" t="s">
        <v>189</v>
      </c>
      <c r="M162" s="15">
        <v>11</v>
      </c>
      <c r="N162" s="25">
        <v>700</v>
      </c>
      <c r="O162" s="15">
        <v>20</v>
      </c>
      <c r="P162" s="25">
        <v>6160</v>
      </c>
      <c r="Q162" s="15">
        <v>4</v>
      </c>
      <c r="R162" s="15" t="s">
        <v>34</v>
      </c>
      <c r="S162" s="15" t="s">
        <v>151</v>
      </c>
      <c r="T162" s="15" t="s">
        <v>332</v>
      </c>
      <c r="U162" s="15">
        <v>9942010833</v>
      </c>
      <c r="V162" s="15" t="s">
        <v>69</v>
      </c>
      <c r="W162" s="29" t="str" cm="1">
        <f t="array" ref="W162">_xlfn.IFS(OR(V162="Cancelled", Q162&lt;=2), "Blacklisted", AND(P162&gt;=100000, Q162&gt;=4, O162&lt;=0.1, V162="Completed"), "Platinum", AND(P162&gt;=50000, P162&lt;=99999, Q162&gt;=3, V162="Completed"), "Gold", AND(Q162&lt;50000, V162="Completed"), "Silver", V162="Pending", "Pending")</f>
        <v>Blacklisted</v>
      </c>
    </row>
    <row r="163" spans="1:23" x14ac:dyDescent="0.5">
      <c r="A163" s="17" t="s">
        <v>856</v>
      </c>
      <c r="B163" s="17" t="s">
        <v>168</v>
      </c>
      <c r="C163" s="17" t="s">
        <v>72</v>
      </c>
      <c r="D163" s="17" t="s">
        <v>286</v>
      </c>
      <c r="E163" s="17" t="s">
        <v>816</v>
      </c>
      <c r="F163" s="15" t="s">
        <v>361</v>
      </c>
      <c r="G163" s="17" t="s">
        <v>28</v>
      </c>
      <c r="H163" s="17" t="s">
        <v>857</v>
      </c>
      <c r="I163" s="17" t="s">
        <v>294</v>
      </c>
      <c r="J163" s="17" t="s">
        <v>295</v>
      </c>
      <c r="K163" s="17" t="s">
        <v>46</v>
      </c>
      <c r="L163" s="17" t="s">
        <v>78</v>
      </c>
      <c r="M163" s="17">
        <v>16</v>
      </c>
      <c r="N163" s="26">
        <v>1200</v>
      </c>
      <c r="O163" s="17">
        <v>5</v>
      </c>
      <c r="P163" s="26">
        <v>18240</v>
      </c>
      <c r="Q163" s="17">
        <v>1</v>
      </c>
      <c r="R163" s="17" t="s">
        <v>79</v>
      </c>
      <c r="S163" s="17" t="s">
        <v>35</v>
      </c>
      <c r="T163" s="17" t="s">
        <v>175</v>
      </c>
      <c r="U163" s="17">
        <v>9347718932</v>
      </c>
      <c r="V163" s="17" t="s">
        <v>64</v>
      </c>
      <c r="W163" s="29" t="str" cm="1">
        <f t="array" ref="W163">_xlfn.IFS(OR(V163="Cancelled", Q163&lt;=2), "Blacklisted", AND(P163&gt;=100000, Q163&gt;=4, O163&lt;=0.1, V163="Completed"), "Platinum", AND(P163&gt;=50000, P163&lt;=99999, Q163&gt;=3, V163="Completed"), "Gold", AND(Q163&lt;50000, V163="Completed"), "Silver", V163="Pending", "Pending")</f>
        <v>Blacklisted</v>
      </c>
    </row>
    <row r="164" spans="1:23" x14ac:dyDescent="0.5">
      <c r="A164" s="15" t="s">
        <v>859</v>
      </c>
      <c r="B164" s="15" t="s">
        <v>168</v>
      </c>
      <c r="C164" s="15" t="s">
        <v>72</v>
      </c>
      <c r="D164" s="15" t="s">
        <v>548</v>
      </c>
      <c r="E164" s="15" t="s">
        <v>860</v>
      </c>
      <c r="F164" s="15" t="s">
        <v>361</v>
      </c>
      <c r="G164" s="15" t="s">
        <v>28</v>
      </c>
      <c r="H164" s="15" t="s">
        <v>861</v>
      </c>
      <c r="I164" s="15" t="s">
        <v>114</v>
      </c>
      <c r="J164" s="15" t="s">
        <v>106</v>
      </c>
      <c r="K164" s="15" t="s">
        <v>46</v>
      </c>
      <c r="L164" s="15" t="s">
        <v>78</v>
      </c>
      <c r="M164" s="15">
        <v>1</v>
      </c>
      <c r="N164" s="25">
        <v>1200</v>
      </c>
      <c r="O164" s="15">
        <v>5</v>
      </c>
      <c r="P164" s="25">
        <v>1140</v>
      </c>
      <c r="Q164" s="15">
        <v>4</v>
      </c>
      <c r="R164" s="15" t="s">
        <v>79</v>
      </c>
      <c r="S164" s="15" t="s">
        <v>35</v>
      </c>
      <c r="T164" s="15" t="s">
        <v>175</v>
      </c>
      <c r="U164" s="15">
        <v>9274808844</v>
      </c>
      <c r="V164" s="15" t="s">
        <v>38</v>
      </c>
      <c r="W164" s="29" t="str" cm="1">
        <f t="array" ref="W164">_xlfn.IFS(OR(V164="Cancelled", Q164&lt;=2), "Blacklisted", AND(P164&gt;=100000, Q164&gt;=4, O164&lt;=0.1, V164="Completed"), "Platinum", AND(P164&gt;=50000, P164&lt;=99999, Q164&gt;=3, V164="Completed"), "Gold", AND(Q164&lt;50000, V164="Completed"), "Silver", V164="Pending", "Pending")</f>
        <v>Silver</v>
      </c>
    </row>
    <row r="165" spans="1:23" x14ac:dyDescent="0.5">
      <c r="A165" s="17" t="s">
        <v>863</v>
      </c>
      <c r="B165" s="17" t="s">
        <v>327</v>
      </c>
      <c r="C165" s="17" t="s">
        <v>118</v>
      </c>
      <c r="D165" s="17" t="s">
        <v>864</v>
      </c>
      <c r="E165" s="17" t="s">
        <v>865</v>
      </c>
      <c r="F165" s="15" t="s">
        <v>394</v>
      </c>
      <c r="G165" s="17" t="s">
        <v>76</v>
      </c>
      <c r="H165" s="17" t="s">
        <v>866</v>
      </c>
      <c r="I165" s="17" t="s">
        <v>212</v>
      </c>
      <c r="J165" s="17" t="s">
        <v>45</v>
      </c>
      <c r="K165" s="17" t="s">
        <v>122</v>
      </c>
      <c r="L165" s="17" t="s">
        <v>123</v>
      </c>
      <c r="M165" s="17">
        <v>7</v>
      </c>
      <c r="N165" s="26">
        <v>60</v>
      </c>
      <c r="O165" s="17">
        <v>0</v>
      </c>
      <c r="P165" s="26">
        <v>420</v>
      </c>
      <c r="Q165" s="17">
        <v>2</v>
      </c>
      <c r="R165" s="17" t="s">
        <v>88</v>
      </c>
      <c r="S165" s="17" t="s">
        <v>151</v>
      </c>
      <c r="T165" s="17" t="s">
        <v>332</v>
      </c>
      <c r="U165" s="17">
        <v>9798996063</v>
      </c>
      <c r="V165" s="17" t="s">
        <v>38</v>
      </c>
      <c r="W165" s="29" t="str" cm="1">
        <f t="array" ref="W165">_xlfn.IFS(OR(V165="Cancelled", Q165&lt;=2), "Blacklisted", AND(P165&gt;=100000, Q165&gt;=4, O165&lt;=0.1, V165="Completed"), "Platinum", AND(P165&gt;=50000, P165&lt;=99999, Q165&gt;=3, V165="Completed"), "Gold", AND(Q165&lt;50000, V165="Completed"), "Silver", V165="Pending", "Pending")</f>
        <v>Blacklisted</v>
      </c>
    </row>
    <row r="166" spans="1:23" x14ac:dyDescent="0.5">
      <c r="A166" s="15" t="s">
        <v>868</v>
      </c>
      <c r="B166" s="15" t="s">
        <v>168</v>
      </c>
      <c r="C166" s="15" t="s">
        <v>24</v>
      </c>
      <c r="D166" s="15" t="s">
        <v>205</v>
      </c>
      <c r="E166" s="15" t="s">
        <v>513</v>
      </c>
      <c r="F166" s="15" t="s">
        <v>361</v>
      </c>
      <c r="G166" s="15" t="s">
        <v>28</v>
      </c>
      <c r="H166" s="15" t="s">
        <v>869</v>
      </c>
      <c r="I166" s="15" t="s">
        <v>114</v>
      </c>
      <c r="J166" s="15" t="s">
        <v>106</v>
      </c>
      <c r="K166" s="15" t="s">
        <v>32</v>
      </c>
      <c r="L166" s="15" t="s">
        <v>33</v>
      </c>
      <c r="M166" s="15">
        <v>14</v>
      </c>
      <c r="N166" s="25">
        <v>2200</v>
      </c>
      <c r="O166" s="15">
        <v>0</v>
      </c>
      <c r="P166" s="25">
        <v>30800</v>
      </c>
      <c r="Q166" s="15">
        <v>2</v>
      </c>
      <c r="R166" s="15" t="s">
        <v>88</v>
      </c>
      <c r="S166" s="15" t="s">
        <v>35</v>
      </c>
      <c r="T166" s="15" t="s">
        <v>175</v>
      </c>
      <c r="U166" s="15">
        <v>9145200936</v>
      </c>
      <c r="V166" s="15" t="s">
        <v>69</v>
      </c>
      <c r="W166" s="29" t="str" cm="1">
        <f t="array" ref="W166">_xlfn.IFS(OR(V166="Cancelled", Q166&lt;=2), "Blacklisted", AND(P166&gt;=100000, Q166&gt;=4, O166&lt;=0.1, V166="Completed"), "Platinum", AND(P166&gt;=50000, P166&lt;=99999, Q166&gt;=3, V166="Completed"), "Gold", AND(Q166&lt;50000, V166="Completed"), "Silver", V166="Pending", "Pending")</f>
        <v>Blacklisted</v>
      </c>
    </row>
    <row r="167" spans="1:23" x14ac:dyDescent="0.5">
      <c r="A167" s="17" t="s">
        <v>871</v>
      </c>
      <c r="B167" s="17" t="s">
        <v>168</v>
      </c>
      <c r="C167" s="17" t="s">
        <v>92</v>
      </c>
      <c r="D167" s="17" t="s">
        <v>872</v>
      </c>
      <c r="E167" s="17" t="s">
        <v>488</v>
      </c>
      <c r="F167" s="15" t="s">
        <v>361</v>
      </c>
      <c r="G167" s="17" t="s">
        <v>28</v>
      </c>
      <c r="H167" s="17" t="s">
        <v>873</v>
      </c>
      <c r="I167" s="17" t="s">
        <v>138</v>
      </c>
      <c r="J167" s="17" t="s">
        <v>106</v>
      </c>
      <c r="K167" s="17" t="s">
        <v>32</v>
      </c>
      <c r="L167" s="17" t="s">
        <v>97</v>
      </c>
      <c r="M167" s="17">
        <v>15</v>
      </c>
      <c r="N167" s="26">
        <v>3500</v>
      </c>
      <c r="O167" s="17">
        <v>15</v>
      </c>
      <c r="P167" s="26">
        <v>44625</v>
      </c>
      <c r="Q167" s="17">
        <v>2</v>
      </c>
      <c r="R167" s="17" t="s">
        <v>88</v>
      </c>
      <c r="S167" s="17" t="s">
        <v>61</v>
      </c>
      <c r="T167" s="17" t="s">
        <v>175</v>
      </c>
      <c r="U167" s="17">
        <v>9697654418</v>
      </c>
      <c r="V167" s="17" t="s">
        <v>64</v>
      </c>
      <c r="W167" s="29" t="str" cm="1">
        <f t="array" ref="W167">_xlfn.IFS(OR(V167="Cancelled", Q167&lt;=2), "Blacklisted", AND(P167&gt;=100000, Q167&gt;=4, O167&lt;=0.1, V167="Completed"), "Platinum", AND(P167&gt;=50000, P167&lt;=99999, Q167&gt;=3, V167="Completed"), "Gold", AND(Q167&lt;50000, V167="Completed"), "Silver", V167="Pending", "Pending")</f>
        <v>Blacklisted</v>
      </c>
    </row>
    <row r="168" spans="1:23" x14ac:dyDescent="0.5">
      <c r="A168" s="15" t="s">
        <v>875</v>
      </c>
      <c r="B168" s="15" t="s">
        <v>127</v>
      </c>
      <c r="C168" s="15" t="s">
        <v>92</v>
      </c>
      <c r="D168" s="15" t="s">
        <v>876</v>
      </c>
      <c r="E168" s="15" t="s">
        <v>877</v>
      </c>
      <c r="F168" s="15" t="s">
        <v>200</v>
      </c>
      <c r="G168" s="15" t="s">
        <v>76</v>
      </c>
      <c r="H168" s="15" t="s">
        <v>878</v>
      </c>
      <c r="I168" s="15" t="s">
        <v>294</v>
      </c>
      <c r="J168" s="15" t="s">
        <v>295</v>
      </c>
      <c r="K168" s="15" t="s">
        <v>32</v>
      </c>
      <c r="L168" s="15" t="s">
        <v>97</v>
      </c>
      <c r="M168" s="15">
        <v>19</v>
      </c>
      <c r="N168" s="25">
        <v>3500</v>
      </c>
      <c r="O168" s="15">
        <v>5</v>
      </c>
      <c r="P168" s="25">
        <v>63175</v>
      </c>
      <c r="Q168" s="15">
        <v>2</v>
      </c>
      <c r="R168" s="15" t="s">
        <v>34</v>
      </c>
      <c r="S168" s="15" t="s">
        <v>115</v>
      </c>
      <c r="T168" s="15" t="s">
        <v>132</v>
      </c>
      <c r="U168" s="15">
        <v>9457923119</v>
      </c>
      <c r="V168" s="15" t="s">
        <v>69</v>
      </c>
      <c r="W168" s="29" t="str" cm="1">
        <f t="array" ref="W168">_xlfn.IFS(OR(V168="Cancelled", Q168&lt;=2), "Blacklisted", AND(P168&gt;=100000, Q168&gt;=4, O168&lt;=0.1, V168="Completed"), "Platinum", AND(P168&gt;=50000, P168&lt;=99999, Q168&gt;=3, V168="Completed"), "Gold", AND(Q168&lt;50000, V168="Completed"), "Silver", V168="Pending", "Pending")</f>
        <v>Blacklisted</v>
      </c>
    </row>
    <row r="169" spans="1:23" x14ac:dyDescent="0.5">
      <c r="A169" s="17" t="s">
        <v>880</v>
      </c>
      <c r="B169" s="17" t="s">
        <v>327</v>
      </c>
      <c r="C169" s="17" t="s">
        <v>54</v>
      </c>
      <c r="D169" s="17" t="s">
        <v>881</v>
      </c>
      <c r="E169" s="17" t="s">
        <v>640</v>
      </c>
      <c r="F169" s="15" t="s">
        <v>394</v>
      </c>
      <c r="G169" s="17" t="s">
        <v>76</v>
      </c>
      <c r="H169" s="17" t="s">
        <v>882</v>
      </c>
      <c r="I169" s="17" t="s">
        <v>59</v>
      </c>
      <c r="J169" s="17" t="s">
        <v>31</v>
      </c>
      <c r="K169" s="17" t="s">
        <v>46</v>
      </c>
      <c r="L169" s="17" t="s">
        <v>60</v>
      </c>
      <c r="M169" s="17">
        <v>12</v>
      </c>
      <c r="N169" s="26">
        <v>55000</v>
      </c>
      <c r="O169" s="17">
        <v>5</v>
      </c>
      <c r="P169" s="26">
        <v>627000</v>
      </c>
      <c r="Q169" s="17">
        <v>4</v>
      </c>
      <c r="R169" s="17" t="s">
        <v>79</v>
      </c>
      <c r="S169" s="17" t="s">
        <v>61</v>
      </c>
      <c r="T169" s="17" t="s">
        <v>332</v>
      </c>
      <c r="U169" s="17">
        <v>9236111271</v>
      </c>
      <c r="V169" s="17" t="s">
        <v>69</v>
      </c>
      <c r="W169" s="29" t="str" cm="1">
        <f t="array" ref="W169">_xlfn.IFS(OR(V169="Cancelled", Q169&lt;=2), "Blacklisted", AND(P169&gt;=100000, Q169&gt;=4, O169&lt;=0.1, V169="Completed"), "Platinum", AND(P169&gt;=50000, P169&lt;=99999, Q169&gt;=3, V169="Completed"), "Gold", AND(Q169&lt;50000, V169="Completed"), "Silver", V169="Pending", "Pending")</f>
        <v>Blacklisted</v>
      </c>
    </row>
    <row r="170" spans="1:23" x14ac:dyDescent="0.5">
      <c r="A170" s="15" t="s">
        <v>884</v>
      </c>
      <c r="B170" s="15" t="s">
        <v>53</v>
      </c>
      <c r="C170" s="15" t="s">
        <v>72</v>
      </c>
      <c r="D170" s="15" t="s">
        <v>587</v>
      </c>
      <c r="E170" s="15" t="s">
        <v>483</v>
      </c>
      <c r="F170" s="15" t="s">
        <v>163</v>
      </c>
      <c r="G170" s="15" t="s">
        <v>28</v>
      </c>
      <c r="H170" s="15" t="s">
        <v>885</v>
      </c>
      <c r="I170" s="15" t="s">
        <v>105</v>
      </c>
      <c r="J170" s="15" t="s">
        <v>106</v>
      </c>
      <c r="K170" s="15" t="s">
        <v>46</v>
      </c>
      <c r="L170" s="15" t="s">
        <v>78</v>
      </c>
      <c r="M170" s="15">
        <v>6</v>
      </c>
      <c r="N170" s="25">
        <v>1200</v>
      </c>
      <c r="O170" s="15">
        <v>10</v>
      </c>
      <c r="P170" s="25">
        <v>6480</v>
      </c>
      <c r="Q170" s="15">
        <v>5</v>
      </c>
      <c r="R170" s="15" t="s">
        <v>48</v>
      </c>
      <c r="S170" s="15" t="s">
        <v>115</v>
      </c>
      <c r="T170" s="15" t="s">
        <v>62</v>
      </c>
      <c r="U170" s="15">
        <v>9402569141</v>
      </c>
      <c r="V170" s="15" t="s">
        <v>69</v>
      </c>
      <c r="W170" s="29" t="str" cm="1">
        <f t="array" ref="W170">_xlfn.IFS(OR(V170="Cancelled", Q170&lt;=2), "Blacklisted", AND(P170&gt;=100000, Q170&gt;=4, O170&lt;=0.1, V170="Completed"), "Platinum", AND(P170&gt;=50000, P170&lt;=99999, Q170&gt;=3, V170="Completed"), "Gold", AND(Q170&lt;50000, V170="Completed"), "Silver", V170="Pending", "Pending")</f>
        <v>Blacklisted</v>
      </c>
    </row>
    <row r="171" spans="1:23" x14ac:dyDescent="0.5">
      <c r="A171" s="17" t="s">
        <v>887</v>
      </c>
      <c r="B171" s="17" t="s">
        <v>251</v>
      </c>
      <c r="C171" s="17" t="s">
        <v>169</v>
      </c>
      <c r="D171" s="17" t="s">
        <v>128</v>
      </c>
      <c r="E171" s="17" t="s">
        <v>247</v>
      </c>
      <c r="F171" s="15" t="s">
        <v>254</v>
      </c>
      <c r="G171" s="17" t="s">
        <v>28</v>
      </c>
      <c r="H171" s="17" t="s">
        <v>888</v>
      </c>
      <c r="I171" s="17" t="s">
        <v>30</v>
      </c>
      <c r="J171" s="17" t="s">
        <v>31</v>
      </c>
      <c r="K171" s="17" t="s">
        <v>32</v>
      </c>
      <c r="L171" s="17" t="s">
        <v>174</v>
      </c>
      <c r="M171" s="17">
        <v>1</v>
      </c>
      <c r="N171" s="26">
        <v>8500</v>
      </c>
      <c r="O171" s="17">
        <v>0</v>
      </c>
      <c r="P171" s="26">
        <v>8500</v>
      </c>
      <c r="Q171" s="17">
        <v>1</v>
      </c>
      <c r="R171" s="17" t="s">
        <v>88</v>
      </c>
      <c r="S171" s="17" t="s">
        <v>151</v>
      </c>
      <c r="T171" s="17" t="s">
        <v>256</v>
      </c>
      <c r="U171" s="17">
        <v>9138184056</v>
      </c>
      <c r="V171" s="17" t="s">
        <v>69</v>
      </c>
      <c r="W171" s="29" t="str" cm="1">
        <f t="array" ref="W171">_xlfn.IFS(OR(V171="Cancelled", Q171&lt;=2), "Blacklisted", AND(P171&gt;=100000, Q171&gt;=4, O171&lt;=0.1, V171="Completed"), "Platinum", AND(P171&gt;=50000, P171&lt;=99999, Q171&gt;=3, V171="Completed"), "Gold", AND(Q171&lt;50000, V171="Completed"), "Silver", V171="Pending", "Pending")</f>
        <v>Blacklisted</v>
      </c>
    </row>
    <row r="172" spans="1:23" x14ac:dyDescent="0.5">
      <c r="A172" s="15" t="s">
        <v>890</v>
      </c>
      <c r="B172" s="15" t="s">
        <v>127</v>
      </c>
      <c r="C172" s="15" t="s">
        <v>54</v>
      </c>
      <c r="D172" s="15" t="s">
        <v>891</v>
      </c>
      <c r="E172" s="15" t="s">
        <v>892</v>
      </c>
      <c r="F172" s="15" t="s">
        <v>200</v>
      </c>
      <c r="G172" s="15" t="s">
        <v>76</v>
      </c>
      <c r="H172" s="15" t="s">
        <v>893</v>
      </c>
      <c r="I172" s="15" t="s">
        <v>138</v>
      </c>
      <c r="J172" s="15" t="s">
        <v>106</v>
      </c>
      <c r="K172" s="15" t="s">
        <v>46</v>
      </c>
      <c r="L172" s="15" t="s">
        <v>60</v>
      </c>
      <c r="M172" s="15">
        <v>20</v>
      </c>
      <c r="N172" s="25">
        <v>55000</v>
      </c>
      <c r="O172" s="15">
        <v>10</v>
      </c>
      <c r="P172" s="25">
        <v>990000</v>
      </c>
      <c r="Q172" s="15">
        <v>5</v>
      </c>
      <c r="R172" s="15" t="s">
        <v>48</v>
      </c>
      <c r="S172" s="15" t="s">
        <v>151</v>
      </c>
      <c r="T172" s="15" t="s">
        <v>132</v>
      </c>
      <c r="U172" s="15">
        <v>9609598700</v>
      </c>
      <c r="V172" s="15" t="s">
        <v>38</v>
      </c>
      <c r="W172" s="29" t="str" cm="1">
        <f t="array" ref="W172">_xlfn.IFS(OR(V172="Cancelled", Q172&lt;=2), "Blacklisted", AND(P172&gt;=100000, Q172&gt;=4, O172&lt;=0.1, V172="Completed"), "Platinum", AND(P172&gt;=50000, P172&lt;=99999, Q172&gt;=3, V172="Completed"), "Gold", AND(Q172&lt;50000, V172="Completed"), "Silver", V172="Pending", "Pending")</f>
        <v>Silver</v>
      </c>
    </row>
    <row r="173" spans="1:23" x14ac:dyDescent="0.5">
      <c r="A173" s="17" t="s">
        <v>895</v>
      </c>
      <c r="B173" s="17" t="s">
        <v>221</v>
      </c>
      <c r="C173" s="17" t="s">
        <v>72</v>
      </c>
      <c r="D173" s="17" t="s">
        <v>661</v>
      </c>
      <c r="E173" s="17" t="s">
        <v>896</v>
      </c>
      <c r="F173" s="15" t="s">
        <v>225</v>
      </c>
      <c r="G173" s="17" t="s">
        <v>76</v>
      </c>
      <c r="H173" s="17" t="s">
        <v>897</v>
      </c>
      <c r="I173" s="17" t="s">
        <v>138</v>
      </c>
      <c r="J173" s="17" t="s">
        <v>106</v>
      </c>
      <c r="K173" s="17" t="s">
        <v>46</v>
      </c>
      <c r="L173" s="17" t="s">
        <v>78</v>
      </c>
      <c r="M173" s="17">
        <v>8</v>
      </c>
      <c r="N173" s="26">
        <v>1200</v>
      </c>
      <c r="O173" s="17">
        <v>15</v>
      </c>
      <c r="P173" s="26">
        <v>8160</v>
      </c>
      <c r="Q173" s="17">
        <v>2</v>
      </c>
      <c r="R173" s="17" t="s">
        <v>88</v>
      </c>
      <c r="S173" s="17" t="s">
        <v>115</v>
      </c>
      <c r="T173" s="17" t="s">
        <v>228</v>
      </c>
      <c r="U173" s="17">
        <v>9385894399</v>
      </c>
      <c r="V173" s="17" t="s">
        <v>69</v>
      </c>
      <c r="W173" s="29" t="str" cm="1">
        <f t="array" ref="W173">_xlfn.IFS(OR(V173="Cancelled", Q173&lt;=2), "Blacklisted", AND(P173&gt;=100000, Q173&gt;=4, O173&lt;=0.1, V173="Completed"), "Platinum", AND(P173&gt;=50000, P173&lt;=99999, Q173&gt;=3, V173="Completed"), "Gold", AND(Q173&lt;50000, V173="Completed"), "Silver", V173="Pending", "Pending")</f>
        <v>Blacklisted</v>
      </c>
    </row>
    <row r="174" spans="1:23" x14ac:dyDescent="0.5">
      <c r="A174" s="15" t="s">
        <v>899</v>
      </c>
      <c r="B174" s="15" t="s">
        <v>23</v>
      </c>
      <c r="C174" s="15" t="s">
        <v>92</v>
      </c>
      <c r="D174" s="15" t="s">
        <v>900</v>
      </c>
      <c r="E174" s="15" t="s">
        <v>901</v>
      </c>
      <c r="F174" s="15" t="s">
        <v>27</v>
      </c>
      <c r="G174" s="15" t="s">
        <v>28</v>
      </c>
      <c r="H174" s="15" t="s">
        <v>902</v>
      </c>
      <c r="I174" s="15" t="s">
        <v>212</v>
      </c>
      <c r="J174" s="15" t="s">
        <v>45</v>
      </c>
      <c r="K174" s="15" t="s">
        <v>32</v>
      </c>
      <c r="L174" s="15" t="s">
        <v>97</v>
      </c>
      <c r="M174" s="15">
        <v>19</v>
      </c>
      <c r="N174" s="25">
        <v>3500</v>
      </c>
      <c r="O174" s="15">
        <v>5</v>
      </c>
      <c r="P174" s="25">
        <v>63175</v>
      </c>
      <c r="Q174" s="15">
        <v>4</v>
      </c>
      <c r="R174" s="15" t="s">
        <v>88</v>
      </c>
      <c r="S174" s="15" t="s">
        <v>49</v>
      </c>
      <c r="T174" s="15" t="s">
        <v>50</v>
      </c>
      <c r="U174" s="15">
        <v>9329448011</v>
      </c>
      <c r="V174" s="15" t="s">
        <v>64</v>
      </c>
      <c r="W174" s="29" t="str" cm="1">
        <f t="array" ref="W174">_xlfn.IFS(OR(V174="Cancelled", Q174&lt;=2), "Blacklisted", AND(P174&gt;=100000, Q174&gt;=4, O174&lt;=0.1, V174="Completed"), "Platinum", AND(P174&gt;=50000, P174&lt;=99999, Q174&gt;=3, V174="Completed"), "Gold", AND(Q174&lt;50000, V174="Completed"), "Silver", V174="Pending", "Pending")</f>
        <v>Pending</v>
      </c>
    </row>
    <row r="175" spans="1:23" x14ac:dyDescent="0.5">
      <c r="A175" s="17" t="s">
        <v>904</v>
      </c>
      <c r="B175" s="17" t="s">
        <v>221</v>
      </c>
      <c r="C175" s="17" t="s">
        <v>259</v>
      </c>
      <c r="D175" s="17" t="s">
        <v>41</v>
      </c>
      <c r="E175" s="17" t="s">
        <v>606</v>
      </c>
      <c r="F175" s="15" t="s">
        <v>225</v>
      </c>
      <c r="G175" s="17" t="s">
        <v>76</v>
      </c>
      <c r="H175" s="17" t="s">
        <v>906</v>
      </c>
      <c r="I175" s="17" t="s">
        <v>212</v>
      </c>
      <c r="J175" s="17" t="s">
        <v>45</v>
      </c>
      <c r="K175" s="17" t="s">
        <v>122</v>
      </c>
      <c r="L175" s="17" t="s">
        <v>263</v>
      </c>
      <c r="M175" s="17">
        <v>6</v>
      </c>
      <c r="N175" s="26">
        <v>45</v>
      </c>
      <c r="O175" s="17">
        <v>20</v>
      </c>
      <c r="P175" s="26">
        <v>216</v>
      </c>
      <c r="Q175" s="17">
        <v>1</v>
      </c>
      <c r="R175" s="17" t="s">
        <v>79</v>
      </c>
      <c r="S175" s="17" t="s">
        <v>49</v>
      </c>
      <c r="T175" s="17" t="s">
        <v>907</v>
      </c>
      <c r="U175" s="17">
        <v>9889544104</v>
      </c>
      <c r="V175" s="17" t="s">
        <v>64</v>
      </c>
      <c r="W175" s="29" t="str" cm="1">
        <f t="array" ref="W175">_xlfn.IFS(OR(V175="Cancelled", Q175&lt;=2), "Blacklisted", AND(P175&gt;=100000, Q175&gt;=4, O175&lt;=0.1, V175="Completed"), "Platinum", AND(P175&gt;=50000, P175&lt;=99999, Q175&gt;=3, V175="Completed"), "Gold", AND(Q175&lt;50000, V175="Completed"), "Silver", V175="Pending", "Pending")</f>
        <v>Blacklisted</v>
      </c>
    </row>
    <row r="176" spans="1:23" x14ac:dyDescent="0.5">
      <c r="A176" s="15" t="s">
        <v>909</v>
      </c>
      <c r="B176" s="15" t="s">
        <v>251</v>
      </c>
      <c r="C176" s="15" t="s">
        <v>259</v>
      </c>
      <c r="D176" s="15" t="s">
        <v>910</v>
      </c>
      <c r="E176" s="15" t="s">
        <v>119</v>
      </c>
      <c r="F176" s="15" t="s">
        <v>254</v>
      </c>
      <c r="G176" s="15" t="s">
        <v>28</v>
      </c>
      <c r="H176" s="15" t="s">
        <v>911</v>
      </c>
      <c r="I176" s="15" t="s">
        <v>114</v>
      </c>
      <c r="J176" s="15" t="s">
        <v>106</v>
      </c>
      <c r="K176" s="15" t="s">
        <v>122</v>
      </c>
      <c r="L176" s="15" t="s">
        <v>263</v>
      </c>
      <c r="M176" s="15">
        <v>17</v>
      </c>
      <c r="N176" s="25">
        <v>45</v>
      </c>
      <c r="O176" s="15">
        <v>15</v>
      </c>
      <c r="P176" s="25">
        <v>650.25</v>
      </c>
      <c r="Q176" s="15">
        <v>5</v>
      </c>
      <c r="R176" s="15" t="s">
        <v>34</v>
      </c>
      <c r="S176" s="15" t="s">
        <v>115</v>
      </c>
      <c r="T176" s="15" t="s">
        <v>256</v>
      </c>
      <c r="U176" s="15">
        <v>9101861045</v>
      </c>
      <c r="V176" s="15" t="s">
        <v>64</v>
      </c>
      <c r="W176" s="29" t="str" cm="1">
        <f t="array" ref="W176">_xlfn.IFS(OR(V176="Cancelled", Q176&lt;=2), "Blacklisted", AND(P176&gt;=100000, Q176&gt;=4, O176&lt;=0.1, V176="Completed"), "Platinum", AND(P176&gt;=50000, P176&lt;=99999, Q176&gt;=3, V176="Completed"), "Gold", AND(Q176&lt;50000, V176="Completed"), "Silver", V176="Pending", "Pending")</f>
        <v>Pending</v>
      </c>
    </row>
    <row r="177" spans="1:23" x14ac:dyDescent="0.5">
      <c r="A177" s="17" t="s">
        <v>913</v>
      </c>
      <c r="B177" s="17" t="s">
        <v>23</v>
      </c>
      <c r="C177" s="17" t="s">
        <v>222</v>
      </c>
      <c r="D177" s="17" t="s">
        <v>276</v>
      </c>
      <c r="E177" s="17" t="s">
        <v>914</v>
      </c>
      <c r="F177" s="15" t="s">
        <v>27</v>
      </c>
      <c r="G177" s="17" t="s">
        <v>28</v>
      </c>
      <c r="H177" s="17" t="s">
        <v>915</v>
      </c>
      <c r="I177" s="17" t="s">
        <v>114</v>
      </c>
      <c r="J177" s="17" t="s">
        <v>106</v>
      </c>
      <c r="K177" s="17" t="s">
        <v>122</v>
      </c>
      <c r="L177" s="17" t="s">
        <v>227</v>
      </c>
      <c r="M177" s="17">
        <v>19</v>
      </c>
      <c r="N177" s="26">
        <v>20</v>
      </c>
      <c r="O177" s="17">
        <v>5</v>
      </c>
      <c r="P177" s="26">
        <v>361</v>
      </c>
      <c r="Q177" s="17">
        <v>4</v>
      </c>
      <c r="R177" s="17" t="s">
        <v>34</v>
      </c>
      <c r="S177" s="17" t="s">
        <v>35</v>
      </c>
      <c r="T177" s="17" t="s">
        <v>50</v>
      </c>
      <c r="U177" s="17">
        <v>9364712105</v>
      </c>
      <c r="V177" s="17" t="s">
        <v>64</v>
      </c>
      <c r="W177" s="29" t="str" cm="1">
        <f t="array" ref="W177">_xlfn.IFS(OR(V177="Cancelled", Q177&lt;=2), "Blacklisted", AND(P177&gt;=100000, Q177&gt;=4, O177&lt;=0.1, V177="Completed"), "Platinum", AND(P177&gt;=50000, P177&lt;=99999, Q177&gt;=3, V177="Completed"), "Gold", AND(Q177&lt;50000, V177="Completed"), "Silver", V177="Pending", "Pending")</f>
        <v>Pending</v>
      </c>
    </row>
    <row r="178" spans="1:23" x14ac:dyDescent="0.5">
      <c r="A178" s="15" t="s">
        <v>917</v>
      </c>
      <c r="B178" s="15" t="s">
        <v>251</v>
      </c>
      <c r="C178" s="15" t="s">
        <v>222</v>
      </c>
      <c r="D178" s="15" t="s">
        <v>918</v>
      </c>
      <c r="E178" s="15" t="s">
        <v>352</v>
      </c>
      <c r="F178" s="15" t="s">
        <v>254</v>
      </c>
      <c r="G178" s="15" t="s">
        <v>28</v>
      </c>
      <c r="H178" s="15" t="s">
        <v>920</v>
      </c>
      <c r="I178" s="15" t="s">
        <v>138</v>
      </c>
      <c r="J178" s="15" t="s">
        <v>106</v>
      </c>
      <c r="K178" s="15" t="s">
        <v>122</v>
      </c>
      <c r="L178" s="15" t="s">
        <v>227</v>
      </c>
      <c r="M178" s="15">
        <v>11</v>
      </c>
      <c r="N178" s="25">
        <v>20</v>
      </c>
      <c r="O178" s="15">
        <v>0</v>
      </c>
      <c r="P178" s="25">
        <v>220</v>
      </c>
      <c r="Q178" s="15">
        <v>3</v>
      </c>
      <c r="R178" s="15" t="s">
        <v>48</v>
      </c>
      <c r="S178" s="15" t="s">
        <v>49</v>
      </c>
      <c r="T178" s="15" t="s">
        <v>256</v>
      </c>
      <c r="U178" s="15">
        <v>9950206376</v>
      </c>
      <c r="V178" s="15" t="s">
        <v>38</v>
      </c>
      <c r="W178" s="29" t="str" cm="1">
        <f t="array" ref="W178">_xlfn.IFS(OR(V178="Cancelled", Q178&lt;=2), "Blacklisted", AND(P178&gt;=100000, Q178&gt;=4, O178&lt;=0.1, V178="Completed"), "Platinum", AND(P178&gt;=50000, P178&lt;=99999, Q178&gt;=3, V178="Completed"), "Gold", AND(Q178&lt;50000, V178="Completed"), "Silver", V178="Pending", "Pending")</f>
        <v>Silver</v>
      </c>
    </row>
    <row r="179" spans="1:23" x14ac:dyDescent="0.5">
      <c r="A179" s="17" t="s">
        <v>922</v>
      </c>
      <c r="B179" s="17" t="s">
        <v>168</v>
      </c>
      <c r="C179" s="17" t="s">
        <v>118</v>
      </c>
      <c r="D179" s="17" t="s">
        <v>323</v>
      </c>
      <c r="E179" s="17" t="s">
        <v>923</v>
      </c>
      <c r="F179" s="15" t="s">
        <v>361</v>
      </c>
      <c r="G179" s="17" t="s">
        <v>28</v>
      </c>
      <c r="H179" s="17" t="s">
        <v>924</v>
      </c>
      <c r="I179" s="17" t="s">
        <v>44</v>
      </c>
      <c r="J179" s="17" t="s">
        <v>45</v>
      </c>
      <c r="K179" s="17" t="s">
        <v>122</v>
      </c>
      <c r="L179" s="17" t="s">
        <v>123</v>
      </c>
      <c r="M179" s="17">
        <v>12</v>
      </c>
      <c r="N179" s="26">
        <v>60</v>
      </c>
      <c r="O179" s="17">
        <v>0</v>
      </c>
      <c r="P179" s="26">
        <v>720</v>
      </c>
      <c r="Q179" s="17">
        <v>2</v>
      </c>
      <c r="R179" s="17" t="s">
        <v>48</v>
      </c>
      <c r="S179" s="17" t="s">
        <v>49</v>
      </c>
      <c r="T179" s="17" t="s">
        <v>175</v>
      </c>
      <c r="U179" s="17">
        <v>9235822094</v>
      </c>
      <c r="V179" s="17" t="s">
        <v>38</v>
      </c>
      <c r="W179" s="29" t="str" cm="1">
        <f t="array" ref="W179">_xlfn.IFS(OR(V179="Cancelled", Q179&lt;=2), "Blacklisted", AND(P179&gt;=100000, Q179&gt;=4, O179&lt;=0.1, V179="Completed"), "Platinum", AND(P179&gt;=50000, P179&lt;=99999, Q179&gt;=3, V179="Completed"), "Gold", AND(Q179&lt;50000, V179="Completed"), "Silver", V179="Pending", "Pending")</f>
        <v>Blacklisted</v>
      </c>
    </row>
    <row r="180" spans="1:23" x14ac:dyDescent="0.5">
      <c r="A180" s="15" t="s">
        <v>926</v>
      </c>
      <c r="B180" s="15" t="s">
        <v>221</v>
      </c>
      <c r="C180" s="15" t="s">
        <v>259</v>
      </c>
      <c r="D180" s="15" t="s">
        <v>927</v>
      </c>
      <c r="E180" s="15" t="s">
        <v>865</v>
      </c>
      <c r="F180" s="15" t="s">
        <v>103</v>
      </c>
      <c r="G180" s="15" t="s">
        <v>76</v>
      </c>
      <c r="H180" s="15" t="s">
        <v>929</v>
      </c>
      <c r="I180" s="15" t="s">
        <v>294</v>
      </c>
      <c r="J180" s="15" t="s">
        <v>295</v>
      </c>
      <c r="K180" s="15" t="s">
        <v>122</v>
      </c>
      <c r="L180" s="15" t="s">
        <v>263</v>
      </c>
      <c r="M180" s="15">
        <v>14</v>
      </c>
      <c r="N180" s="25">
        <v>45</v>
      </c>
      <c r="O180" s="15">
        <v>15</v>
      </c>
      <c r="P180" s="25">
        <v>535.5</v>
      </c>
      <c r="Q180" s="15">
        <v>5</v>
      </c>
      <c r="R180" s="15" t="s">
        <v>88</v>
      </c>
      <c r="S180" s="15" t="s">
        <v>115</v>
      </c>
      <c r="T180" s="15" t="s">
        <v>228</v>
      </c>
      <c r="U180" s="15">
        <v>9311021344</v>
      </c>
      <c r="V180" s="15" t="s">
        <v>64</v>
      </c>
      <c r="W180" s="29" t="str" cm="1">
        <f t="array" ref="W180">_xlfn.IFS(OR(V180="Cancelled", Q180&lt;=2), "Blacklisted", AND(P180&gt;=100000, Q180&gt;=4, O180&lt;=0.1, V180="Completed"), "Platinum", AND(P180&gt;=50000, P180&lt;=99999, Q180&gt;=3, V180="Completed"), "Gold", AND(Q180&lt;50000, V180="Completed"), "Silver", V180="Pending", "Pending")</f>
        <v>Pending</v>
      </c>
    </row>
    <row r="181" spans="1:23" x14ac:dyDescent="0.5">
      <c r="A181" s="17" t="s">
        <v>931</v>
      </c>
      <c r="B181" s="17" t="s">
        <v>23</v>
      </c>
      <c r="C181" s="17" t="s">
        <v>184</v>
      </c>
      <c r="D181" s="17" t="s">
        <v>932</v>
      </c>
      <c r="E181" s="17" t="s">
        <v>303</v>
      </c>
      <c r="F181" s="15" t="s">
        <v>27</v>
      </c>
      <c r="G181" s="17" t="s">
        <v>28</v>
      </c>
      <c r="H181" s="17" t="s">
        <v>933</v>
      </c>
      <c r="I181" s="17" t="s">
        <v>30</v>
      </c>
      <c r="J181" s="17" t="s">
        <v>31</v>
      </c>
      <c r="K181" s="17" t="s">
        <v>46</v>
      </c>
      <c r="L181" s="17" t="s">
        <v>189</v>
      </c>
      <c r="M181" s="17">
        <v>15</v>
      </c>
      <c r="N181" s="26">
        <v>700</v>
      </c>
      <c r="O181" s="17">
        <v>10</v>
      </c>
      <c r="P181" s="26">
        <v>9450</v>
      </c>
      <c r="Q181" s="17">
        <v>3</v>
      </c>
      <c r="R181" s="17" t="s">
        <v>48</v>
      </c>
      <c r="S181" s="17" t="s">
        <v>49</v>
      </c>
      <c r="T181" s="17" t="s">
        <v>50</v>
      </c>
      <c r="U181" s="17">
        <v>9891358505</v>
      </c>
      <c r="V181" s="17" t="s">
        <v>64</v>
      </c>
      <c r="W181" s="29" t="str" cm="1">
        <f t="array" ref="W181">_xlfn.IFS(OR(V181="Cancelled", Q181&lt;=2), "Blacklisted", AND(P181&gt;=100000, Q181&gt;=4, O181&lt;=0.1, V181="Completed"), "Platinum", AND(P181&gt;=50000, P181&lt;=99999, Q181&gt;=3, V181="Completed"), "Gold", AND(Q181&lt;50000, V181="Completed"), "Silver", V181="Pending", "Pending")</f>
        <v>Pending</v>
      </c>
    </row>
    <row r="182" spans="1:23" x14ac:dyDescent="0.5">
      <c r="A182" s="15" t="s">
        <v>935</v>
      </c>
      <c r="B182" s="15" t="s">
        <v>100</v>
      </c>
      <c r="C182" s="15" t="s">
        <v>169</v>
      </c>
      <c r="D182" s="15" t="s">
        <v>936</v>
      </c>
      <c r="E182" s="15" t="s">
        <v>683</v>
      </c>
      <c r="F182" s="15" t="s">
        <v>103</v>
      </c>
      <c r="G182" s="15" t="s">
        <v>28</v>
      </c>
      <c r="H182" s="15" t="s">
        <v>937</v>
      </c>
      <c r="I182" s="15" t="s">
        <v>138</v>
      </c>
      <c r="J182" s="15" t="s">
        <v>106</v>
      </c>
      <c r="K182" s="15" t="s">
        <v>32</v>
      </c>
      <c r="L182" s="15" t="s">
        <v>174</v>
      </c>
      <c r="M182" s="15">
        <v>19</v>
      </c>
      <c r="N182" s="25">
        <v>8500</v>
      </c>
      <c r="O182" s="15">
        <v>15</v>
      </c>
      <c r="P182" s="25">
        <v>137275</v>
      </c>
      <c r="Q182" s="15">
        <v>2</v>
      </c>
      <c r="R182" s="15" t="s">
        <v>34</v>
      </c>
      <c r="S182" s="15" t="s">
        <v>35</v>
      </c>
      <c r="T182" s="15" t="s">
        <v>144</v>
      </c>
      <c r="U182" s="15">
        <v>9910085332</v>
      </c>
      <c r="V182" s="15" t="s">
        <v>69</v>
      </c>
      <c r="W182" s="29" t="str" cm="1">
        <f t="array" ref="W182">_xlfn.IFS(OR(V182="Cancelled", Q182&lt;=2), "Blacklisted", AND(P182&gt;=100000, Q182&gt;=4, O182&lt;=0.1, V182="Completed"), "Platinum", AND(P182&gt;=50000, P182&lt;=99999, Q182&gt;=3, V182="Completed"), "Gold", AND(Q182&lt;50000, V182="Completed"), "Silver", V182="Pending", "Pending")</f>
        <v>Blacklisted</v>
      </c>
    </row>
    <row r="183" spans="1:23" x14ac:dyDescent="0.5">
      <c r="A183" s="17" t="s">
        <v>939</v>
      </c>
      <c r="B183" s="17" t="s">
        <v>251</v>
      </c>
      <c r="C183" s="17" t="s">
        <v>118</v>
      </c>
      <c r="D183" s="17" t="s">
        <v>940</v>
      </c>
      <c r="E183" s="17" t="s">
        <v>941</v>
      </c>
      <c r="F183" s="15" t="s">
        <v>254</v>
      </c>
      <c r="G183" s="17" t="s">
        <v>28</v>
      </c>
      <c r="H183" s="17" t="s">
        <v>911</v>
      </c>
      <c r="I183" s="17" t="s">
        <v>212</v>
      </c>
      <c r="J183" s="17" t="s">
        <v>45</v>
      </c>
      <c r="K183" s="17" t="s">
        <v>122</v>
      </c>
      <c r="L183" s="17" t="s">
        <v>123</v>
      </c>
      <c r="M183" s="17">
        <v>19</v>
      </c>
      <c r="N183" s="26">
        <v>60</v>
      </c>
      <c r="O183" s="17">
        <v>20</v>
      </c>
      <c r="P183" s="26">
        <v>912</v>
      </c>
      <c r="Q183" s="17">
        <v>4</v>
      </c>
      <c r="R183" s="17" t="s">
        <v>79</v>
      </c>
      <c r="S183" s="17" t="s">
        <v>49</v>
      </c>
      <c r="T183" s="17" t="s">
        <v>256</v>
      </c>
      <c r="U183" s="17">
        <v>9756908023</v>
      </c>
      <c r="V183" s="17" t="s">
        <v>64</v>
      </c>
      <c r="W183" s="29" t="str" cm="1">
        <f t="array" ref="W183">_xlfn.IFS(OR(V183="Cancelled", Q183&lt;=2), "Blacklisted", AND(P183&gt;=100000, Q183&gt;=4, O183&lt;=0.1, V183="Completed"), "Platinum", AND(P183&gt;=50000, P183&lt;=99999, Q183&gt;=3, V183="Completed"), "Gold", AND(Q183&lt;50000, V183="Completed"), "Silver", V183="Pending", "Pending")</f>
        <v>Pending</v>
      </c>
    </row>
    <row r="184" spans="1:23" x14ac:dyDescent="0.5">
      <c r="A184" s="15" t="s">
        <v>943</v>
      </c>
      <c r="B184" s="15" t="s">
        <v>100</v>
      </c>
      <c r="C184" s="15" t="s">
        <v>259</v>
      </c>
      <c r="D184" s="15" t="s">
        <v>944</v>
      </c>
      <c r="E184" s="15" t="s">
        <v>936</v>
      </c>
      <c r="F184" s="15" t="s">
        <v>103</v>
      </c>
      <c r="G184" s="15" t="s">
        <v>28</v>
      </c>
      <c r="H184" s="15" t="s">
        <v>945</v>
      </c>
      <c r="I184" s="15" t="s">
        <v>59</v>
      </c>
      <c r="J184" s="15" t="s">
        <v>31</v>
      </c>
      <c r="K184" s="15" t="s">
        <v>122</v>
      </c>
      <c r="L184" s="15" t="s">
        <v>263</v>
      </c>
      <c r="M184" s="15">
        <v>10</v>
      </c>
      <c r="N184" s="25">
        <v>45</v>
      </c>
      <c r="O184" s="15">
        <v>15</v>
      </c>
      <c r="P184" s="25">
        <v>382.5</v>
      </c>
      <c r="Q184" s="15">
        <v>4</v>
      </c>
      <c r="R184" s="15" t="s">
        <v>34</v>
      </c>
      <c r="S184" s="15" t="s">
        <v>151</v>
      </c>
      <c r="T184" s="15" t="s">
        <v>144</v>
      </c>
      <c r="U184" s="15">
        <v>9645913247</v>
      </c>
      <c r="V184" s="15" t="s">
        <v>38</v>
      </c>
      <c r="W184" s="29" t="str" cm="1">
        <f t="array" ref="W184">_xlfn.IFS(OR(V184="Cancelled", Q184&lt;=2), "Blacklisted", AND(P184&gt;=100000, Q184&gt;=4, O184&lt;=0.1, V184="Completed"), "Platinum", AND(P184&gt;=50000, P184&lt;=99999, Q184&gt;=3, V184="Completed"), "Gold", AND(Q184&lt;50000, V184="Completed"), "Silver", V184="Pending", "Pending")</f>
        <v>Silver</v>
      </c>
    </row>
    <row r="185" spans="1:23" x14ac:dyDescent="0.5">
      <c r="A185" s="17" t="s">
        <v>947</v>
      </c>
      <c r="B185" s="17" t="s">
        <v>71</v>
      </c>
      <c r="C185" s="17" t="s">
        <v>24</v>
      </c>
      <c r="D185" s="17" t="s">
        <v>948</v>
      </c>
      <c r="E185" s="17" t="s">
        <v>949</v>
      </c>
      <c r="F185" s="15" t="s">
        <v>217</v>
      </c>
      <c r="G185" s="17" t="s">
        <v>76</v>
      </c>
      <c r="H185" s="17" t="s">
        <v>950</v>
      </c>
      <c r="I185" s="17" t="s">
        <v>44</v>
      </c>
      <c r="J185" s="17" t="s">
        <v>45</v>
      </c>
      <c r="K185" s="17" t="s">
        <v>32</v>
      </c>
      <c r="L185" s="17" t="s">
        <v>33</v>
      </c>
      <c r="M185" s="17">
        <v>7</v>
      </c>
      <c r="N185" s="26">
        <v>2200</v>
      </c>
      <c r="O185" s="17">
        <v>20</v>
      </c>
      <c r="P185" s="26">
        <v>12320</v>
      </c>
      <c r="Q185" s="17">
        <v>5</v>
      </c>
      <c r="R185" s="17" t="s">
        <v>88</v>
      </c>
      <c r="S185" s="17" t="s">
        <v>49</v>
      </c>
      <c r="T185" s="17" t="s">
        <v>80</v>
      </c>
      <c r="U185" s="17">
        <v>9806914795</v>
      </c>
      <c r="V185" s="17" t="s">
        <v>64</v>
      </c>
      <c r="W185" s="29" t="str" cm="1">
        <f t="array" ref="W185">_xlfn.IFS(OR(V185="Cancelled", Q185&lt;=2), "Blacklisted", AND(P185&gt;=100000, Q185&gt;=4, O185&lt;=0.1, V185="Completed"), "Platinum", AND(P185&gt;=50000, P185&lt;=99999, Q185&gt;=3, V185="Completed"), "Gold", AND(Q185&lt;50000, V185="Completed"), "Silver", V185="Pending", "Pending")</f>
        <v>Pending</v>
      </c>
    </row>
    <row r="186" spans="1:23" x14ac:dyDescent="0.5">
      <c r="A186" s="15" t="s">
        <v>952</v>
      </c>
      <c r="B186" s="15" t="s">
        <v>100</v>
      </c>
      <c r="C186" s="15" t="s">
        <v>169</v>
      </c>
      <c r="D186" s="15" t="s">
        <v>953</v>
      </c>
      <c r="E186" s="15" t="s">
        <v>42</v>
      </c>
      <c r="F186" s="15" t="s">
        <v>103</v>
      </c>
      <c r="G186" s="15" t="s">
        <v>28</v>
      </c>
      <c r="H186" s="15" t="s">
        <v>954</v>
      </c>
      <c r="I186" s="15" t="s">
        <v>294</v>
      </c>
      <c r="J186" s="15" t="s">
        <v>295</v>
      </c>
      <c r="K186" s="15" t="s">
        <v>32</v>
      </c>
      <c r="L186" s="15" t="s">
        <v>174</v>
      </c>
      <c r="M186" s="15">
        <v>20</v>
      </c>
      <c r="N186" s="25">
        <v>8500</v>
      </c>
      <c r="O186" s="15">
        <v>20</v>
      </c>
      <c r="P186" s="25">
        <v>136000</v>
      </c>
      <c r="Q186" s="15">
        <v>4</v>
      </c>
      <c r="R186" s="15" t="s">
        <v>48</v>
      </c>
      <c r="S186" s="15" t="s">
        <v>35</v>
      </c>
      <c r="T186" s="15" t="s">
        <v>144</v>
      </c>
      <c r="U186" s="15">
        <v>9276222829</v>
      </c>
      <c r="V186" s="15" t="s">
        <v>38</v>
      </c>
      <c r="W186" s="29" t="str" cm="1">
        <f t="array" ref="W186">_xlfn.IFS(OR(V186="Cancelled", Q186&lt;=2), "Blacklisted", AND(P186&gt;=100000, Q186&gt;=4, O186&lt;=0.1, V186="Completed"), "Platinum", AND(P186&gt;=50000, P186&lt;=99999, Q186&gt;=3, V186="Completed"), "Gold", AND(Q186&lt;50000, V186="Completed"), "Silver", V186="Pending", "Pending")</f>
        <v>Silver</v>
      </c>
    </row>
    <row r="187" spans="1:23" x14ac:dyDescent="0.5">
      <c r="A187" s="17" t="s">
        <v>956</v>
      </c>
      <c r="B187" s="17" t="s">
        <v>251</v>
      </c>
      <c r="C187" s="17" t="s">
        <v>24</v>
      </c>
      <c r="D187" s="17" t="s">
        <v>770</v>
      </c>
      <c r="E187" s="17" t="s">
        <v>957</v>
      </c>
      <c r="F187" s="15" t="s">
        <v>254</v>
      </c>
      <c r="G187" s="17" t="s">
        <v>28</v>
      </c>
      <c r="H187" s="17" t="s">
        <v>958</v>
      </c>
      <c r="I187" s="17" t="s">
        <v>30</v>
      </c>
      <c r="J187" s="17" t="s">
        <v>31</v>
      </c>
      <c r="K187" s="17" t="s">
        <v>32</v>
      </c>
      <c r="L187" s="17" t="s">
        <v>33</v>
      </c>
      <c r="M187" s="17">
        <v>10</v>
      </c>
      <c r="N187" s="26">
        <v>2200</v>
      </c>
      <c r="O187" s="17">
        <v>5</v>
      </c>
      <c r="P187" s="26">
        <v>20900</v>
      </c>
      <c r="Q187" s="17">
        <v>2</v>
      </c>
      <c r="R187" s="17" t="s">
        <v>48</v>
      </c>
      <c r="S187" s="17" t="s">
        <v>49</v>
      </c>
      <c r="T187" s="17" t="s">
        <v>256</v>
      </c>
      <c r="U187" s="17">
        <v>9533835528</v>
      </c>
      <c r="V187" s="17" t="s">
        <v>38</v>
      </c>
      <c r="W187" s="29" t="str" cm="1">
        <f t="array" ref="W187">_xlfn.IFS(OR(V187="Cancelled", Q187&lt;=2), "Blacklisted", AND(P187&gt;=100000, Q187&gt;=4, O187&lt;=0.1, V187="Completed"), "Platinum", AND(P187&gt;=50000, P187&lt;=99999, Q187&gt;=3, V187="Completed"), "Gold", AND(Q187&lt;50000, V187="Completed"), "Silver", V187="Pending", "Pending")</f>
        <v>Blacklisted</v>
      </c>
    </row>
    <row r="188" spans="1:23" x14ac:dyDescent="0.5">
      <c r="A188" s="15" t="s">
        <v>960</v>
      </c>
      <c r="B188" s="15" t="s">
        <v>127</v>
      </c>
      <c r="C188" s="15" t="s">
        <v>118</v>
      </c>
      <c r="D188" s="15" t="s">
        <v>692</v>
      </c>
      <c r="E188" s="15" t="s">
        <v>961</v>
      </c>
      <c r="F188" s="15" t="s">
        <v>200</v>
      </c>
      <c r="G188" s="15" t="s">
        <v>76</v>
      </c>
      <c r="H188" s="15" t="s">
        <v>962</v>
      </c>
      <c r="I188" s="15" t="s">
        <v>114</v>
      </c>
      <c r="J188" s="15" t="s">
        <v>106</v>
      </c>
      <c r="K188" s="15" t="s">
        <v>122</v>
      </c>
      <c r="L188" s="15" t="s">
        <v>123</v>
      </c>
      <c r="M188" s="15">
        <v>15</v>
      </c>
      <c r="N188" s="25">
        <v>60</v>
      </c>
      <c r="O188" s="15">
        <v>20</v>
      </c>
      <c r="P188" s="25">
        <v>720</v>
      </c>
      <c r="Q188" s="15">
        <v>1</v>
      </c>
      <c r="R188" s="15" t="s">
        <v>79</v>
      </c>
      <c r="S188" s="15" t="s">
        <v>35</v>
      </c>
      <c r="T188" s="15" t="s">
        <v>132</v>
      </c>
      <c r="U188" s="15">
        <v>9654885820</v>
      </c>
      <c r="V188" s="15" t="s">
        <v>38</v>
      </c>
      <c r="W188" s="29" t="str" cm="1">
        <f t="array" ref="W188">_xlfn.IFS(OR(V188="Cancelled", Q188&lt;=2), "Blacklisted", AND(P188&gt;=100000, Q188&gt;=4, O188&lt;=0.1, V188="Completed"), "Platinum", AND(P188&gt;=50000, P188&lt;=99999, Q188&gt;=3, V188="Completed"), "Gold", AND(Q188&lt;50000, V188="Completed"), "Silver", V188="Pending", "Pending")</f>
        <v>Blacklisted</v>
      </c>
    </row>
    <row r="189" spans="1:23" x14ac:dyDescent="0.5">
      <c r="A189" s="17" t="s">
        <v>964</v>
      </c>
      <c r="B189" s="17" t="s">
        <v>221</v>
      </c>
      <c r="C189" s="17" t="s">
        <v>92</v>
      </c>
      <c r="D189" s="17" t="s">
        <v>231</v>
      </c>
      <c r="E189" s="17" t="s">
        <v>965</v>
      </c>
      <c r="F189" s="15" t="s">
        <v>225</v>
      </c>
      <c r="G189" s="17" t="s">
        <v>76</v>
      </c>
      <c r="H189" s="17" t="s">
        <v>966</v>
      </c>
      <c r="I189" s="17" t="s">
        <v>30</v>
      </c>
      <c r="J189" s="17" t="s">
        <v>31</v>
      </c>
      <c r="K189" s="17" t="s">
        <v>32</v>
      </c>
      <c r="L189" s="17" t="s">
        <v>97</v>
      </c>
      <c r="M189" s="17">
        <v>18</v>
      </c>
      <c r="N189" s="26">
        <v>3500</v>
      </c>
      <c r="O189" s="17">
        <v>5</v>
      </c>
      <c r="P189" s="26">
        <v>59850</v>
      </c>
      <c r="Q189" s="17">
        <v>1</v>
      </c>
      <c r="R189" s="17" t="s">
        <v>79</v>
      </c>
      <c r="S189" s="17" t="s">
        <v>49</v>
      </c>
      <c r="T189" s="17" t="s">
        <v>228</v>
      </c>
      <c r="U189" s="17">
        <v>9456029544</v>
      </c>
      <c r="V189" s="17" t="s">
        <v>69</v>
      </c>
      <c r="W189" s="29" t="str" cm="1">
        <f t="array" ref="W189">_xlfn.IFS(OR(V189="Cancelled", Q189&lt;=2), "Blacklisted", AND(P189&gt;=100000, Q189&gt;=4, O189&lt;=0.1, V189="Completed"), "Platinum", AND(P189&gt;=50000, P189&lt;=99999, Q189&gt;=3, V189="Completed"), "Gold", AND(Q189&lt;50000, V189="Completed"), "Silver", V189="Pending", "Pending")</f>
        <v>Blacklisted</v>
      </c>
    </row>
    <row r="190" spans="1:23" x14ac:dyDescent="0.5">
      <c r="A190" s="15" t="s">
        <v>968</v>
      </c>
      <c r="B190" s="15" t="s">
        <v>327</v>
      </c>
      <c r="C190" s="15" t="s">
        <v>40</v>
      </c>
      <c r="D190" s="15" t="s">
        <v>969</v>
      </c>
      <c r="E190" s="15" t="s">
        <v>970</v>
      </c>
      <c r="F190" s="15" t="s">
        <v>394</v>
      </c>
      <c r="G190" s="15" t="s">
        <v>76</v>
      </c>
      <c r="H190" s="15" t="s">
        <v>971</v>
      </c>
      <c r="I190" s="15" t="s">
        <v>114</v>
      </c>
      <c r="J190" s="15" t="s">
        <v>106</v>
      </c>
      <c r="K190" s="15" t="s">
        <v>46</v>
      </c>
      <c r="L190" s="15" t="s">
        <v>47</v>
      </c>
      <c r="M190" s="15">
        <v>6</v>
      </c>
      <c r="N190" s="25">
        <v>12000</v>
      </c>
      <c r="O190" s="15">
        <v>5</v>
      </c>
      <c r="P190" s="25">
        <v>68400</v>
      </c>
      <c r="Q190" s="15">
        <v>1</v>
      </c>
      <c r="R190" s="15" t="s">
        <v>48</v>
      </c>
      <c r="S190" s="15" t="s">
        <v>49</v>
      </c>
      <c r="T190" s="15" t="s">
        <v>332</v>
      </c>
      <c r="U190" s="15">
        <v>9914571493</v>
      </c>
      <c r="V190" s="15" t="s">
        <v>69</v>
      </c>
      <c r="W190" s="29" t="str" cm="1">
        <f t="array" ref="W190">_xlfn.IFS(OR(V190="Cancelled", Q190&lt;=2), "Blacklisted", AND(P190&gt;=100000, Q190&gt;=4, O190&lt;=0.1, V190="Completed"), "Platinum", AND(P190&gt;=50000, P190&lt;=99999, Q190&gt;=3, V190="Completed"), "Gold", AND(Q190&lt;50000, V190="Completed"), "Silver", V190="Pending", "Pending")</f>
        <v>Blacklisted</v>
      </c>
    </row>
    <row r="191" spans="1:23" x14ac:dyDescent="0.5">
      <c r="A191" s="17" t="s">
        <v>973</v>
      </c>
      <c r="B191" s="17" t="s">
        <v>327</v>
      </c>
      <c r="C191" s="17" t="s">
        <v>222</v>
      </c>
      <c r="D191" s="17" t="s">
        <v>323</v>
      </c>
      <c r="E191" s="17" t="s">
        <v>479</v>
      </c>
      <c r="F191" s="15" t="s">
        <v>394</v>
      </c>
      <c r="G191" s="17" t="s">
        <v>76</v>
      </c>
      <c r="H191" s="17" t="s">
        <v>974</v>
      </c>
      <c r="I191" s="17" t="s">
        <v>59</v>
      </c>
      <c r="J191" s="17" t="s">
        <v>31</v>
      </c>
      <c r="K191" s="17" t="s">
        <v>122</v>
      </c>
      <c r="L191" s="17" t="s">
        <v>227</v>
      </c>
      <c r="M191" s="17">
        <v>19</v>
      </c>
      <c r="N191" s="26">
        <v>20</v>
      </c>
      <c r="O191" s="17">
        <v>10</v>
      </c>
      <c r="P191" s="26">
        <v>342</v>
      </c>
      <c r="Q191" s="17">
        <v>2</v>
      </c>
      <c r="R191" s="17" t="s">
        <v>48</v>
      </c>
      <c r="S191" s="17" t="s">
        <v>35</v>
      </c>
      <c r="T191" s="17" t="s">
        <v>332</v>
      </c>
      <c r="U191" s="17">
        <v>9270726986</v>
      </c>
      <c r="V191" s="17" t="s">
        <v>64</v>
      </c>
      <c r="W191" s="29" t="str" cm="1">
        <f t="array" ref="W191">_xlfn.IFS(OR(V191="Cancelled", Q191&lt;=2), "Blacklisted", AND(P191&gt;=100000, Q191&gt;=4, O191&lt;=0.1, V191="Completed"), "Platinum", AND(P191&gt;=50000, P191&lt;=99999, Q191&gt;=3, V191="Completed"), "Gold", AND(Q191&lt;50000, V191="Completed"), "Silver", V191="Pending", "Pending")</f>
        <v>Blacklisted</v>
      </c>
    </row>
    <row r="192" spans="1:23" x14ac:dyDescent="0.5">
      <c r="A192" s="15" t="s">
        <v>976</v>
      </c>
      <c r="B192" s="15" t="s">
        <v>221</v>
      </c>
      <c r="C192" s="15" t="s">
        <v>24</v>
      </c>
      <c r="D192" s="15" t="s">
        <v>426</v>
      </c>
      <c r="E192" s="15" t="s">
        <v>427</v>
      </c>
      <c r="F192" s="15" t="s">
        <v>225</v>
      </c>
      <c r="G192" s="15" t="s">
        <v>76</v>
      </c>
      <c r="H192" s="15" t="s">
        <v>977</v>
      </c>
      <c r="I192" s="15" t="s">
        <v>114</v>
      </c>
      <c r="J192" s="15" t="s">
        <v>106</v>
      </c>
      <c r="K192" s="15" t="s">
        <v>32</v>
      </c>
      <c r="L192" s="15" t="s">
        <v>33</v>
      </c>
      <c r="M192" s="15">
        <v>7</v>
      </c>
      <c r="N192" s="25">
        <v>2200</v>
      </c>
      <c r="O192" s="15">
        <v>0</v>
      </c>
      <c r="P192" s="25">
        <v>15400</v>
      </c>
      <c r="Q192" s="15">
        <v>1</v>
      </c>
      <c r="R192" s="15" t="s">
        <v>79</v>
      </c>
      <c r="S192" s="15" t="s">
        <v>115</v>
      </c>
      <c r="T192" s="15" t="s">
        <v>228</v>
      </c>
      <c r="U192" s="15">
        <v>9570080664</v>
      </c>
      <c r="V192" s="15" t="s">
        <v>69</v>
      </c>
      <c r="W192" s="29" t="str" cm="1">
        <f t="array" ref="W192">_xlfn.IFS(OR(V192="Cancelled", Q192&lt;=2), "Blacklisted", AND(P192&gt;=100000, Q192&gt;=4, O192&lt;=0.1, V192="Completed"), "Platinum", AND(P192&gt;=50000, P192&lt;=99999, Q192&gt;=3, V192="Completed"), "Gold", AND(Q192&lt;50000, V192="Completed"), "Silver", V192="Pending", "Pending")</f>
        <v>Blacklisted</v>
      </c>
    </row>
    <row r="193" spans="1:23" x14ac:dyDescent="0.5">
      <c r="A193" s="17" t="s">
        <v>979</v>
      </c>
      <c r="B193" s="17" t="s">
        <v>327</v>
      </c>
      <c r="C193" s="17" t="s">
        <v>40</v>
      </c>
      <c r="D193" s="17" t="s">
        <v>503</v>
      </c>
      <c r="E193" s="17" t="s">
        <v>980</v>
      </c>
      <c r="F193" s="15" t="s">
        <v>394</v>
      </c>
      <c r="G193" s="17" t="s">
        <v>76</v>
      </c>
      <c r="H193" s="17" t="s">
        <v>981</v>
      </c>
      <c r="I193" s="17" t="s">
        <v>212</v>
      </c>
      <c r="J193" s="17" t="s">
        <v>45</v>
      </c>
      <c r="K193" s="17" t="s">
        <v>46</v>
      </c>
      <c r="L193" s="17" t="s">
        <v>47</v>
      </c>
      <c r="M193" s="17">
        <v>3</v>
      </c>
      <c r="N193" s="26">
        <v>12000</v>
      </c>
      <c r="O193" s="17">
        <v>5</v>
      </c>
      <c r="P193" s="26">
        <v>34200</v>
      </c>
      <c r="Q193" s="17">
        <v>3</v>
      </c>
      <c r="R193" s="17" t="s">
        <v>79</v>
      </c>
      <c r="S193" s="17" t="s">
        <v>61</v>
      </c>
      <c r="T193" s="17" t="s">
        <v>332</v>
      </c>
      <c r="U193" s="17">
        <v>9109009524</v>
      </c>
      <c r="V193" s="17" t="s">
        <v>69</v>
      </c>
      <c r="W193" s="29" t="str" cm="1">
        <f t="array" ref="W193">_xlfn.IFS(OR(V193="Cancelled", Q193&lt;=2), "Blacklisted", AND(P193&gt;=100000, Q193&gt;=4, O193&lt;=0.1, V193="Completed"), "Platinum", AND(P193&gt;=50000, P193&lt;=99999, Q193&gt;=3, V193="Completed"), "Gold", AND(Q193&lt;50000, V193="Completed"), "Silver", V193="Pending", "Pending")</f>
        <v>Blacklisted</v>
      </c>
    </row>
    <row r="194" spans="1:23" x14ac:dyDescent="0.5">
      <c r="A194" s="15" t="s">
        <v>983</v>
      </c>
      <c r="B194" s="15" t="s">
        <v>168</v>
      </c>
      <c r="C194" s="15" t="s">
        <v>24</v>
      </c>
      <c r="D194" s="15" t="s">
        <v>341</v>
      </c>
      <c r="E194" s="15" t="s">
        <v>864</v>
      </c>
      <c r="F194" s="15" t="s">
        <v>361</v>
      </c>
      <c r="G194" s="15" t="s">
        <v>28</v>
      </c>
      <c r="H194" s="15" t="s">
        <v>984</v>
      </c>
      <c r="I194" s="15" t="s">
        <v>212</v>
      </c>
      <c r="J194" s="15" t="s">
        <v>45</v>
      </c>
      <c r="K194" s="15" t="s">
        <v>32</v>
      </c>
      <c r="L194" s="15" t="s">
        <v>33</v>
      </c>
      <c r="M194" s="15">
        <v>16</v>
      </c>
      <c r="N194" s="25">
        <v>2200</v>
      </c>
      <c r="O194" s="15">
        <v>0</v>
      </c>
      <c r="P194" s="25">
        <v>35200</v>
      </c>
      <c r="Q194" s="15">
        <v>5</v>
      </c>
      <c r="R194" s="15" t="s">
        <v>79</v>
      </c>
      <c r="S194" s="15" t="s">
        <v>35</v>
      </c>
      <c r="T194" s="15" t="s">
        <v>175</v>
      </c>
      <c r="U194" s="15">
        <v>9701276770</v>
      </c>
      <c r="V194" s="15" t="s">
        <v>64</v>
      </c>
      <c r="W194" s="29" t="str" cm="1">
        <f t="array" ref="W194">_xlfn.IFS(OR(V194="Cancelled", Q194&lt;=2), "Blacklisted", AND(P194&gt;=100000, Q194&gt;=4, O194&lt;=0.1, V194="Completed"), "Platinum", AND(P194&gt;=50000, P194&lt;=99999, Q194&gt;=3, V194="Completed"), "Gold", AND(Q194&lt;50000, V194="Completed"), "Silver", V194="Pending", "Pending")</f>
        <v>Pending</v>
      </c>
    </row>
    <row r="195" spans="1:23" x14ac:dyDescent="0.5">
      <c r="A195" s="17" t="s">
        <v>986</v>
      </c>
      <c r="B195" s="17" t="s">
        <v>251</v>
      </c>
      <c r="C195" s="17" t="s">
        <v>24</v>
      </c>
      <c r="D195" s="17" t="s">
        <v>987</v>
      </c>
      <c r="E195" s="17" t="s">
        <v>988</v>
      </c>
      <c r="F195" s="15" t="s">
        <v>254</v>
      </c>
      <c r="G195" s="17" t="s">
        <v>28</v>
      </c>
      <c r="H195" s="17" t="s">
        <v>989</v>
      </c>
      <c r="I195" s="17" t="s">
        <v>44</v>
      </c>
      <c r="J195" s="17" t="s">
        <v>45</v>
      </c>
      <c r="K195" s="17" t="s">
        <v>32</v>
      </c>
      <c r="L195" s="17" t="s">
        <v>33</v>
      </c>
      <c r="M195" s="17">
        <v>8</v>
      </c>
      <c r="N195" s="26">
        <v>2200</v>
      </c>
      <c r="O195" s="17">
        <v>5</v>
      </c>
      <c r="P195" s="26">
        <v>16720</v>
      </c>
      <c r="Q195" s="17">
        <v>2</v>
      </c>
      <c r="R195" s="17" t="s">
        <v>88</v>
      </c>
      <c r="S195" s="17" t="s">
        <v>151</v>
      </c>
      <c r="T195" s="17" t="s">
        <v>256</v>
      </c>
      <c r="U195" s="17">
        <v>9298278507</v>
      </c>
      <c r="V195" s="17" t="s">
        <v>38</v>
      </c>
      <c r="W195" s="29" t="str" cm="1">
        <f t="array" ref="W195">_xlfn.IFS(OR(V195="Cancelled", Q195&lt;=2), "Blacklisted", AND(P195&gt;=100000, Q195&gt;=4, O195&lt;=0.1, V195="Completed"), "Platinum", AND(P195&gt;=50000, P195&lt;=99999, Q195&gt;=3, V195="Completed"), "Gold", AND(Q195&lt;50000, V195="Completed"), "Silver", V195="Pending", "Pending")</f>
        <v>Blacklisted</v>
      </c>
    </row>
    <row r="196" spans="1:23" x14ac:dyDescent="0.5">
      <c r="A196" s="15" t="s">
        <v>991</v>
      </c>
      <c r="B196" s="15" t="s">
        <v>251</v>
      </c>
      <c r="C196" s="15" t="s">
        <v>24</v>
      </c>
      <c r="D196" s="15" t="s">
        <v>610</v>
      </c>
      <c r="E196" s="15" t="s">
        <v>454</v>
      </c>
      <c r="F196" s="15" t="s">
        <v>254</v>
      </c>
      <c r="G196" s="15" t="s">
        <v>28</v>
      </c>
      <c r="H196" s="15" t="s">
        <v>992</v>
      </c>
      <c r="I196" s="15" t="s">
        <v>138</v>
      </c>
      <c r="J196" s="15" t="s">
        <v>106</v>
      </c>
      <c r="K196" s="15" t="s">
        <v>32</v>
      </c>
      <c r="L196" s="15" t="s">
        <v>33</v>
      </c>
      <c r="M196" s="15">
        <v>10</v>
      </c>
      <c r="N196" s="25">
        <v>2200</v>
      </c>
      <c r="O196" s="15">
        <v>10</v>
      </c>
      <c r="P196" s="25">
        <v>19800</v>
      </c>
      <c r="Q196" s="15">
        <v>5</v>
      </c>
      <c r="R196" s="15" t="s">
        <v>48</v>
      </c>
      <c r="S196" s="15" t="s">
        <v>115</v>
      </c>
      <c r="T196" s="15" t="s">
        <v>256</v>
      </c>
      <c r="U196" s="15">
        <v>9895908093</v>
      </c>
      <c r="V196" s="15" t="s">
        <v>64</v>
      </c>
      <c r="W196" s="29" t="str" cm="1">
        <f t="array" ref="W196">_xlfn.IFS(OR(V196="Cancelled", Q196&lt;=2), "Blacklisted", AND(P196&gt;=100000, Q196&gt;=4, O196&lt;=0.1, V196="Completed"), "Platinum", AND(P196&gt;=50000, P196&lt;=99999, Q196&gt;=3, V196="Completed"), "Gold", AND(Q196&lt;50000, V196="Completed"), "Silver", V196="Pending", "Pending")</f>
        <v>Pending</v>
      </c>
    </row>
    <row r="197" spans="1:23" x14ac:dyDescent="0.5">
      <c r="A197" s="17" t="s">
        <v>994</v>
      </c>
      <c r="B197" s="17" t="s">
        <v>83</v>
      </c>
      <c r="C197" s="17" t="s">
        <v>222</v>
      </c>
      <c r="D197" s="17" t="s">
        <v>336</v>
      </c>
      <c r="E197" s="17" t="s">
        <v>596</v>
      </c>
      <c r="F197" s="15" t="s">
        <v>180</v>
      </c>
      <c r="G197" s="17" t="s">
        <v>76</v>
      </c>
      <c r="H197" s="17" t="s">
        <v>995</v>
      </c>
      <c r="I197" s="17" t="s">
        <v>44</v>
      </c>
      <c r="J197" s="17" t="s">
        <v>45</v>
      </c>
      <c r="K197" s="17" t="s">
        <v>122</v>
      </c>
      <c r="L197" s="17" t="s">
        <v>227</v>
      </c>
      <c r="M197" s="17">
        <v>7</v>
      </c>
      <c r="N197" s="26">
        <v>20</v>
      </c>
      <c r="O197" s="17">
        <v>10</v>
      </c>
      <c r="P197" s="26">
        <v>126</v>
      </c>
      <c r="Q197" s="17">
        <v>4</v>
      </c>
      <c r="R197" s="17" t="s">
        <v>79</v>
      </c>
      <c r="S197" s="17" t="s">
        <v>61</v>
      </c>
      <c r="T197" s="17" t="s">
        <v>89</v>
      </c>
      <c r="U197" s="17">
        <v>9734108795</v>
      </c>
      <c r="V197" s="17" t="s">
        <v>38</v>
      </c>
      <c r="W197" s="29" t="str" cm="1">
        <f t="array" ref="W197">_xlfn.IFS(OR(V197="Cancelled", Q197&lt;=2), "Blacklisted", AND(P197&gt;=100000, Q197&gt;=4, O197&lt;=0.1, V197="Completed"), "Platinum", AND(P197&gt;=50000, P197&lt;=99999, Q197&gt;=3, V197="Completed"), "Gold", AND(Q197&lt;50000, V197="Completed"), "Silver", V197="Pending", "Pending")</f>
        <v>Silver</v>
      </c>
    </row>
    <row r="198" spans="1:23" x14ac:dyDescent="0.5">
      <c r="A198" s="15" t="s">
        <v>997</v>
      </c>
      <c r="B198" s="15" t="s">
        <v>221</v>
      </c>
      <c r="C198" s="15" t="s">
        <v>169</v>
      </c>
      <c r="D198" s="15" t="s">
        <v>252</v>
      </c>
      <c r="E198" s="15" t="s">
        <v>998</v>
      </c>
      <c r="F198" s="15" t="s">
        <v>225</v>
      </c>
      <c r="G198" s="15" t="s">
        <v>76</v>
      </c>
      <c r="H198" s="15" t="s">
        <v>999</v>
      </c>
      <c r="I198" s="15" t="s">
        <v>30</v>
      </c>
      <c r="J198" s="15" t="s">
        <v>31</v>
      </c>
      <c r="K198" s="15" t="s">
        <v>32</v>
      </c>
      <c r="L198" s="15" t="s">
        <v>174</v>
      </c>
      <c r="M198" s="15">
        <v>19</v>
      </c>
      <c r="N198" s="25">
        <v>8500</v>
      </c>
      <c r="O198" s="15">
        <v>20</v>
      </c>
      <c r="P198" s="25">
        <v>129200</v>
      </c>
      <c r="Q198" s="15">
        <v>3</v>
      </c>
      <c r="R198" s="15" t="s">
        <v>48</v>
      </c>
      <c r="S198" s="15" t="s">
        <v>61</v>
      </c>
      <c r="T198" s="15" t="s">
        <v>228</v>
      </c>
      <c r="U198" s="15">
        <v>9799597413</v>
      </c>
      <c r="V198" s="15" t="s">
        <v>64</v>
      </c>
      <c r="W198" s="29" t="str" cm="1">
        <f t="array" ref="W198">_xlfn.IFS(OR(V198="Cancelled", Q198&lt;=2), "Blacklisted", AND(P198&gt;=100000, Q198&gt;=4, O198&lt;=0.1, V198="Completed"), "Platinum", AND(P198&gt;=50000, P198&lt;=99999, Q198&gt;=3, V198="Completed"), "Gold", AND(Q198&lt;50000, V198="Completed"), "Silver", V198="Pending", "Pending")</f>
        <v>Pending</v>
      </c>
    </row>
    <row r="199" spans="1:23" x14ac:dyDescent="0.5">
      <c r="A199" s="17" t="s">
        <v>1001</v>
      </c>
      <c r="B199" s="17" t="s">
        <v>100</v>
      </c>
      <c r="C199" s="17" t="s">
        <v>118</v>
      </c>
      <c r="D199" s="17" t="s">
        <v>431</v>
      </c>
      <c r="E199" s="17" t="s">
        <v>414</v>
      </c>
      <c r="F199" s="15" t="s">
        <v>103</v>
      </c>
      <c r="G199" s="17" t="s">
        <v>28</v>
      </c>
      <c r="H199" s="17" t="s">
        <v>1002</v>
      </c>
      <c r="I199" s="17" t="s">
        <v>114</v>
      </c>
      <c r="J199" s="17" t="s">
        <v>106</v>
      </c>
      <c r="K199" s="17" t="s">
        <v>122</v>
      </c>
      <c r="L199" s="17" t="s">
        <v>123</v>
      </c>
      <c r="M199" s="17">
        <v>16</v>
      </c>
      <c r="N199" s="26">
        <v>60</v>
      </c>
      <c r="O199" s="17">
        <v>0</v>
      </c>
      <c r="P199" s="26">
        <v>960</v>
      </c>
      <c r="Q199" s="17">
        <v>2</v>
      </c>
      <c r="R199" s="17" t="s">
        <v>48</v>
      </c>
      <c r="S199" s="17" t="s">
        <v>115</v>
      </c>
      <c r="T199" s="17" t="s">
        <v>144</v>
      </c>
      <c r="U199" s="17">
        <v>9688987266</v>
      </c>
      <c r="V199" s="17" t="s">
        <v>38</v>
      </c>
      <c r="W199" s="29" t="str" cm="1">
        <f t="array" ref="W199">_xlfn.IFS(OR(V199="Cancelled", Q199&lt;=2), "Blacklisted", AND(P199&gt;=100000, Q199&gt;=4, O199&lt;=0.1, V199="Completed"), "Platinum", AND(P199&gt;=50000, P199&lt;=99999, Q199&gt;=3, V199="Completed"), "Gold", AND(Q199&lt;50000, V199="Completed"), "Silver", V199="Pending", "Pending")</f>
        <v>Blacklisted</v>
      </c>
    </row>
    <row r="200" spans="1:23" x14ac:dyDescent="0.5">
      <c r="A200" s="15" t="s">
        <v>1004</v>
      </c>
      <c r="B200" s="15" t="s">
        <v>221</v>
      </c>
      <c r="C200" s="15" t="s">
        <v>92</v>
      </c>
      <c r="D200" s="15" t="s">
        <v>1005</v>
      </c>
      <c r="E200" s="15" t="s">
        <v>731</v>
      </c>
      <c r="F200" s="15" t="s">
        <v>225</v>
      </c>
      <c r="G200" s="15" t="s">
        <v>76</v>
      </c>
      <c r="H200" s="15" t="s">
        <v>1006</v>
      </c>
      <c r="I200" s="15" t="s">
        <v>59</v>
      </c>
      <c r="J200" s="15" t="s">
        <v>31</v>
      </c>
      <c r="K200" s="15" t="s">
        <v>1007</v>
      </c>
      <c r="L200" s="15" t="s">
        <v>97</v>
      </c>
      <c r="M200" s="15">
        <v>18</v>
      </c>
      <c r="N200" s="25">
        <v>3500</v>
      </c>
      <c r="O200" s="15">
        <v>5</v>
      </c>
      <c r="P200" s="25">
        <v>59850</v>
      </c>
      <c r="Q200" s="15">
        <v>1</v>
      </c>
      <c r="R200" s="15" t="s">
        <v>88</v>
      </c>
      <c r="S200" s="15" t="s">
        <v>115</v>
      </c>
      <c r="T200" s="15" t="s">
        <v>228</v>
      </c>
      <c r="U200" s="15">
        <v>9867169037</v>
      </c>
      <c r="V200" s="15" t="s">
        <v>64</v>
      </c>
      <c r="W200" s="29" t="str" cm="1">
        <f t="array" ref="W200">_xlfn.IFS(OR(V200="Cancelled", Q200&lt;=2), "Blacklisted", AND(P200&gt;=100000, Q200&gt;=4, O200&lt;=0.1, V200="Completed"), "Platinum", AND(P200&gt;=50000, P200&lt;=99999, Q200&gt;=3, V200="Completed"), "Gold", AND(Q200&lt;50000, V200="Completed"), "Silver", V200="Pending", "Pending")</f>
        <v>Blacklisted</v>
      </c>
    </row>
    <row r="201" spans="1:23" x14ac:dyDescent="0.5">
      <c r="A201" s="17" t="s">
        <v>1009</v>
      </c>
      <c r="B201" s="17" t="s">
        <v>100</v>
      </c>
      <c r="C201" s="17" t="s">
        <v>54</v>
      </c>
      <c r="D201" s="17" t="s">
        <v>1010</v>
      </c>
      <c r="E201" s="17" t="s">
        <v>431</v>
      </c>
      <c r="F201" s="15" t="s">
        <v>103</v>
      </c>
      <c r="G201" s="17" t="s">
        <v>28</v>
      </c>
      <c r="H201" s="17" t="s">
        <v>1011</v>
      </c>
      <c r="I201" s="17" t="s">
        <v>212</v>
      </c>
      <c r="J201" s="17" t="s">
        <v>45</v>
      </c>
      <c r="K201" s="17" t="s">
        <v>46</v>
      </c>
      <c r="L201" s="17" t="s">
        <v>60</v>
      </c>
      <c r="M201" s="17">
        <v>16</v>
      </c>
      <c r="N201" s="26">
        <v>55000</v>
      </c>
      <c r="O201" s="17">
        <v>0</v>
      </c>
      <c r="P201" s="26">
        <v>880000</v>
      </c>
      <c r="Q201" s="17">
        <v>1</v>
      </c>
      <c r="R201" s="17" t="s">
        <v>79</v>
      </c>
      <c r="S201" s="17" t="s">
        <v>61</v>
      </c>
      <c r="T201" s="17" t="s">
        <v>144</v>
      </c>
      <c r="U201" s="17">
        <v>9485547425</v>
      </c>
      <c r="V201" s="17" t="s">
        <v>69</v>
      </c>
      <c r="W201" s="29" t="str" cm="1">
        <f t="array" ref="W201">_xlfn.IFS(OR(V201="Cancelled", Q201&lt;=2), "Blacklisted", AND(P201&gt;=100000, Q201&gt;=4, O201&lt;=0.1, V201="Completed"), "Platinum", AND(P201&gt;=50000, P201&lt;=99999, Q201&gt;=3, V201="Completed"), "Gold", AND(Q201&lt;50000, V201="Completed"), "Silver", V201="Pending", "Pending")</f>
        <v>Blacklisted</v>
      </c>
    </row>
    <row r="202" spans="1:23" x14ac:dyDescent="0.5">
      <c r="A202" s="15" t="s">
        <v>1013</v>
      </c>
      <c r="B202" s="15" t="s">
        <v>221</v>
      </c>
      <c r="C202" s="15" t="s">
        <v>72</v>
      </c>
      <c r="D202" s="15" t="s">
        <v>900</v>
      </c>
      <c r="E202" s="15" t="s">
        <v>435</v>
      </c>
      <c r="F202" s="15" t="s">
        <v>225</v>
      </c>
      <c r="G202" s="15" t="s">
        <v>76</v>
      </c>
      <c r="H202" s="15" t="s">
        <v>1014</v>
      </c>
      <c r="I202" s="15" t="s">
        <v>138</v>
      </c>
      <c r="J202" s="15" t="s">
        <v>106</v>
      </c>
      <c r="K202" s="15" t="s">
        <v>46</v>
      </c>
      <c r="L202" s="15" t="s">
        <v>78</v>
      </c>
      <c r="M202" s="15">
        <v>18</v>
      </c>
      <c r="N202" s="25">
        <v>1200</v>
      </c>
      <c r="O202" s="15">
        <v>15</v>
      </c>
      <c r="P202" s="25">
        <v>18360</v>
      </c>
      <c r="Q202" s="15">
        <v>2</v>
      </c>
      <c r="R202" s="15" t="s">
        <v>48</v>
      </c>
      <c r="S202" s="15" t="s">
        <v>35</v>
      </c>
      <c r="T202" s="15" t="s">
        <v>228</v>
      </c>
      <c r="U202" s="15">
        <v>9889733076</v>
      </c>
      <c r="V202" s="15" t="s">
        <v>69</v>
      </c>
      <c r="W202" s="29" t="str" cm="1">
        <f t="array" ref="W202">_xlfn.IFS(OR(V202="Cancelled", Q202&lt;=2), "Blacklisted", AND(P202&gt;=100000, Q202&gt;=4, O202&lt;=0.1, V202="Completed"), "Platinum", AND(P202&gt;=50000, P202&lt;=99999, Q202&gt;=3, V202="Completed"), "Gold", AND(Q202&lt;50000, V202="Completed"), "Silver", V202="Pending", "Pending")</f>
        <v>Blacklisted</v>
      </c>
    </row>
    <row r="203" spans="1:23" x14ac:dyDescent="0.5">
      <c r="A203" s="17" t="s">
        <v>1016</v>
      </c>
      <c r="B203" s="17" t="s">
        <v>71</v>
      </c>
      <c r="C203" s="17" t="s">
        <v>259</v>
      </c>
      <c r="D203" s="17" t="s">
        <v>1017</v>
      </c>
      <c r="E203" s="17" t="s">
        <v>1018</v>
      </c>
      <c r="F203" s="15" t="s">
        <v>217</v>
      </c>
      <c r="G203" s="17" t="s">
        <v>76</v>
      </c>
      <c r="H203" s="17" t="s">
        <v>1019</v>
      </c>
      <c r="I203" s="17" t="s">
        <v>30</v>
      </c>
      <c r="J203" s="17" t="s">
        <v>31</v>
      </c>
      <c r="K203" s="17" t="s">
        <v>122</v>
      </c>
      <c r="L203" s="17" t="s">
        <v>263</v>
      </c>
      <c r="M203" s="17">
        <v>2</v>
      </c>
      <c r="N203" s="26">
        <v>45</v>
      </c>
      <c r="O203" s="17">
        <v>15</v>
      </c>
      <c r="P203" s="26">
        <v>76.5</v>
      </c>
      <c r="Q203" s="17">
        <v>5</v>
      </c>
      <c r="R203" s="17" t="s">
        <v>34</v>
      </c>
      <c r="S203" s="17" t="s">
        <v>61</v>
      </c>
      <c r="T203" s="17" t="s">
        <v>80</v>
      </c>
      <c r="U203" s="17">
        <v>9145434449</v>
      </c>
      <c r="V203" s="17" t="s">
        <v>69</v>
      </c>
      <c r="W203" s="29" t="str" cm="1">
        <f t="array" ref="W203">_xlfn.IFS(OR(V203="Cancelled", Q203&lt;=2), "Blacklisted", AND(P203&gt;=100000, Q203&gt;=4, O203&lt;=0.1, V203="Completed"), "Platinum", AND(P203&gt;=50000, P203&lt;=99999, Q203&gt;=3, V203="Completed"), "Gold", AND(Q203&lt;50000, V203="Completed"), "Silver", V203="Pending", "Pending")</f>
        <v>Blacklisted</v>
      </c>
    </row>
    <row r="204" spans="1:23" x14ac:dyDescent="0.5">
      <c r="A204" s="15" t="s">
        <v>1021</v>
      </c>
      <c r="B204" s="15" t="s">
        <v>53</v>
      </c>
      <c r="C204" s="15" t="s">
        <v>169</v>
      </c>
      <c r="D204" s="15" t="s">
        <v>712</v>
      </c>
      <c r="E204" s="15" t="s">
        <v>85</v>
      </c>
      <c r="F204" s="15" t="s">
        <v>163</v>
      </c>
      <c r="G204" s="15" t="s">
        <v>28</v>
      </c>
      <c r="H204" s="15" t="s">
        <v>1022</v>
      </c>
      <c r="I204" s="15" t="s">
        <v>59</v>
      </c>
      <c r="J204" s="15" t="s">
        <v>31</v>
      </c>
      <c r="K204" s="15" t="s">
        <v>32</v>
      </c>
      <c r="L204" s="15" t="s">
        <v>174</v>
      </c>
      <c r="M204" s="15">
        <v>20</v>
      </c>
      <c r="N204" s="25">
        <v>8500</v>
      </c>
      <c r="O204" s="15">
        <v>0</v>
      </c>
      <c r="P204" s="25">
        <v>170000</v>
      </c>
      <c r="Q204" s="15">
        <v>4</v>
      </c>
      <c r="R204" s="15" t="s">
        <v>48</v>
      </c>
      <c r="S204" s="15" t="s">
        <v>61</v>
      </c>
      <c r="T204" s="15" t="s">
        <v>62</v>
      </c>
      <c r="U204" s="15">
        <v>9598942148</v>
      </c>
      <c r="V204" s="15" t="s">
        <v>69</v>
      </c>
      <c r="W204" s="29" t="str" cm="1">
        <f t="array" ref="W204">_xlfn.IFS(OR(V204="Cancelled", Q204&lt;=2), "Blacklisted", AND(P204&gt;=100000, Q204&gt;=4, O204&lt;=0.1, V204="Completed"), "Platinum", AND(P204&gt;=50000, P204&lt;=99999, Q204&gt;=3, V204="Completed"), "Gold", AND(Q204&lt;50000, V204="Completed"), "Silver", V204="Pending", "Pending")</f>
        <v>Blacklisted</v>
      </c>
    </row>
    <row r="205" spans="1:23" x14ac:dyDescent="0.5">
      <c r="A205" s="17" t="s">
        <v>1024</v>
      </c>
      <c r="B205" s="17" t="s">
        <v>127</v>
      </c>
      <c r="C205" s="17" t="s">
        <v>92</v>
      </c>
      <c r="D205" s="17" t="s">
        <v>298</v>
      </c>
      <c r="E205" s="17" t="s">
        <v>1025</v>
      </c>
      <c r="F205" s="15" t="s">
        <v>200</v>
      </c>
      <c r="G205" s="17" t="s">
        <v>76</v>
      </c>
      <c r="H205" s="17" t="s">
        <v>494</v>
      </c>
      <c r="I205" s="17" t="s">
        <v>212</v>
      </c>
      <c r="J205" s="17" t="s">
        <v>45</v>
      </c>
      <c r="K205" s="17" t="s">
        <v>32</v>
      </c>
      <c r="L205" s="17" t="s">
        <v>97</v>
      </c>
      <c r="M205" s="17">
        <v>6</v>
      </c>
      <c r="N205" s="26">
        <v>3500</v>
      </c>
      <c r="O205" s="17">
        <v>5</v>
      </c>
      <c r="P205" s="26">
        <v>19950</v>
      </c>
      <c r="Q205" s="17">
        <v>1</v>
      </c>
      <c r="R205" s="17" t="s">
        <v>34</v>
      </c>
      <c r="S205" s="17" t="s">
        <v>151</v>
      </c>
      <c r="T205" s="17" t="s">
        <v>132</v>
      </c>
      <c r="U205" s="17">
        <v>9599252705</v>
      </c>
      <c r="V205" s="17" t="s">
        <v>38</v>
      </c>
      <c r="W205" s="29" t="str" cm="1">
        <f t="array" ref="W205">_xlfn.IFS(OR(V205="Cancelled", Q205&lt;=2), "Blacklisted", AND(P205&gt;=100000, Q205&gt;=4, O205&lt;=0.1, V205="Completed"), "Platinum", AND(P205&gt;=50000, P205&lt;=99999, Q205&gt;=3, V205="Completed"), "Gold", AND(Q205&lt;50000, V205="Completed"), "Silver", V205="Pending", "Pending")</f>
        <v>Blacklisted</v>
      </c>
    </row>
    <row r="206" spans="1:23" x14ac:dyDescent="0.5">
      <c r="A206" s="15" t="s">
        <v>1027</v>
      </c>
      <c r="B206" s="15" t="s">
        <v>168</v>
      </c>
      <c r="C206" s="15" t="s">
        <v>259</v>
      </c>
      <c r="D206" s="15" t="s">
        <v>308</v>
      </c>
      <c r="E206" s="15" t="s">
        <v>281</v>
      </c>
      <c r="F206" s="15" t="s">
        <v>361</v>
      </c>
      <c r="G206" s="15" t="s">
        <v>28</v>
      </c>
      <c r="H206" s="15" t="s">
        <v>1028</v>
      </c>
      <c r="I206" s="15" t="s">
        <v>114</v>
      </c>
      <c r="J206" s="15" t="s">
        <v>106</v>
      </c>
      <c r="K206" s="15" t="s">
        <v>122</v>
      </c>
      <c r="L206" s="15" t="s">
        <v>263</v>
      </c>
      <c r="M206" s="15">
        <v>8</v>
      </c>
      <c r="N206" s="25">
        <v>45</v>
      </c>
      <c r="O206" s="15">
        <v>5</v>
      </c>
      <c r="P206" s="25">
        <v>342</v>
      </c>
      <c r="Q206" s="15">
        <v>2</v>
      </c>
      <c r="R206" s="15" t="s">
        <v>34</v>
      </c>
      <c r="S206" s="15" t="s">
        <v>49</v>
      </c>
      <c r="T206" s="15" t="s">
        <v>175</v>
      </c>
      <c r="U206" s="15">
        <v>9626843681</v>
      </c>
      <c r="V206" s="15" t="s">
        <v>64</v>
      </c>
      <c r="W206" s="29" t="str" cm="1">
        <f t="array" ref="W206">_xlfn.IFS(OR(V206="Cancelled", Q206&lt;=2), "Blacklisted", AND(P206&gt;=100000, Q206&gt;=4, O206&lt;=0.1, V206="Completed"), "Platinum", AND(P206&gt;=50000, P206&lt;=99999, Q206&gt;=3, V206="Completed"), "Gold", AND(Q206&lt;50000, V206="Completed"), "Silver", V206="Pending", "Pending")</f>
        <v>Blacklisted</v>
      </c>
    </row>
    <row r="207" spans="1:23" x14ac:dyDescent="0.5">
      <c r="A207" s="17" t="s">
        <v>1030</v>
      </c>
      <c r="B207" s="17" t="s">
        <v>327</v>
      </c>
      <c r="C207" s="17" t="s">
        <v>24</v>
      </c>
      <c r="D207" s="17" t="s">
        <v>414</v>
      </c>
      <c r="E207" s="17" t="s">
        <v>1031</v>
      </c>
      <c r="F207" s="15" t="s">
        <v>394</v>
      </c>
      <c r="G207" s="17" t="s">
        <v>76</v>
      </c>
      <c r="H207" s="17" t="s">
        <v>1032</v>
      </c>
      <c r="I207" s="17" t="s">
        <v>105</v>
      </c>
      <c r="J207" s="17" t="s">
        <v>106</v>
      </c>
      <c r="K207" s="17" t="s">
        <v>32</v>
      </c>
      <c r="L207" s="17" t="s">
        <v>33</v>
      </c>
      <c r="M207" s="17">
        <v>18</v>
      </c>
      <c r="N207" s="26">
        <v>2200</v>
      </c>
      <c r="O207" s="17">
        <v>15</v>
      </c>
      <c r="P207" s="26">
        <v>33660</v>
      </c>
      <c r="Q207" s="17">
        <v>4</v>
      </c>
      <c r="R207" s="17" t="s">
        <v>79</v>
      </c>
      <c r="S207" s="17" t="s">
        <v>61</v>
      </c>
      <c r="T207" s="17" t="s">
        <v>332</v>
      </c>
      <c r="U207" s="17">
        <v>9934933215</v>
      </c>
      <c r="V207" s="17" t="s">
        <v>64</v>
      </c>
      <c r="W207" s="29" t="str" cm="1">
        <f t="array" ref="W207">_xlfn.IFS(OR(V207="Cancelled", Q207&lt;=2), "Blacklisted", AND(P207&gt;=100000, Q207&gt;=4, O207&lt;=0.1, V207="Completed"), "Platinum", AND(P207&gt;=50000, P207&lt;=99999, Q207&gt;=3, V207="Completed"), "Gold", AND(Q207&lt;50000, V207="Completed"), "Silver", V207="Pending", "Pending")</f>
        <v>Pending</v>
      </c>
    </row>
    <row r="208" spans="1:23" x14ac:dyDescent="0.5">
      <c r="A208" s="15" t="s">
        <v>1034</v>
      </c>
      <c r="B208" s="15" t="s">
        <v>221</v>
      </c>
      <c r="C208" s="15" t="s">
        <v>184</v>
      </c>
      <c r="D208" s="15" t="s">
        <v>1035</v>
      </c>
      <c r="E208" s="15" t="s">
        <v>1005</v>
      </c>
      <c r="F208" s="15" t="s">
        <v>225</v>
      </c>
      <c r="G208" s="15" t="s">
        <v>76</v>
      </c>
      <c r="H208" s="15" t="s">
        <v>1036</v>
      </c>
      <c r="I208" s="15" t="s">
        <v>30</v>
      </c>
      <c r="J208" s="15" t="s">
        <v>31</v>
      </c>
      <c r="K208" s="15" t="s">
        <v>46</v>
      </c>
      <c r="L208" s="15" t="s">
        <v>189</v>
      </c>
      <c r="M208" s="15">
        <v>18</v>
      </c>
      <c r="N208" s="25">
        <v>700</v>
      </c>
      <c r="O208" s="15">
        <v>15</v>
      </c>
      <c r="P208" s="25">
        <v>10710</v>
      </c>
      <c r="Q208" s="15">
        <v>3</v>
      </c>
      <c r="R208" s="15" t="s">
        <v>79</v>
      </c>
      <c r="S208" s="15" t="s">
        <v>151</v>
      </c>
      <c r="T208" s="15" t="s">
        <v>228</v>
      </c>
      <c r="U208" s="15">
        <v>9508025585</v>
      </c>
      <c r="V208" s="15" t="s">
        <v>69</v>
      </c>
      <c r="W208" s="29" t="str" cm="1">
        <f t="array" ref="W208">_xlfn.IFS(OR(V208="Cancelled", Q208&lt;=2), "Blacklisted", AND(P208&gt;=100000, Q208&gt;=4, O208&lt;=0.1, V208="Completed"), "Platinum", AND(P208&gt;=50000, P208&lt;=99999, Q208&gt;=3, V208="Completed"), "Gold", AND(Q208&lt;50000, V208="Completed"), "Silver", V208="Pending", "Pending")</f>
        <v>Blacklisted</v>
      </c>
    </row>
    <row r="209" spans="1:23" x14ac:dyDescent="0.5">
      <c r="A209" s="17" t="s">
        <v>1038</v>
      </c>
      <c r="B209" s="17" t="s">
        <v>327</v>
      </c>
      <c r="C209" s="17" t="s">
        <v>54</v>
      </c>
      <c r="D209" s="17" t="s">
        <v>1039</v>
      </c>
      <c r="E209" s="17" t="s">
        <v>1040</v>
      </c>
      <c r="F209" s="15" t="s">
        <v>394</v>
      </c>
      <c r="G209" s="17" t="s">
        <v>76</v>
      </c>
      <c r="H209" s="17" t="s">
        <v>1041</v>
      </c>
      <c r="I209" s="17" t="s">
        <v>114</v>
      </c>
      <c r="J209" s="17" t="s">
        <v>106</v>
      </c>
      <c r="K209" s="17" t="s">
        <v>46</v>
      </c>
      <c r="L209" s="17" t="s">
        <v>60</v>
      </c>
      <c r="M209" s="17">
        <v>12</v>
      </c>
      <c r="N209" s="26">
        <v>55000</v>
      </c>
      <c r="O209" s="17">
        <v>0</v>
      </c>
      <c r="P209" s="26">
        <v>660000</v>
      </c>
      <c r="Q209" s="17">
        <v>2</v>
      </c>
      <c r="R209" s="17" t="s">
        <v>88</v>
      </c>
      <c r="S209" s="17" t="s">
        <v>49</v>
      </c>
      <c r="T209" s="17" t="s">
        <v>332</v>
      </c>
      <c r="U209" s="17">
        <v>9364681052</v>
      </c>
      <c r="V209" s="17" t="s">
        <v>69</v>
      </c>
      <c r="W209" s="29" t="str" cm="1">
        <f t="array" ref="W209">_xlfn.IFS(OR(V209="Cancelled", Q209&lt;=2), "Blacklisted", AND(P209&gt;=100000, Q209&gt;=4, O209&lt;=0.1, V209="Completed"), "Platinum", AND(P209&gt;=50000, P209&lt;=99999, Q209&gt;=3, V209="Completed"), "Gold", AND(Q209&lt;50000, V209="Completed"), "Silver", V209="Pending", "Pending")</f>
        <v>Blacklisted</v>
      </c>
    </row>
    <row r="210" spans="1:23" x14ac:dyDescent="0.5">
      <c r="A210" s="15" t="s">
        <v>1043</v>
      </c>
      <c r="B210" s="15" t="s">
        <v>23</v>
      </c>
      <c r="C210" s="15" t="s">
        <v>40</v>
      </c>
      <c r="D210" s="15" t="s">
        <v>502</v>
      </c>
      <c r="E210" s="15" t="s">
        <v>1044</v>
      </c>
      <c r="F210" s="15" t="s">
        <v>27</v>
      </c>
      <c r="G210" s="15" t="s">
        <v>28</v>
      </c>
      <c r="H210" s="15" t="s">
        <v>1045</v>
      </c>
      <c r="I210" s="15" t="s">
        <v>105</v>
      </c>
      <c r="J210" s="15" t="s">
        <v>106</v>
      </c>
      <c r="K210" s="15" t="s">
        <v>46</v>
      </c>
      <c r="L210" s="15" t="s">
        <v>47</v>
      </c>
      <c r="M210" s="15">
        <v>7</v>
      </c>
      <c r="N210" s="25">
        <v>12000</v>
      </c>
      <c r="O210" s="15">
        <v>5</v>
      </c>
      <c r="P210" s="25">
        <v>79800</v>
      </c>
      <c r="Q210" s="15">
        <v>3</v>
      </c>
      <c r="R210" s="15" t="s">
        <v>79</v>
      </c>
      <c r="S210" s="15" t="s">
        <v>151</v>
      </c>
      <c r="T210" s="15" t="s">
        <v>50</v>
      </c>
      <c r="U210" s="15">
        <v>9117102884</v>
      </c>
      <c r="V210" s="15" t="s">
        <v>64</v>
      </c>
      <c r="W210" s="29" t="str" cm="1">
        <f t="array" ref="W210">_xlfn.IFS(OR(V210="Cancelled", Q210&lt;=2), "Blacklisted", AND(P210&gt;=100000, Q210&gt;=4, O210&lt;=0.1, V210="Completed"), "Platinum", AND(P210&gt;=50000, P210&lt;=99999, Q210&gt;=3, V210="Completed"), "Gold", AND(Q210&lt;50000, V210="Completed"), "Silver", V210="Pending", "Pending")</f>
        <v>Pending</v>
      </c>
    </row>
    <row r="211" spans="1:23" x14ac:dyDescent="0.5">
      <c r="A211" s="17" t="s">
        <v>1047</v>
      </c>
      <c r="B211" s="17" t="s">
        <v>251</v>
      </c>
      <c r="C211" s="17" t="s">
        <v>40</v>
      </c>
      <c r="D211" s="17" t="s">
        <v>1048</v>
      </c>
      <c r="E211" s="17" t="s">
        <v>129</v>
      </c>
      <c r="F211" s="15" t="s">
        <v>254</v>
      </c>
      <c r="G211" s="17" t="s">
        <v>28</v>
      </c>
      <c r="H211" s="17" t="s">
        <v>1049</v>
      </c>
      <c r="I211" s="17" t="s">
        <v>105</v>
      </c>
      <c r="J211" s="17" t="s">
        <v>106</v>
      </c>
      <c r="K211" s="17" t="s">
        <v>46</v>
      </c>
      <c r="L211" s="17" t="s">
        <v>47</v>
      </c>
      <c r="M211" s="17">
        <v>8</v>
      </c>
      <c r="N211" s="26">
        <v>12000</v>
      </c>
      <c r="O211" s="17">
        <v>15</v>
      </c>
      <c r="P211" s="26">
        <v>81600</v>
      </c>
      <c r="Q211" s="17">
        <v>4</v>
      </c>
      <c r="R211" s="17" t="s">
        <v>79</v>
      </c>
      <c r="S211" s="17" t="s">
        <v>49</v>
      </c>
      <c r="T211" s="17" t="s">
        <v>256</v>
      </c>
      <c r="U211" s="17">
        <v>9819453185</v>
      </c>
      <c r="V211" s="17" t="s">
        <v>38</v>
      </c>
      <c r="W211" s="29" t="str" cm="1">
        <f t="array" ref="W211">_xlfn.IFS(OR(V211="Cancelled", Q211&lt;=2), "Blacklisted", AND(P211&gt;=100000, Q211&gt;=4, O211&lt;=0.1, V211="Completed"), "Platinum", AND(P211&gt;=50000, P211&lt;=99999, Q211&gt;=3, V211="Completed"), "Gold", AND(Q211&lt;50000, V211="Completed"), "Silver", V211="Pending", "Pending")</f>
        <v>Gold</v>
      </c>
    </row>
    <row r="212" spans="1:23" x14ac:dyDescent="0.5">
      <c r="A212" s="15" t="s">
        <v>1051</v>
      </c>
      <c r="B212" s="15" t="s">
        <v>327</v>
      </c>
      <c r="C212" s="15" t="s">
        <v>92</v>
      </c>
      <c r="D212" s="15" t="s">
        <v>788</v>
      </c>
      <c r="E212" s="15" t="s">
        <v>1052</v>
      </c>
      <c r="F212" s="15" t="s">
        <v>394</v>
      </c>
      <c r="G212" s="15" t="s">
        <v>76</v>
      </c>
      <c r="H212" s="15" t="s">
        <v>1053</v>
      </c>
      <c r="I212" s="15" t="s">
        <v>105</v>
      </c>
      <c r="J212" s="15" t="s">
        <v>106</v>
      </c>
      <c r="K212" s="15" t="s">
        <v>32</v>
      </c>
      <c r="L212" s="15" t="s">
        <v>97</v>
      </c>
      <c r="M212" s="15">
        <v>19</v>
      </c>
      <c r="N212" s="25">
        <v>3500</v>
      </c>
      <c r="O212" s="15">
        <v>5</v>
      </c>
      <c r="P212" s="25">
        <v>63175</v>
      </c>
      <c r="Q212" s="15">
        <v>3</v>
      </c>
      <c r="R212" s="15" t="s">
        <v>79</v>
      </c>
      <c r="S212" s="15" t="s">
        <v>61</v>
      </c>
      <c r="T212" s="15" t="s">
        <v>332</v>
      </c>
      <c r="U212" s="15">
        <v>9511806701</v>
      </c>
      <c r="V212" s="15" t="s">
        <v>64</v>
      </c>
      <c r="W212" s="29" t="str" cm="1">
        <f t="array" ref="W212">_xlfn.IFS(OR(V212="Cancelled", Q212&lt;=2), "Blacklisted", AND(P212&gt;=100000, Q212&gt;=4, O212&lt;=0.1, V212="Completed"), "Platinum", AND(P212&gt;=50000, P212&lt;=99999, Q212&gt;=3, V212="Completed"), "Gold", AND(Q212&lt;50000, V212="Completed"), "Silver", V212="Pending", "Pending")</f>
        <v>Pending</v>
      </c>
    </row>
    <row r="213" spans="1:23" x14ac:dyDescent="0.5">
      <c r="A213" s="17" t="s">
        <v>1055</v>
      </c>
      <c r="B213" s="17" t="s">
        <v>251</v>
      </c>
      <c r="C213" s="17" t="s">
        <v>259</v>
      </c>
      <c r="D213" s="17" t="s">
        <v>900</v>
      </c>
      <c r="E213" s="17" t="s">
        <v>987</v>
      </c>
      <c r="F213" s="15" t="s">
        <v>254</v>
      </c>
      <c r="G213" s="17" t="s">
        <v>28</v>
      </c>
      <c r="H213" s="17" t="s">
        <v>1056</v>
      </c>
      <c r="I213" s="17" t="s">
        <v>138</v>
      </c>
      <c r="J213" s="17" t="s">
        <v>106</v>
      </c>
      <c r="K213" s="17" t="s">
        <v>122</v>
      </c>
      <c r="L213" s="17" t="s">
        <v>263</v>
      </c>
      <c r="M213" s="17">
        <v>7</v>
      </c>
      <c r="N213" s="26">
        <v>45</v>
      </c>
      <c r="O213" s="17">
        <v>5</v>
      </c>
      <c r="P213" s="26">
        <v>299.25</v>
      </c>
      <c r="Q213" s="17">
        <v>3</v>
      </c>
      <c r="R213" s="17" t="s">
        <v>79</v>
      </c>
      <c r="S213" s="17" t="s">
        <v>35</v>
      </c>
      <c r="T213" s="17" t="s">
        <v>256</v>
      </c>
      <c r="U213" s="17">
        <v>9875249891</v>
      </c>
      <c r="V213" s="17" t="s">
        <v>69</v>
      </c>
      <c r="W213" s="29" t="str" cm="1">
        <f t="array" ref="W213">_xlfn.IFS(OR(V213="Cancelled", Q213&lt;=2), "Blacklisted", AND(P213&gt;=100000, Q213&gt;=4, O213&lt;=0.1, V213="Completed"), "Platinum", AND(P213&gt;=50000, P213&lt;=99999, Q213&gt;=3, V213="Completed"), "Gold", AND(Q213&lt;50000, V213="Completed"), "Silver", V213="Pending", "Pending")</f>
        <v>Blacklisted</v>
      </c>
    </row>
    <row r="214" spans="1:23" x14ac:dyDescent="0.5">
      <c r="A214" s="15" t="s">
        <v>1058</v>
      </c>
      <c r="B214" s="15" t="s">
        <v>23</v>
      </c>
      <c r="C214" s="15" t="s">
        <v>118</v>
      </c>
      <c r="D214" s="15" t="s">
        <v>684</v>
      </c>
      <c r="E214" s="15" t="s">
        <v>750</v>
      </c>
      <c r="F214" s="15" t="s">
        <v>27</v>
      </c>
      <c r="G214" s="15" t="s">
        <v>28</v>
      </c>
      <c r="H214" s="15" t="s">
        <v>331</v>
      </c>
      <c r="I214" s="15" t="s">
        <v>30</v>
      </c>
      <c r="J214" s="15" t="s">
        <v>31</v>
      </c>
      <c r="K214" s="15" t="s">
        <v>122</v>
      </c>
      <c r="L214" s="15" t="s">
        <v>123</v>
      </c>
      <c r="M214" s="15">
        <v>3</v>
      </c>
      <c r="N214" s="25">
        <v>60</v>
      </c>
      <c r="O214" s="15">
        <v>15</v>
      </c>
      <c r="P214" s="25">
        <v>153</v>
      </c>
      <c r="Q214" s="15">
        <v>3</v>
      </c>
      <c r="R214" s="15" t="s">
        <v>48</v>
      </c>
      <c r="S214" s="15" t="s">
        <v>49</v>
      </c>
      <c r="T214" s="15" t="s">
        <v>50</v>
      </c>
      <c r="U214" s="15">
        <v>9438232503</v>
      </c>
      <c r="V214" s="15" t="s">
        <v>69</v>
      </c>
      <c r="W214" s="29" t="str" cm="1">
        <f t="array" ref="W214">_xlfn.IFS(OR(V214="Cancelled", Q214&lt;=2), "Blacklisted", AND(P214&gt;=100000, Q214&gt;=4, O214&lt;=0.1, V214="Completed"), "Platinum", AND(P214&gt;=50000, P214&lt;=99999, Q214&gt;=3, V214="Completed"), "Gold", AND(Q214&lt;50000, V214="Completed"), "Silver", V214="Pending", "Pending")</f>
        <v>Blacklisted</v>
      </c>
    </row>
    <row r="215" spans="1:23" x14ac:dyDescent="0.5">
      <c r="A215" s="17" t="s">
        <v>1060</v>
      </c>
      <c r="B215" s="17" t="s">
        <v>53</v>
      </c>
      <c r="C215" s="17" t="s">
        <v>259</v>
      </c>
      <c r="D215" s="17" t="s">
        <v>1061</v>
      </c>
      <c r="E215" s="17" t="s">
        <v>582</v>
      </c>
      <c r="F215" s="15" t="s">
        <v>163</v>
      </c>
      <c r="G215" s="17" t="s">
        <v>28</v>
      </c>
      <c r="H215" s="17" t="s">
        <v>1062</v>
      </c>
      <c r="I215" s="17" t="s">
        <v>114</v>
      </c>
      <c r="J215" s="17" t="s">
        <v>106</v>
      </c>
      <c r="K215" s="17" t="s">
        <v>122</v>
      </c>
      <c r="L215" s="17" t="s">
        <v>263</v>
      </c>
      <c r="M215" s="17">
        <v>19</v>
      </c>
      <c r="N215" s="26">
        <v>45</v>
      </c>
      <c r="O215" s="17">
        <v>0</v>
      </c>
      <c r="P215" s="26">
        <v>855</v>
      </c>
      <c r="Q215" s="17">
        <v>2</v>
      </c>
      <c r="R215" s="17" t="s">
        <v>34</v>
      </c>
      <c r="S215" s="17" t="s">
        <v>61</v>
      </c>
      <c r="T215" s="17" t="s">
        <v>62</v>
      </c>
      <c r="U215" s="17">
        <v>9449953754</v>
      </c>
      <c r="V215" s="17" t="s">
        <v>38</v>
      </c>
      <c r="W215" s="29" t="str" cm="1">
        <f t="array" ref="W215">_xlfn.IFS(OR(V215="Cancelled", Q215&lt;=2), "Blacklisted", AND(P215&gt;=100000, Q215&gt;=4, O215&lt;=0.1, V215="Completed"), "Platinum", AND(P215&gt;=50000, P215&lt;=99999, Q215&gt;=3, V215="Completed"), "Gold", AND(Q215&lt;50000, V215="Completed"), "Silver", V215="Pending", "Pending")</f>
        <v>Blacklisted</v>
      </c>
    </row>
    <row r="216" spans="1:23" x14ac:dyDescent="0.5">
      <c r="A216" s="15" t="s">
        <v>1064</v>
      </c>
      <c r="B216" s="15" t="s">
        <v>100</v>
      </c>
      <c r="C216" s="15" t="s">
        <v>40</v>
      </c>
      <c r="D216" s="15" t="s">
        <v>1065</v>
      </c>
      <c r="E216" s="15" t="s">
        <v>543</v>
      </c>
      <c r="F216" s="15" t="s">
        <v>103</v>
      </c>
      <c r="G216" s="15" t="s">
        <v>28</v>
      </c>
      <c r="H216" s="15" t="s">
        <v>1066</v>
      </c>
      <c r="I216" s="15" t="s">
        <v>59</v>
      </c>
      <c r="J216" s="15" t="s">
        <v>31</v>
      </c>
      <c r="K216" s="15" t="s">
        <v>46</v>
      </c>
      <c r="L216" s="15" t="s">
        <v>47</v>
      </c>
      <c r="M216" s="15">
        <v>10</v>
      </c>
      <c r="N216" s="25">
        <v>12000</v>
      </c>
      <c r="O216" s="15">
        <v>5</v>
      </c>
      <c r="P216" s="25">
        <v>114000</v>
      </c>
      <c r="Q216" s="15">
        <v>1</v>
      </c>
      <c r="R216" s="15" t="s">
        <v>79</v>
      </c>
      <c r="S216" s="15" t="s">
        <v>115</v>
      </c>
      <c r="T216" s="15" t="s">
        <v>144</v>
      </c>
      <c r="U216" s="15">
        <v>9833801891</v>
      </c>
      <c r="V216" s="15" t="s">
        <v>69</v>
      </c>
      <c r="W216" s="29" t="str" cm="1">
        <f t="array" ref="W216">_xlfn.IFS(OR(V216="Cancelled", Q216&lt;=2), "Blacklisted", AND(P216&gt;=100000, Q216&gt;=4, O216&lt;=0.1, V216="Completed"), "Platinum", AND(P216&gt;=50000, P216&lt;=99999, Q216&gt;=3, V216="Completed"), "Gold", AND(Q216&lt;50000, V216="Completed"), "Silver", V216="Pending", "Pending")</f>
        <v>Blacklisted</v>
      </c>
    </row>
    <row r="217" spans="1:23" x14ac:dyDescent="0.5">
      <c r="A217" s="17" t="s">
        <v>1068</v>
      </c>
      <c r="B217" s="17" t="s">
        <v>23</v>
      </c>
      <c r="C217" s="17" t="s">
        <v>72</v>
      </c>
      <c r="D217" s="17" t="s">
        <v>1069</v>
      </c>
      <c r="E217" s="17" t="s">
        <v>1031</v>
      </c>
      <c r="F217" s="15" t="s">
        <v>27</v>
      </c>
      <c r="G217" s="17" t="s">
        <v>28</v>
      </c>
      <c r="H217" s="17" t="s">
        <v>1070</v>
      </c>
      <c r="I217" s="17" t="s">
        <v>294</v>
      </c>
      <c r="J217" s="17" t="s">
        <v>295</v>
      </c>
      <c r="K217" s="17" t="s">
        <v>46</v>
      </c>
      <c r="L217" s="17" t="s">
        <v>78</v>
      </c>
      <c r="M217" s="17">
        <v>4</v>
      </c>
      <c r="N217" s="26">
        <v>1200</v>
      </c>
      <c r="O217" s="17">
        <v>0</v>
      </c>
      <c r="P217" s="26">
        <v>4800</v>
      </c>
      <c r="Q217" s="17">
        <v>4</v>
      </c>
      <c r="R217" s="17" t="s">
        <v>34</v>
      </c>
      <c r="S217" s="17" t="s">
        <v>61</v>
      </c>
      <c r="T217" s="17" t="s">
        <v>50</v>
      </c>
      <c r="U217" s="17">
        <v>9183949273</v>
      </c>
      <c r="V217" s="17" t="s">
        <v>38</v>
      </c>
      <c r="W217" s="29" t="str" cm="1">
        <f t="array" ref="W217">_xlfn.IFS(OR(V217="Cancelled", Q217&lt;=2), "Blacklisted", AND(P217&gt;=100000, Q217&gt;=4, O217&lt;=0.1, V217="Completed"), "Platinum", AND(P217&gt;=50000, P217&lt;=99999, Q217&gt;=3, V217="Completed"), "Gold", AND(Q217&lt;50000, V217="Completed"), "Silver", V217="Pending", "Pending")</f>
        <v>Silver</v>
      </c>
    </row>
    <row r="218" spans="1:23" x14ac:dyDescent="0.5">
      <c r="A218" s="15" t="s">
        <v>1072</v>
      </c>
      <c r="B218" s="15" t="s">
        <v>221</v>
      </c>
      <c r="C218" s="15" t="s">
        <v>169</v>
      </c>
      <c r="D218" s="15" t="s">
        <v>531</v>
      </c>
      <c r="E218" s="15" t="s">
        <v>1073</v>
      </c>
      <c r="F218" s="15" t="s">
        <v>225</v>
      </c>
      <c r="G218" s="15" t="s">
        <v>76</v>
      </c>
      <c r="H218" s="15" t="s">
        <v>1074</v>
      </c>
      <c r="I218" s="15" t="s">
        <v>59</v>
      </c>
      <c r="J218" s="15" t="s">
        <v>31</v>
      </c>
      <c r="K218" s="15" t="s">
        <v>32</v>
      </c>
      <c r="L218" s="15" t="s">
        <v>174</v>
      </c>
      <c r="M218" s="15">
        <v>2</v>
      </c>
      <c r="N218" s="25">
        <v>8500</v>
      </c>
      <c r="O218" s="15">
        <v>20</v>
      </c>
      <c r="P218" s="25">
        <v>13600</v>
      </c>
      <c r="Q218" s="15">
        <v>3</v>
      </c>
      <c r="R218" s="15" t="s">
        <v>79</v>
      </c>
      <c r="S218" s="15" t="s">
        <v>151</v>
      </c>
      <c r="T218" s="15" t="s">
        <v>228</v>
      </c>
      <c r="U218" s="15">
        <v>9168257367</v>
      </c>
      <c r="V218" s="15" t="s">
        <v>38</v>
      </c>
      <c r="W218" s="29" t="str" cm="1">
        <f t="array" ref="W218">_xlfn.IFS(OR(V218="Cancelled", Q218&lt;=2), "Blacklisted", AND(P218&gt;=100000, Q218&gt;=4, O218&lt;=0.1, V218="Completed"), "Platinum", AND(P218&gt;=50000, P218&lt;=99999, Q218&gt;=3, V218="Completed"), "Gold", AND(Q218&lt;50000, V218="Completed"), "Silver", V218="Pending", "Pending")</f>
        <v>Silver</v>
      </c>
    </row>
    <row r="219" spans="1:23" x14ac:dyDescent="0.5">
      <c r="A219" s="17" t="s">
        <v>1076</v>
      </c>
      <c r="B219" s="17" t="s">
        <v>83</v>
      </c>
      <c r="C219" s="17" t="s">
        <v>184</v>
      </c>
      <c r="D219" s="17" t="s">
        <v>1077</v>
      </c>
      <c r="E219" s="17" t="s">
        <v>322</v>
      </c>
      <c r="F219" s="15" t="s">
        <v>180</v>
      </c>
      <c r="G219" s="17" t="s">
        <v>76</v>
      </c>
      <c r="H219" s="17" t="s">
        <v>1078</v>
      </c>
      <c r="I219" s="17" t="s">
        <v>294</v>
      </c>
      <c r="J219" s="17" t="s">
        <v>295</v>
      </c>
      <c r="K219" s="17" t="s">
        <v>46</v>
      </c>
      <c r="L219" s="17" t="s">
        <v>189</v>
      </c>
      <c r="M219" s="17">
        <v>7</v>
      </c>
      <c r="N219" s="26">
        <v>700</v>
      </c>
      <c r="O219" s="17">
        <v>20</v>
      </c>
      <c r="P219" s="26">
        <v>3920</v>
      </c>
      <c r="Q219" s="17">
        <v>2</v>
      </c>
      <c r="R219" s="17" t="s">
        <v>79</v>
      </c>
      <c r="S219" s="17" t="s">
        <v>151</v>
      </c>
      <c r="T219" s="17" t="s">
        <v>89</v>
      </c>
      <c r="U219" s="17">
        <v>9580903210</v>
      </c>
      <c r="V219" s="17" t="s">
        <v>64</v>
      </c>
      <c r="W219" s="29" t="str" cm="1">
        <f t="array" ref="W219">_xlfn.IFS(OR(V219="Cancelled", Q219&lt;=2), "Blacklisted", AND(P219&gt;=100000, Q219&gt;=4, O219&lt;=0.1, V219="Completed"), "Platinum", AND(P219&gt;=50000, P219&lt;=99999, Q219&gt;=3, V219="Completed"), "Gold", AND(Q219&lt;50000, V219="Completed"), "Silver", V219="Pending", "Pending")</f>
        <v>Blacklisted</v>
      </c>
    </row>
    <row r="220" spans="1:23" x14ac:dyDescent="0.5">
      <c r="A220" s="15" t="s">
        <v>1080</v>
      </c>
      <c r="B220" s="15" t="s">
        <v>53</v>
      </c>
      <c r="C220" s="15" t="s">
        <v>222</v>
      </c>
      <c r="D220" s="15" t="s">
        <v>1081</v>
      </c>
      <c r="E220" s="15" t="s">
        <v>518</v>
      </c>
      <c r="F220" s="15" t="s">
        <v>163</v>
      </c>
      <c r="G220" s="15" t="s">
        <v>28</v>
      </c>
      <c r="H220" s="15" t="s">
        <v>1082</v>
      </c>
      <c r="I220" s="15" t="s">
        <v>114</v>
      </c>
      <c r="J220" s="15" t="s">
        <v>106</v>
      </c>
      <c r="K220" s="15" t="s">
        <v>122</v>
      </c>
      <c r="L220" s="15" t="s">
        <v>227</v>
      </c>
      <c r="M220" s="15">
        <v>9</v>
      </c>
      <c r="N220" s="25">
        <v>20</v>
      </c>
      <c r="O220" s="15">
        <v>15</v>
      </c>
      <c r="P220" s="25">
        <v>153</v>
      </c>
      <c r="Q220" s="15">
        <v>3</v>
      </c>
      <c r="R220" s="15" t="s">
        <v>48</v>
      </c>
      <c r="S220" s="15" t="s">
        <v>115</v>
      </c>
      <c r="T220" s="15" t="s">
        <v>62</v>
      </c>
      <c r="U220" s="15">
        <v>9602152945</v>
      </c>
      <c r="V220" s="15" t="s">
        <v>38</v>
      </c>
      <c r="W220" s="29" t="str" cm="1">
        <f t="array" ref="W220">_xlfn.IFS(OR(V220="Cancelled", Q220&lt;=2), "Blacklisted", AND(P220&gt;=100000, Q220&gt;=4, O220&lt;=0.1, V220="Completed"), "Platinum", AND(P220&gt;=50000, P220&lt;=99999, Q220&gt;=3, V220="Completed"), "Gold", AND(Q220&lt;50000, V220="Completed"), "Silver", V220="Pending", "Pending")</f>
        <v>Silver</v>
      </c>
    </row>
    <row r="221" spans="1:23" x14ac:dyDescent="0.5">
      <c r="A221" s="17" t="s">
        <v>1084</v>
      </c>
      <c r="B221" s="17" t="s">
        <v>100</v>
      </c>
      <c r="C221" s="17" t="s">
        <v>169</v>
      </c>
      <c r="D221" s="17" t="s">
        <v>1085</v>
      </c>
      <c r="E221" s="17" t="s">
        <v>1086</v>
      </c>
      <c r="F221" s="15" t="s">
        <v>103</v>
      </c>
      <c r="G221" s="17" t="s">
        <v>28</v>
      </c>
      <c r="H221" s="17" t="s">
        <v>1087</v>
      </c>
      <c r="I221" s="17" t="s">
        <v>294</v>
      </c>
      <c r="J221" s="17" t="s">
        <v>295</v>
      </c>
      <c r="K221" s="17" t="s">
        <v>32</v>
      </c>
      <c r="L221" s="17" t="s">
        <v>174</v>
      </c>
      <c r="M221" s="17">
        <v>16</v>
      </c>
      <c r="N221" s="26">
        <v>8500</v>
      </c>
      <c r="O221" s="17">
        <v>0</v>
      </c>
      <c r="P221" s="26">
        <v>136000</v>
      </c>
      <c r="Q221" s="17">
        <v>4</v>
      </c>
      <c r="R221" s="17" t="s">
        <v>48</v>
      </c>
      <c r="S221" s="17" t="s">
        <v>35</v>
      </c>
      <c r="T221" s="17" t="s">
        <v>144</v>
      </c>
      <c r="U221" s="17">
        <v>9646917552</v>
      </c>
      <c r="V221" s="17" t="s">
        <v>38</v>
      </c>
      <c r="W221" s="29" t="str" cm="1">
        <f t="array" ref="W221">_xlfn.IFS(OR(V221="Cancelled", Q221&lt;=2), "Blacklisted", AND(P221&gt;=100000, Q221&gt;=4, O221&lt;=0.1, V221="Completed"), "Platinum", AND(P221&gt;=50000, P221&lt;=99999, Q221&gt;=3, V221="Completed"), "Gold", AND(Q221&lt;50000, V221="Completed"), "Silver", V221="Pending", "Pending")</f>
        <v>Platinum</v>
      </c>
    </row>
    <row r="222" spans="1:23" x14ac:dyDescent="0.5">
      <c r="A222" s="15" t="s">
        <v>1089</v>
      </c>
      <c r="B222" s="15" t="s">
        <v>251</v>
      </c>
      <c r="C222" s="15" t="s">
        <v>92</v>
      </c>
      <c r="D222" s="15" t="s">
        <v>544</v>
      </c>
      <c r="E222" s="15" t="s">
        <v>1090</v>
      </c>
      <c r="F222" s="15" t="s">
        <v>254</v>
      </c>
      <c r="G222" s="15" t="s">
        <v>28</v>
      </c>
      <c r="H222" s="15" t="s">
        <v>1091</v>
      </c>
      <c r="I222" s="15" t="s">
        <v>44</v>
      </c>
      <c r="J222" s="15" t="s">
        <v>45</v>
      </c>
      <c r="K222" s="15" t="s">
        <v>32</v>
      </c>
      <c r="L222" s="15" t="s">
        <v>97</v>
      </c>
      <c r="M222" s="15">
        <v>10</v>
      </c>
      <c r="N222" s="25">
        <v>3500</v>
      </c>
      <c r="O222" s="15">
        <v>5</v>
      </c>
      <c r="P222" s="25">
        <v>33250</v>
      </c>
      <c r="Q222" s="15">
        <v>3</v>
      </c>
      <c r="R222" s="15" t="s">
        <v>48</v>
      </c>
      <c r="S222" s="15" t="s">
        <v>115</v>
      </c>
      <c r="T222" s="15" t="s">
        <v>256</v>
      </c>
      <c r="U222" s="15">
        <v>9127548552</v>
      </c>
      <c r="V222" s="15" t="s">
        <v>38</v>
      </c>
      <c r="W222" s="29" t="str" cm="1">
        <f t="array" ref="W222">_xlfn.IFS(OR(V222="Cancelled", Q222&lt;=2), "Blacklisted", AND(P222&gt;=100000, Q222&gt;=4, O222&lt;=0.1, V222="Completed"), "Platinum", AND(P222&gt;=50000, P222&lt;=99999, Q222&gt;=3, V222="Completed"), "Gold", AND(Q222&lt;50000, V222="Completed"), "Silver", V222="Pending", "Pending")</f>
        <v>Silver</v>
      </c>
    </row>
    <row r="223" spans="1:23" x14ac:dyDescent="0.5">
      <c r="A223" s="17" t="s">
        <v>1093</v>
      </c>
      <c r="B223" s="17" t="s">
        <v>53</v>
      </c>
      <c r="C223" s="17" t="s">
        <v>40</v>
      </c>
      <c r="D223" s="17" t="s">
        <v>1094</v>
      </c>
      <c r="E223" s="17" t="s">
        <v>588</v>
      </c>
      <c r="F223" s="15" t="s">
        <v>163</v>
      </c>
      <c r="G223" s="17" t="s">
        <v>28</v>
      </c>
      <c r="H223" s="17" t="s">
        <v>1095</v>
      </c>
      <c r="I223" s="17" t="s">
        <v>294</v>
      </c>
      <c r="J223" s="17" t="s">
        <v>295</v>
      </c>
      <c r="K223" s="17" t="s">
        <v>46</v>
      </c>
      <c r="L223" s="17" t="s">
        <v>47</v>
      </c>
      <c r="M223" s="17">
        <v>1</v>
      </c>
      <c r="N223" s="26">
        <v>12000</v>
      </c>
      <c r="O223" s="17">
        <v>0</v>
      </c>
      <c r="P223" s="26">
        <v>12000</v>
      </c>
      <c r="Q223" s="17">
        <v>5</v>
      </c>
      <c r="R223" s="17" t="s">
        <v>88</v>
      </c>
      <c r="S223" s="17" t="s">
        <v>115</v>
      </c>
      <c r="T223" s="17" t="s">
        <v>62</v>
      </c>
      <c r="U223" s="17">
        <v>9712805603</v>
      </c>
      <c r="V223" s="17" t="s">
        <v>64</v>
      </c>
      <c r="W223" s="29" t="str" cm="1">
        <f t="array" ref="W223">_xlfn.IFS(OR(V223="Cancelled", Q223&lt;=2), "Blacklisted", AND(P223&gt;=100000, Q223&gt;=4, O223&lt;=0.1, V223="Completed"), "Platinum", AND(P223&gt;=50000, P223&lt;=99999, Q223&gt;=3, V223="Completed"), "Gold", AND(Q223&lt;50000, V223="Completed"), "Silver", V223="Pending", "Pending")</f>
        <v>Pending</v>
      </c>
    </row>
    <row r="224" spans="1:23" x14ac:dyDescent="0.5">
      <c r="A224" s="15" t="s">
        <v>1097</v>
      </c>
      <c r="B224" s="15" t="s">
        <v>327</v>
      </c>
      <c r="C224" s="15" t="s">
        <v>259</v>
      </c>
      <c r="D224" s="15" t="s">
        <v>1098</v>
      </c>
      <c r="E224" s="15" t="s">
        <v>601</v>
      </c>
      <c r="F224" s="15" t="s">
        <v>394</v>
      </c>
      <c r="G224" s="15" t="s">
        <v>76</v>
      </c>
      <c r="H224" s="15" t="s">
        <v>1099</v>
      </c>
      <c r="I224" s="15" t="s">
        <v>294</v>
      </c>
      <c r="J224" s="15" t="s">
        <v>295</v>
      </c>
      <c r="K224" s="15" t="s">
        <v>122</v>
      </c>
      <c r="L224" s="15" t="s">
        <v>263</v>
      </c>
      <c r="M224" s="15">
        <v>19</v>
      </c>
      <c r="N224" s="25">
        <v>45</v>
      </c>
      <c r="O224" s="15">
        <v>15</v>
      </c>
      <c r="P224" s="25">
        <v>726.75</v>
      </c>
      <c r="Q224" s="15">
        <v>2</v>
      </c>
      <c r="R224" s="15" t="s">
        <v>88</v>
      </c>
      <c r="S224" s="15" t="s">
        <v>151</v>
      </c>
      <c r="T224" s="15" t="s">
        <v>332</v>
      </c>
      <c r="U224" s="15">
        <v>9798313682</v>
      </c>
      <c r="V224" s="15" t="s">
        <v>64</v>
      </c>
      <c r="W224" s="29" t="str" cm="1">
        <f t="array" ref="W224">_xlfn.IFS(OR(V224="Cancelled", Q224&lt;=2), "Blacklisted", AND(P224&gt;=100000, Q224&gt;=4, O224&lt;=0.1, V224="Completed"), "Platinum", AND(P224&gt;=50000, P224&lt;=99999, Q224&gt;=3, V224="Completed"), "Gold", AND(Q224&lt;50000, V224="Completed"), "Silver", V224="Pending", "Pending")</f>
        <v>Blacklisted</v>
      </c>
    </row>
    <row r="225" spans="1:23" x14ac:dyDescent="0.5">
      <c r="A225" s="17" t="s">
        <v>1101</v>
      </c>
      <c r="B225" s="17" t="s">
        <v>23</v>
      </c>
      <c r="C225" s="17" t="s">
        <v>54</v>
      </c>
      <c r="D225" s="17" t="s">
        <v>531</v>
      </c>
      <c r="E225" s="17" t="s">
        <v>1102</v>
      </c>
      <c r="F225" s="15" t="s">
        <v>27</v>
      </c>
      <c r="G225" s="17" t="s">
        <v>28</v>
      </c>
      <c r="H225" s="17" t="s">
        <v>1103</v>
      </c>
      <c r="I225" s="17" t="s">
        <v>44</v>
      </c>
      <c r="J225" s="17" t="s">
        <v>45</v>
      </c>
      <c r="K225" s="17" t="s">
        <v>46</v>
      </c>
      <c r="L225" s="17" t="s">
        <v>60</v>
      </c>
      <c r="M225" s="17">
        <v>13</v>
      </c>
      <c r="N225" s="26">
        <v>55000</v>
      </c>
      <c r="O225" s="17">
        <v>5</v>
      </c>
      <c r="P225" s="26">
        <v>679250</v>
      </c>
      <c r="Q225" s="17">
        <v>4</v>
      </c>
      <c r="R225" s="17" t="s">
        <v>79</v>
      </c>
      <c r="S225" s="17" t="s">
        <v>49</v>
      </c>
      <c r="T225" s="17" t="s">
        <v>50</v>
      </c>
      <c r="U225" s="17">
        <v>9642822397</v>
      </c>
      <c r="V225" s="17" t="s">
        <v>69</v>
      </c>
      <c r="W225" s="29" t="str" cm="1">
        <f t="array" ref="W225">_xlfn.IFS(OR(V225="Cancelled", Q225&lt;=2), "Blacklisted", AND(P225&gt;=100000, Q225&gt;=4, O225&lt;=0.1, V225="Completed"), "Platinum", AND(P225&gt;=50000, P225&lt;=99999, Q225&gt;=3, V225="Completed"), "Gold", AND(Q225&lt;50000, V225="Completed"), "Silver", V225="Pending", "Pending")</f>
        <v>Blacklisted</v>
      </c>
    </row>
    <row r="226" spans="1:23" x14ac:dyDescent="0.5">
      <c r="A226" s="15" t="s">
        <v>1105</v>
      </c>
      <c r="B226" s="15" t="s">
        <v>83</v>
      </c>
      <c r="C226" s="15" t="s">
        <v>259</v>
      </c>
      <c r="D226" s="15" t="s">
        <v>1106</v>
      </c>
      <c r="E226" s="15" t="s">
        <v>155</v>
      </c>
      <c r="F226" s="15" t="s">
        <v>180</v>
      </c>
      <c r="G226" s="15" t="s">
        <v>76</v>
      </c>
      <c r="H226" s="15" t="s">
        <v>1107</v>
      </c>
      <c r="I226" s="15" t="s">
        <v>105</v>
      </c>
      <c r="J226" s="15" t="s">
        <v>106</v>
      </c>
      <c r="K226" s="15" t="s">
        <v>122</v>
      </c>
      <c r="L226" s="15" t="s">
        <v>263</v>
      </c>
      <c r="M226" s="15">
        <v>2</v>
      </c>
      <c r="N226" s="25">
        <v>45</v>
      </c>
      <c r="O226" s="15">
        <v>15</v>
      </c>
      <c r="P226" s="25">
        <v>76.5</v>
      </c>
      <c r="Q226" s="15">
        <v>1</v>
      </c>
      <c r="R226" s="15" t="s">
        <v>48</v>
      </c>
      <c r="S226" s="15" t="s">
        <v>115</v>
      </c>
      <c r="T226" s="15" t="s">
        <v>89</v>
      </c>
      <c r="U226" s="15">
        <v>9490067655</v>
      </c>
      <c r="V226" s="15" t="s">
        <v>38</v>
      </c>
      <c r="W226" s="29" t="str" cm="1">
        <f t="array" ref="W226">_xlfn.IFS(OR(V226="Cancelled", Q226&lt;=2), "Blacklisted", AND(P226&gt;=100000, Q226&gt;=4, O226&lt;=0.1, V226="Completed"), "Platinum", AND(P226&gt;=50000, P226&lt;=99999, Q226&gt;=3, V226="Completed"), "Gold", AND(Q226&lt;50000, V226="Completed"), "Silver", V226="Pending", "Pending")</f>
        <v>Blacklisted</v>
      </c>
    </row>
    <row r="227" spans="1:23" x14ac:dyDescent="0.5">
      <c r="A227" s="17" t="s">
        <v>1109</v>
      </c>
      <c r="B227" s="17" t="s">
        <v>100</v>
      </c>
      <c r="C227" s="17" t="s">
        <v>222</v>
      </c>
      <c r="D227" s="17" t="s">
        <v>303</v>
      </c>
      <c r="E227" s="17" t="s">
        <v>1110</v>
      </c>
      <c r="F227" s="15" t="s">
        <v>103</v>
      </c>
      <c r="G227" s="17" t="s">
        <v>28</v>
      </c>
      <c r="H227" s="17" t="s">
        <v>1111</v>
      </c>
      <c r="I227" s="17" t="s">
        <v>30</v>
      </c>
      <c r="J227" s="17" t="s">
        <v>31</v>
      </c>
      <c r="K227" s="17" t="s">
        <v>122</v>
      </c>
      <c r="L227" s="17" t="s">
        <v>227</v>
      </c>
      <c r="M227" s="17">
        <v>8</v>
      </c>
      <c r="N227" s="26">
        <v>20</v>
      </c>
      <c r="O227" s="17">
        <v>15</v>
      </c>
      <c r="P227" s="26">
        <v>136</v>
      </c>
      <c r="Q227" s="17">
        <v>1</v>
      </c>
      <c r="R227" s="17" t="s">
        <v>79</v>
      </c>
      <c r="S227" s="17" t="s">
        <v>35</v>
      </c>
      <c r="T227" s="17" t="s">
        <v>144</v>
      </c>
      <c r="U227" s="17">
        <v>9389792144</v>
      </c>
      <c r="V227" s="17" t="s">
        <v>64</v>
      </c>
      <c r="W227" s="29" t="str" cm="1">
        <f t="array" ref="W227">_xlfn.IFS(OR(V227="Cancelled", Q227&lt;=2), "Blacklisted", AND(P227&gt;=100000, Q227&gt;=4, O227&lt;=0.1, V227="Completed"), "Platinum", AND(P227&gt;=50000, P227&lt;=99999, Q227&gt;=3, V227="Completed"), "Gold", AND(Q227&lt;50000, V227="Completed"), "Silver", V227="Pending", "Pending")</f>
        <v>Blacklisted</v>
      </c>
    </row>
    <row r="228" spans="1:23" x14ac:dyDescent="0.5">
      <c r="A228" s="15" t="s">
        <v>1113</v>
      </c>
      <c r="B228" s="15" t="s">
        <v>168</v>
      </c>
      <c r="C228" s="15" t="s">
        <v>40</v>
      </c>
      <c r="D228" s="15" t="s">
        <v>1114</v>
      </c>
      <c r="E228" s="15" t="s">
        <v>1115</v>
      </c>
      <c r="F228" s="15" t="s">
        <v>361</v>
      </c>
      <c r="G228" s="15" t="s">
        <v>28</v>
      </c>
      <c r="H228" s="15" t="s">
        <v>1116</v>
      </c>
      <c r="I228" s="15" t="s">
        <v>30</v>
      </c>
      <c r="J228" s="15" t="s">
        <v>31</v>
      </c>
      <c r="K228" s="15" t="s">
        <v>46</v>
      </c>
      <c r="L228" s="15" t="s">
        <v>47</v>
      </c>
      <c r="M228" s="15">
        <v>9</v>
      </c>
      <c r="N228" s="25">
        <v>12000</v>
      </c>
      <c r="O228" s="15">
        <v>5</v>
      </c>
      <c r="P228" s="25">
        <v>102600</v>
      </c>
      <c r="Q228" s="15">
        <v>2</v>
      </c>
      <c r="R228" s="15" t="s">
        <v>79</v>
      </c>
      <c r="S228" s="15" t="s">
        <v>35</v>
      </c>
      <c r="T228" s="15" t="s">
        <v>175</v>
      </c>
      <c r="U228" s="15">
        <v>9736113863</v>
      </c>
      <c r="V228" s="15" t="s">
        <v>69</v>
      </c>
      <c r="W228" s="29" t="str" cm="1">
        <f t="array" ref="W228">_xlfn.IFS(OR(V228="Cancelled", Q228&lt;=2), "Blacklisted", AND(P228&gt;=100000, Q228&gt;=4, O228&lt;=0.1, V228="Completed"), "Platinum", AND(P228&gt;=50000, P228&lt;=99999, Q228&gt;=3, V228="Completed"), "Gold", AND(Q228&lt;50000, V228="Completed"), "Silver", V228="Pending", "Pending")</f>
        <v>Blacklisted</v>
      </c>
    </row>
    <row r="229" spans="1:23" x14ac:dyDescent="0.5">
      <c r="A229" s="17" t="s">
        <v>1118</v>
      </c>
      <c r="B229" s="17" t="s">
        <v>71</v>
      </c>
      <c r="C229" s="17" t="s">
        <v>92</v>
      </c>
      <c r="D229" s="17" t="s">
        <v>1119</v>
      </c>
      <c r="E229" s="17" t="s">
        <v>1120</v>
      </c>
      <c r="F229" s="15" t="s">
        <v>217</v>
      </c>
      <c r="G229" s="17" t="s">
        <v>76</v>
      </c>
      <c r="H229" s="17" t="s">
        <v>1121</v>
      </c>
      <c r="I229" s="17" t="s">
        <v>294</v>
      </c>
      <c r="J229" s="17" t="s">
        <v>295</v>
      </c>
      <c r="K229" s="17" t="s">
        <v>32</v>
      </c>
      <c r="L229" s="17" t="s">
        <v>97</v>
      </c>
      <c r="M229" s="17">
        <v>3</v>
      </c>
      <c r="N229" s="26">
        <v>3500</v>
      </c>
      <c r="O229" s="17">
        <v>15</v>
      </c>
      <c r="P229" s="26">
        <v>8925</v>
      </c>
      <c r="Q229" s="17">
        <v>1</v>
      </c>
      <c r="R229" s="17" t="s">
        <v>34</v>
      </c>
      <c r="S229" s="17" t="s">
        <v>49</v>
      </c>
      <c r="T229" s="17" t="s">
        <v>80</v>
      </c>
      <c r="U229" s="17">
        <v>9324634732</v>
      </c>
      <c r="V229" s="17" t="s">
        <v>69</v>
      </c>
      <c r="W229" s="29" t="str" cm="1">
        <f t="array" ref="W229">_xlfn.IFS(OR(V229="Cancelled", Q229&lt;=2), "Blacklisted", AND(P229&gt;=100000, Q229&gt;=4, O229&lt;=0.1, V229="Completed"), "Platinum", AND(P229&gt;=50000, P229&lt;=99999, Q229&gt;=3, V229="Completed"), "Gold", AND(Q229&lt;50000, V229="Completed"), "Silver", V229="Pending", "Pending")</f>
        <v>Blacklisted</v>
      </c>
    </row>
    <row r="230" spans="1:23" x14ac:dyDescent="0.5">
      <c r="A230" s="15" t="s">
        <v>1123</v>
      </c>
      <c r="B230" s="15" t="s">
        <v>100</v>
      </c>
      <c r="C230" s="15" t="s">
        <v>184</v>
      </c>
      <c r="D230" s="15" t="s">
        <v>1086</v>
      </c>
      <c r="E230" s="15" t="s">
        <v>1124</v>
      </c>
      <c r="F230" s="15" t="s">
        <v>103</v>
      </c>
      <c r="G230" s="15" t="s">
        <v>28</v>
      </c>
      <c r="H230" s="15" t="s">
        <v>1125</v>
      </c>
      <c r="I230" s="15" t="s">
        <v>30</v>
      </c>
      <c r="J230" s="15" t="s">
        <v>31</v>
      </c>
      <c r="K230" s="15" t="s">
        <v>46</v>
      </c>
      <c r="L230" s="15" t="s">
        <v>189</v>
      </c>
      <c r="M230" s="15">
        <v>18</v>
      </c>
      <c r="N230" s="25">
        <v>700</v>
      </c>
      <c r="O230" s="15">
        <v>20</v>
      </c>
      <c r="P230" s="25">
        <v>10080</v>
      </c>
      <c r="Q230" s="15">
        <v>1</v>
      </c>
      <c r="R230" s="15" t="s">
        <v>79</v>
      </c>
      <c r="S230" s="15" t="s">
        <v>151</v>
      </c>
      <c r="T230" s="15" t="s">
        <v>144</v>
      </c>
      <c r="U230" s="15">
        <v>9529968110</v>
      </c>
      <c r="V230" s="15" t="s">
        <v>38</v>
      </c>
      <c r="W230" s="29" t="str" cm="1">
        <f t="array" ref="W230">_xlfn.IFS(OR(V230="Cancelled", Q230&lt;=2), "Blacklisted", AND(P230&gt;=100000, Q230&gt;=4, O230&lt;=0.1, V230="Completed"), "Platinum", AND(P230&gt;=50000, P230&lt;=99999, Q230&gt;=3, V230="Completed"), "Gold", AND(Q230&lt;50000, V230="Completed"), "Silver", V230="Pending", "Pending")</f>
        <v>Blacklisted</v>
      </c>
    </row>
    <row r="231" spans="1:23" x14ac:dyDescent="0.5">
      <c r="A231" s="17" t="s">
        <v>1127</v>
      </c>
      <c r="B231" s="17" t="s">
        <v>71</v>
      </c>
      <c r="C231" s="17" t="s">
        <v>92</v>
      </c>
      <c r="D231" s="17" t="s">
        <v>1128</v>
      </c>
      <c r="E231" s="17" t="s">
        <v>110</v>
      </c>
      <c r="F231" s="15" t="s">
        <v>217</v>
      </c>
      <c r="G231" s="17" t="s">
        <v>76</v>
      </c>
      <c r="H231" s="17" t="s">
        <v>1129</v>
      </c>
      <c r="I231" s="17" t="s">
        <v>114</v>
      </c>
      <c r="J231" s="17" t="s">
        <v>106</v>
      </c>
      <c r="K231" s="17" t="s">
        <v>32</v>
      </c>
      <c r="L231" s="17" t="s">
        <v>97</v>
      </c>
      <c r="M231" s="17">
        <v>14</v>
      </c>
      <c r="N231" s="26">
        <v>3500</v>
      </c>
      <c r="O231" s="17">
        <v>5</v>
      </c>
      <c r="P231" s="26">
        <v>46550</v>
      </c>
      <c r="Q231" s="17">
        <v>1</v>
      </c>
      <c r="R231" s="17" t="s">
        <v>34</v>
      </c>
      <c r="S231" s="17" t="s">
        <v>61</v>
      </c>
      <c r="T231" s="17" t="s">
        <v>80</v>
      </c>
      <c r="U231" s="17">
        <v>9102417647</v>
      </c>
      <c r="V231" s="17" t="s">
        <v>38</v>
      </c>
      <c r="W231" s="29" t="str" cm="1">
        <f t="array" ref="W231">_xlfn.IFS(OR(V231="Cancelled", Q231&lt;=2), "Blacklisted", AND(P231&gt;=100000, Q231&gt;=4, O231&lt;=0.1, V231="Completed"), "Platinum", AND(P231&gt;=50000, P231&lt;=99999, Q231&gt;=3, V231="Completed"), "Gold", AND(Q231&lt;50000, V231="Completed"), "Silver", V231="Pending", "Pending")</f>
        <v>Blacklisted</v>
      </c>
    </row>
    <row r="232" spans="1:23" x14ac:dyDescent="0.5">
      <c r="A232" s="15" t="s">
        <v>1131</v>
      </c>
      <c r="B232" s="15" t="s">
        <v>100</v>
      </c>
      <c r="C232" s="15" t="s">
        <v>184</v>
      </c>
      <c r="D232" s="15" t="s">
        <v>684</v>
      </c>
      <c r="E232" s="15" t="s">
        <v>318</v>
      </c>
      <c r="F232" s="15" t="s">
        <v>103</v>
      </c>
      <c r="G232" s="15" t="s">
        <v>28</v>
      </c>
      <c r="H232" s="15" t="s">
        <v>1132</v>
      </c>
      <c r="I232" s="15" t="s">
        <v>294</v>
      </c>
      <c r="J232" s="15" t="s">
        <v>295</v>
      </c>
      <c r="K232" s="15" t="s">
        <v>46</v>
      </c>
      <c r="L232" s="15" t="s">
        <v>189</v>
      </c>
      <c r="M232" s="15">
        <v>6</v>
      </c>
      <c r="N232" s="25">
        <v>700</v>
      </c>
      <c r="O232" s="15">
        <v>5</v>
      </c>
      <c r="P232" s="25">
        <v>3990</v>
      </c>
      <c r="Q232" s="15">
        <v>5</v>
      </c>
      <c r="R232" s="15" t="s">
        <v>34</v>
      </c>
      <c r="S232" s="15" t="s">
        <v>35</v>
      </c>
      <c r="T232" s="15" t="s">
        <v>144</v>
      </c>
      <c r="U232" s="15">
        <v>9630302865</v>
      </c>
      <c r="V232" s="15" t="s">
        <v>38</v>
      </c>
      <c r="W232" s="29" t="str" cm="1">
        <f t="array" ref="W232">_xlfn.IFS(OR(V232="Cancelled", Q232&lt;=2), "Blacklisted", AND(P232&gt;=100000, Q232&gt;=4, O232&lt;=0.1, V232="Completed"), "Platinum", AND(P232&gt;=50000, P232&lt;=99999, Q232&gt;=3, V232="Completed"), "Gold", AND(Q232&lt;50000, V232="Completed"), "Silver", V232="Pending", "Pending")</f>
        <v>Silver</v>
      </c>
    </row>
    <row r="233" spans="1:23" x14ac:dyDescent="0.5">
      <c r="A233" s="17" t="s">
        <v>1134</v>
      </c>
      <c r="B233" s="17" t="s">
        <v>100</v>
      </c>
      <c r="C233" s="17" t="s">
        <v>92</v>
      </c>
      <c r="D233" s="17" t="s">
        <v>679</v>
      </c>
      <c r="E233" s="17" t="s">
        <v>872</v>
      </c>
      <c r="F233" s="15" t="s">
        <v>103</v>
      </c>
      <c r="G233" s="17" t="s">
        <v>28</v>
      </c>
      <c r="H233" s="17" t="s">
        <v>1135</v>
      </c>
      <c r="I233" s="17" t="s">
        <v>105</v>
      </c>
      <c r="J233" s="17" t="s">
        <v>106</v>
      </c>
      <c r="K233" s="17" t="s">
        <v>32</v>
      </c>
      <c r="L233" s="17" t="s">
        <v>97</v>
      </c>
      <c r="M233" s="17">
        <v>17</v>
      </c>
      <c r="N233" s="26">
        <v>3500</v>
      </c>
      <c r="O233" s="17">
        <v>15</v>
      </c>
      <c r="P233" s="26">
        <v>50575</v>
      </c>
      <c r="Q233" s="17">
        <v>3</v>
      </c>
      <c r="R233" s="17" t="s">
        <v>48</v>
      </c>
      <c r="S233" s="17" t="s">
        <v>49</v>
      </c>
      <c r="T233" s="17" t="s">
        <v>144</v>
      </c>
      <c r="U233" s="17">
        <v>9465353780</v>
      </c>
      <c r="V233" s="17" t="s">
        <v>64</v>
      </c>
      <c r="W233" s="29" t="str" cm="1">
        <f t="array" ref="W233">_xlfn.IFS(OR(V233="Cancelled", Q233&lt;=2), "Blacklisted", AND(P233&gt;=100000, Q233&gt;=4, O233&lt;=0.1, V233="Completed"), "Platinum", AND(P233&gt;=50000, P233&lt;=99999, Q233&gt;=3, V233="Completed"), "Gold", AND(Q233&lt;50000, V233="Completed"), "Silver", V233="Pending", "Pending")</f>
        <v>Pending</v>
      </c>
    </row>
    <row r="234" spans="1:23" x14ac:dyDescent="0.5">
      <c r="A234" s="15" t="s">
        <v>1137</v>
      </c>
      <c r="B234" s="15" t="s">
        <v>251</v>
      </c>
      <c r="C234" s="15" t="s">
        <v>222</v>
      </c>
      <c r="D234" s="15" t="s">
        <v>253</v>
      </c>
      <c r="E234" s="15" t="s">
        <v>1128</v>
      </c>
      <c r="F234" s="15" t="s">
        <v>254</v>
      </c>
      <c r="G234" s="15" t="s">
        <v>28</v>
      </c>
      <c r="H234" s="15" t="s">
        <v>1138</v>
      </c>
      <c r="I234" s="15" t="s">
        <v>294</v>
      </c>
      <c r="J234" s="15" t="s">
        <v>295</v>
      </c>
      <c r="K234" s="15" t="s">
        <v>122</v>
      </c>
      <c r="L234" s="15" t="s">
        <v>227</v>
      </c>
      <c r="M234" s="15">
        <v>7</v>
      </c>
      <c r="N234" s="25">
        <v>20</v>
      </c>
      <c r="O234" s="15">
        <v>5</v>
      </c>
      <c r="P234" s="25">
        <v>133</v>
      </c>
      <c r="Q234" s="15">
        <v>2</v>
      </c>
      <c r="R234" s="15" t="s">
        <v>88</v>
      </c>
      <c r="S234" s="15" t="s">
        <v>151</v>
      </c>
      <c r="T234" s="15" t="s">
        <v>256</v>
      </c>
      <c r="U234" s="15">
        <v>9837426414</v>
      </c>
      <c r="V234" s="15" t="s">
        <v>38</v>
      </c>
      <c r="W234" s="29" t="str" cm="1">
        <f t="array" ref="W234">_xlfn.IFS(OR(V234="Cancelled", Q234&lt;=2), "Blacklisted", AND(P234&gt;=100000, Q234&gt;=4, O234&lt;=0.1, V234="Completed"), "Platinum", AND(P234&gt;=50000, P234&lt;=99999, Q234&gt;=3, V234="Completed"), "Gold", AND(Q234&lt;50000, V234="Completed"), "Silver", V234="Pending", "Pending")</f>
        <v>Blacklisted</v>
      </c>
    </row>
    <row r="235" spans="1:23" x14ac:dyDescent="0.5">
      <c r="A235" s="17" t="s">
        <v>1140</v>
      </c>
      <c r="B235" s="17" t="s">
        <v>23</v>
      </c>
      <c r="C235" s="17" t="s">
        <v>24</v>
      </c>
      <c r="D235" s="17" t="s">
        <v>1141</v>
      </c>
      <c r="E235" s="17" t="s">
        <v>1142</v>
      </c>
      <c r="F235" s="15" t="s">
        <v>27</v>
      </c>
      <c r="G235" s="17" t="s">
        <v>28</v>
      </c>
      <c r="H235" s="17" t="s">
        <v>1143</v>
      </c>
      <c r="I235" s="17" t="s">
        <v>59</v>
      </c>
      <c r="J235" s="17" t="s">
        <v>31</v>
      </c>
      <c r="K235" s="17" t="s">
        <v>32</v>
      </c>
      <c r="L235" s="17" t="s">
        <v>33</v>
      </c>
      <c r="M235" s="17">
        <v>15</v>
      </c>
      <c r="N235" s="26">
        <v>2200</v>
      </c>
      <c r="O235" s="17">
        <v>20</v>
      </c>
      <c r="P235" s="26">
        <v>26400</v>
      </c>
      <c r="Q235" s="17">
        <v>2</v>
      </c>
      <c r="R235" s="17" t="s">
        <v>34</v>
      </c>
      <c r="S235" s="17" t="s">
        <v>61</v>
      </c>
      <c r="T235" s="17" t="s">
        <v>50</v>
      </c>
      <c r="U235" s="17">
        <v>9249918272</v>
      </c>
      <c r="V235" s="17" t="s">
        <v>38</v>
      </c>
      <c r="W235" s="29" t="str" cm="1">
        <f t="array" ref="W235">_xlfn.IFS(OR(V235="Cancelled", Q235&lt;=2), "Blacklisted", AND(P235&gt;=100000, Q235&gt;=4, O235&lt;=0.1, V235="Completed"), "Platinum", AND(P235&gt;=50000, P235&lt;=99999, Q235&gt;=3, V235="Completed"), "Gold", AND(Q235&lt;50000, V235="Completed"), "Silver", V235="Pending", "Pending")</f>
        <v>Blacklisted</v>
      </c>
    </row>
    <row r="236" spans="1:23" x14ac:dyDescent="0.5">
      <c r="A236" s="15" t="s">
        <v>1145</v>
      </c>
      <c r="B236" s="15" t="s">
        <v>71</v>
      </c>
      <c r="C236" s="15" t="s">
        <v>222</v>
      </c>
      <c r="D236" s="15" t="s">
        <v>736</v>
      </c>
      <c r="E236" s="15" t="s">
        <v>94</v>
      </c>
      <c r="F236" s="15" t="s">
        <v>217</v>
      </c>
      <c r="G236" s="15" t="s">
        <v>76</v>
      </c>
      <c r="H236" s="15" t="s">
        <v>1146</v>
      </c>
      <c r="I236" s="15" t="s">
        <v>105</v>
      </c>
      <c r="J236" s="15" t="s">
        <v>106</v>
      </c>
      <c r="K236" s="15" t="s">
        <v>122</v>
      </c>
      <c r="L236" s="15" t="s">
        <v>227</v>
      </c>
      <c r="M236" s="15">
        <v>5</v>
      </c>
      <c r="N236" s="25">
        <v>20</v>
      </c>
      <c r="O236" s="15">
        <v>0</v>
      </c>
      <c r="P236" s="25">
        <v>100</v>
      </c>
      <c r="Q236" s="15">
        <v>3</v>
      </c>
      <c r="R236" s="15" t="s">
        <v>34</v>
      </c>
      <c r="S236" s="15" t="s">
        <v>151</v>
      </c>
      <c r="T236" s="15" t="s">
        <v>80</v>
      </c>
      <c r="U236" s="15">
        <v>9265580582</v>
      </c>
      <c r="V236" s="15" t="s">
        <v>38</v>
      </c>
      <c r="W236" s="29" t="str" cm="1">
        <f t="array" ref="W236">_xlfn.IFS(OR(V236="Cancelled", Q236&lt;=2), "Blacklisted", AND(P236&gt;=100000, Q236&gt;=4, O236&lt;=0.1, V236="Completed"), "Platinum", AND(P236&gt;=50000, P236&lt;=99999, Q236&gt;=3, V236="Completed"), "Gold", AND(Q236&lt;50000, V236="Completed"), "Silver", V236="Pending", "Pending")</f>
        <v>Silver</v>
      </c>
    </row>
    <row r="237" spans="1:23" x14ac:dyDescent="0.5">
      <c r="A237" s="17" t="s">
        <v>1148</v>
      </c>
      <c r="B237" s="17" t="s">
        <v>127</v>
      </c>
      <c r="C237" s="17" t="s">
        <v>40</v>
      </c>
      <c r="D237" s="17" t="s">
        <v>1149</v>
      </c>
      <c r="E237" s="17" t="s">
        <v>779</v>
      </c>
      <c r="F237" s="15" t="s">
        <v>200</v>
      </c>
      <c r="G237" s="17" t="s">
        <v>76</v>
      </c>
      <c r="H237" s="17" t="s">
        <v>1150</v>
      </c>
      <c r="I237" s="17" t="s">
        <v>44</v>
      </c>
      <c r="J237" s="17" t="s">
        <v>45</v>
      </c>
      <c r="K237" s="17" t="s">
        <v>46</v>
      </c>
      <c r="L237" s="17" t="s">
        <v>47</v>
      </c>
      <c r="M237" s="17">
        <v>8</v>
      </c>
      <c r="N237" s="26">
        <v>12000</v>
      </c>
      <c r="O237" s="17">
        <v>20</v>
      </c>
      <c r="P237" s="26">
        <v>76800</v>
      </c>
      <c r="Q237" s="17">
        <v>3</v>
      </c>
      <c r="R237" s="17" t="s">
        <v>79</v>
      </c>
      <c r="S237" s="17" t="s">
        <v>61</v>
      </c>
      <c r="T237" s="17" t="s">
        <v>132</v>
      </c>
      <c r="U237" s="17">
        <v>9751049833</v>
      </c>
      <c r="V237" s="17" t="s">
        <v>64</v>
      </c>
      <c r="W237" s="29" t="str" cm="1">
        <f t="array" ref="W237">_xlfn.IFS(OR(V237="Cancelled", Q237&lt;=2), "Blacklisted", AND(P237&gt;=100000, Q237&gt;=4, O237&lt;=0.1, V237="Completed"), "Platinum", AND(P237&gt;=50000, P237&lt;=99999, Q237&gt;=3, V237="Completed"), "Gold", AND(Q237&lt;50000, V237="Completed"), "Silver", V237="Pending", "Pending")</f>
        <v>Pending</v>
      </c>
    </row>
    <row r="238" spans="1:23" x14ac:dyDescent="0.5">
      <c r="A238" s="15" t="s">
        <v>1152</v>
      </c>
      <c r="B238" s="15" t="s">
        <v>127</v>
      </c>
      <c r="C238" s="15" t="s">
        <v>92</v>
      </c>
      <c r="D238" s="15" t="s">
        <v>1153</v>
      </c>
      <c r="E238" s="15" t="s">
        <v>987</v>
      </c>
      <c r="F238" s="15" t="s">
        <v>200</v>
      </c>
      <c r="G238" s="15" t="s">
        <v>76</v>
      </c>
      <c r="H238" s="15" t="s">
        <v>1154</v>
      </c>
      <c r="I238" s="15" t="s">
        <v>105</v>
      </c>
      <c r="J238" s="15" t="s">
        <v>106</v>
      </c>
      <c r="K238" s="15" t="s">
        <v>32</v>
      </c>
      <c r="L238" s="15" t="s">
        <v>97</v>
      </c>
      <c r="M238" s="15">
        <v>4</v>
      </c>
      <c r="N238" s="25">
        <v>3500</v>
      </c>
      <c r="O238" s="15">
        <v>20</v>
      </c>
      <c r="P238" s="25">
        <v>11200</v>
      </c>
      <c r="Q238" s="15">
        <v>1</v>
      </c>
      <c r="R238" s="15" t="s">
        <v>79</v>
      </c>
      <c r="S238" s="15" t="s">
        <v>115</v>
      </c>
      <c r="T238" s="15" t="s">
        <v>132</v>
      </c>
      <c r="U238" s="15">
        <v>9741671507</v>
      </c>
      <c r="V238" s="15" t="s">
        <v>38</v>
      </c>
      <c r="W238" s="29" t="str" cm="1">
        <f t="array" ref="W238">_xlfn.IFS(OR(V238="Cancelled", Q238&lt;=2), "Blacklisted", AND(P238&gt;=100000, Q238&gt;=4, O238&lt;=0.1, V238="Completed"), "Platinum", AND(P238&gt;=50000, P238&lt;=99999, Q238&gt;=3, V238="Completed"), "Gold", AND(Q238&lt;50000, V238="Completed"), "Silver", V238="Pending", "Pending")</f>
        <v>Blacklisted</v>
      </c>
    </row>
    <row r="239" spans="1:23" x14ac:dyDescent="0.5">
      <c r="A239" s="17" t="s">
        <v>1156</v>
      </c>
      <c r="B239" s="17" t="s">
        <v>221</v>
      </c>
      <c r="C239" s="17" t="s">
        <v>259</v>
      </c>
      <c r="D239" s="17" t="s">
        <v>628</v>
      </c>
      <c r="E239" s="17" t="s">
        <v>1157</v>
      </c>
      <c r="F239" s="15" t="s">
        <v>225</v>
      </c>
      <c r="G239" s="17" t="s">
        <v>76</v>
      </c>
      <c r="H239" s="17" t="s">
        <v>1158</v>
      </c>
      <c r="I239" s="17" t="s">
        <v>30</v>
      </c>
      <c r="J239" s="17" t="s">
        <v>31</v>
      </c>
      <c r="K239" s="17" t="s">
        <v>122</v>
      </c>
      <c r="L239" s="17" t="s">
        <v>263</v>
      </c>
      <c r="M239" s="17">
        <v>19</v>
      </c>
      <c r="N239" s="26">
        <v>45</v>
      </c>
      <c r="O239" s="17">
        <v>10</v>
      </c>
      <c r="P239" s="26">
        <v>769.5</v>
      </c>
      <c r="Q239" s="17">
        <v>1</v>
      </c>
      <c r="R239" s="17" t="s">
        <v>34</v>
      </c>
      <c r="S239" s="17" t="s">
        <v>115</v>
      </c>
      <c r="T239" s="17" t="s">
        <v>228</v>
      </c>
      <c r="U239" s="17">
        <v>9367541035</v>
      </c>
      <c r="V239" s="17" t="s">
        <v>38</v>
      </c>
      <c r="W239" s="29" t="str" cm="1">
        <f t="array" ref="W239">_xlfn.IFS(OR(V239="Cancelled", Q239&lt;=2), "Blacklisted", AND(P239&gt;=100000, Q239&gt;=4, O239&lt;=0.1, V239="Completed"), "Platinum", AND(P239&gt;=50000, P239&lt;=99999, Q239&gt;=3, V239="Completed"), "Gold", AND(Q239&lt;50000, V239="Completed"), "Silver", V239="Pending", "Pending")</f>
        <v>Blacklisted</v>
      </c>
    </row>
    <row r="240" spans="1:23" x14ac:dyDescent="0.5">
      <c r="A240" s="15" t="s">
        <v>1160</v>
      </c>
      <c r="B240" s="15" t="s">
        <v>53</v>
      </c>
      <c r="C240" s="15" t="s">
        <v>259</v>
      </c>
      <c r="D240" s="15" t="s">
        <v>588</v>
      </c>
      <c r="E240" s="15" t="s">
        <v>1161</v>
      </c>
      <c r="F240" s="15" t="s">
        <v>163</v>
      </c>
      <c r="G240" s="15" t="s">
        <v>28</v>
      </c>
      <c r="H240" s="15" t="s">
        <v>1162</v>
      </c>
      <c r="I240" s="15" t="s">
        <v>114</v>
      </c>
      <c r="J240" s="15" t="s">
        <v>106</v>
      </c>
      <c r="K240" s="15" t="s">
        <v>122</v>
      </c>
      <c r="L240" s="15" t="s">
        <v>263</v>
      </c>
      <c r="M240" s="15">
        <v>10</v>
      </c>
      <c r="N240" s="25">
        <v>45</v>
      </c>
      <c r="O240" s="15">
        <v>0</v>
      </c>
      <c r="P240" s="25">
        <v>450</v>
      </c>
      <c r="Q240" s="15">
        <v>4</v>
      </c>
      <c r="R240" s="15" t="s">
        <v>88</v>
      </c>
      <c r="S240" s="15" t="s">
        <v>61</v>
      </c>
      <c r="T240" s="15" t="s">
        <v>62</v>
      </c>
      <c r="U240" s="15">
        <v>9323696971</v>
      </c>
      <c r="V240" s="15" t="s">
        <v>38</v>
      </c>
      <c r="W240" s="29" t="str" cm="1">
        <f t="array" ref="W240">_xlfn.IFS(OR(V240="Cancelled", Q240&lt;=2), "Blacklisted", AND(P240&gt;=100000, Q240&gt;=4, O240&lt;=0.1, V240="Completed"), "Platinum", AND(P240&gt;=50000, P240&lt;=99999, Q240&gt;=3, V240="Completed"), "Gold", AND(Q240&lt;50000, V240="Completed"), "Silver", V240="Pending", "Pending")</f>
        <v>Silver</v>
      </c>
    </row>
    <row r="241" spans="1:23" x14ac:dyDescent="0.5">
      <c r="A241" s="17" t="s">
        <v>1164</v>
      </c>
      <c r="B241" s="17" t="s">
        <v>53</v>
      </c>
      <c r="C241" s="17" t="s">
        <v>259</v>
      </c>
      <c r="D241" s="17" t="s">
        <v>1165</v>
      </c>
      <c r="E241" s="17" t="s">
        <v>1039</v>
      </c>
      <c r="F241" s="15" t="s">
        <v>163</v>
      </c>
      <c r="G241" s="17" t="s">
        <v>28</v>
      </c>
      <c r="H241" s="17" t="s">
        <v>1166</v>
      </c>
      <c r="I241" s="17" t="s">
        <v>30</v>
      </c>
      <c r="J241" s="17" t="s">
        <v>31</v>
      </c>
      <c r="K241" s="17" t="s">
        <v>122</v>
      </c>
      <c r="L241" s="17" t="s">
        <v>263</v>
      </c>
      <c r="M241" s="17">
        <v>16</v>
      </c>
      <c r="N241" s="26">
        <v>45</v>
      </c>
      <c r="O241" s="17">
        <v>15</v>
      </c>
      <c r="P241" s="26">
        <v>612</v>
      </c>
      <c r="Q241" s="17">
        <v>3</v>
      </c>
      <c r="R241" s="17" t="s">
        <v>34</v>
      </c>
      <c r="S241" s="17" t="s">
        <v>115</v>
      </c>
      <c r="T241" s="17" t="s">
        <v>62</v>
      </c>
      <c r="U241" s="17">
        <v>9786384529</v>
      </c>
      <c r="V241" s="17" t="s">
        <v>69</v>
      </c>
      <c r="W241" s="29" t="str" cm="1">
        <f t="array" ref="W241">_xlfn.IFS(OR(V241="Cancelled", Q241&lt;=2), "Blacklisted", AND(P241&gt;=100000, Q241&gt;=4, O241&lt;=0.1, V241="Completed"), "Platinum", AND(P241&gt;=50000, P241&lt;=99999, Q241&gt;=3, V241="Completed"), "Gold", AND(Q241&lt;50000, V241="Completed"), "Silver", V241="Pending", "Pending")</f>
        <v>Blacklisted</v>
      </c>
    </row>
    <row r="242" spans="1:23" x14ac:dyDescent="0.5">
      <c r="A242" s="15" t="s">
        <v>1168</v>
      </c>
      <c r="B242" s="15" t="s">
        <v>168</v>
      </c>
      <c r="C242" s="15" t="s">
        <v>169</v>
      </c>
      <c r="D242" s="15" t="s">
        <v>119</v>
      </c>
      <c r="E242" s="15" t="s">
        <v>120</v>
      </c>
      <c r="F242" s="15" t="s">
        <v>361</v>
      </c>
      <c r="G242" s="15" t="s">
        <v>28</v>
      </c>
      <c r="H242" s="15" t="s">
        <v>1169</v>
      </c>
      <c r="I242" s="15" t="s">
        <v>114</v>
      </c>
      <c r="J242" s="15" t="s">
        <v>106</v>
      </c>
      <c r="K242" s="15" t="s">
        <v>32</v>
      </c>
      <c r="L242" s="15" t="s">
        <v>174</v>
      </c>
      <c r="M242" s="15">
        <v>16</v>
      </c>
      <c r="N242" s="25">
        <v>8500</v>
      </c>
      <c r="O242" s="15">
        <v>15</v>
      </c>
      <c r="P242" s="25">
        <v>115600</v>
      </c>
      <c r="Q242" s="15">
        <v>4</v>
      </c>
      <c r="R242" s="15" t="s">
        <v>48</v>
      </c>
      <c r="S242" s="15" t="s">
        <v>35</v>
      </c>
      <c r="T242" s="15" t="s">
        <v>175</v>
      </c>
      <c r="U242" s="15">
        <v>9444900541</v>
      </c>
      <c r="V242" s="15" t="s">
        <v>69</v>
      </c>
      <c r="W242" s="29" t="str" cm="1">
        <f t="array" ref="W242">_xlfn.IFS(OR(V242="Cancelled", Q242&lt;=2), "Blacklisted", AND(P242&gt;=100000, Q242&gt;=4, O242&lt;=0.1, V242="Completed"), "Platinum", AND(P242&gt;=50000, P242&lt;=99999, Q242&gt;=3, V242="Completed"), "Gold", AND(Q242&lt;50000, V242="Completed"), "Silver", V242="Pending", "Pending")</f>
        <v>Blacklisted</v>
      </c>
    </row>
    <row r="243" spans="1:23" x14ac:dyDescent="0.5">
      <c r="A243" s="17" t="s">
        <v>1171</v>
      </c>
      <c r="B243" s="17" t="s">
        <v>168</v>
      </c>
      <c r="C243" s="17" t="s">
        <v>222</v>
      </c>
      <c r="D243" s="17" t="s">
        <v>445</v>
      </c>
      <c r="E243" s="17" t="s">
        <v>1172</v>
      </c>
      <c r="F243" s="15" t="s">
        <v>361</v>
      </c>
      <c r="G243" s="17" t="s">
        <v>28</v>
      </c>
      <c r="H243" s="17" t="s">
        <v>1173</v>
      </c>
      <c r="I243" s="17" t="s">
        <v>294</v>
      </c>
      <c r="J243" s="17" t="s">
        <v>295</v>
      </c>
      <c r="K243" s="17" t="s">
        <v>122</v>
      </c>
      <c r="L243" s="17" t="s">
        <v>227</v>
      </c>
      <c r="M243" s="17">
        <v>15</v>
      </c>
      <c r="N243" s="26">
        <v>20</v>
      </c>
      <c r="O243" s="17">
        <v>20</v>
      </c>
      <c r="P243" s="26">
        <v>240</v>
      </c>
      <c r="Q243" s="17">
        <v>3</v>
      </c>
      <c r="R243" s="17" t="s">
        <v>48</v>
      </c>
      <c r="S243" s="17" t="s">
        <v>49</v>
      </c>
      <c r="T243" s="17" t="s">
        <v>175</v>
      </c>
      <c r="U243" s="17">
        <v>9108024911</v>
      </c>
      <c r="V243" s="17" t="s">
        <v>69</v>
      </c>
      <c r="W243" s="29" t="str" cm="1">
        <f t="array" ref="W243">_xlfn.IFS(OR(V243="Cancelled", Q243&lt;=2), "Blacklisted", AND(P243&gt;=100000, Q243&gt;=4, O243&lt;=0.1, V243="Completed"), "Platinum", AND(P243&gt;=50000, P243&lt;=99999, Q243&gt;=3, V243="Completed"), "Gold", AND(Q243&lt;50000, V243="Completed"), "Silver", V243="Pending", "Pending")</f>
        <v>Blacklisted</v>
      </c>
    </row>
    <row r="244" spans="1:23" x14ac:dyDescent="0.5">
      <c r="A244" s="15" t="s">
        <v>1175</v>
      </c>
      <c r="B244" s="15" t="s">
        <v>83</v>
      </c>
      <c r="C244" s="15" t="s">
        <v>118</v>
      </c>
      <c r="D244" s="15" t="s">
        <v>440</v>
      </c>
      <c r="E244" s="15" t="s">
        <v>1176</v>
      </c>
      <c r="F244" s="15" t="s">
        <v>180</v>
      </c>
      <c r="G244" s="15" t="s">
        <v>76</v>
      </c>
      <c r="H244" s="15" t="s">
        <v>1177</v>
      </c>
      <c r="I244" s="15" t="s">
        <v>59</v>
      </c>
      <c r="J244" s="15" t="s">
        <v>31</v>
      </c>
      <c r="K244" s="15" t="s">
        <v>122</v>
      </c>
      <c r="L244" s="15" t="s">
        <v>123</v>
      </c>
      <c r="M244" s="15">
        <v>14</v>
      </c>
      <c r="N244" s="25">
        <v>60</v>
      </c>
      <c r="O244" s="15">
        <v>5</v>
      </c>
      <c r="P244" s="25">
        <v>798</v>
      </c>
      <c r="Q244" s="15">
        <v>4</v>
      </c>
      <c r="R244" s="15" t="s">
        <v>34</v>
      </c>
      <c r="S244" s="15" t="s">
        <v>49</v>
      </c>
      <c r="T244" s="15" t="s">
        <v>89</v>
      </c>
      <c r="U244" s="15">
        <v>9897181325</v>
      </c>
      <c r="V244" s="15" t="s">
        <v>38</v>
      </c>
      <c r="W244" s="29" t="str" cm="1">
        <f t="array" ref="W244">_xlfn.IFS(OR(V244="Cancelled", Q244&lt;=2), "Blacklisted", AND(P244&gt;=100000, Q244&gt;=4, O244&lt;=0.1, V244="Completed"), "Platinum", AND(P244&gt;=50000, P244&lt;=99999, Q244&gt;=3, V244="Completed"), "Gold", AND(Q244&lt;50000, V244="Completed"), "Silver", V244="Pending", "Pending")</f>
        <v>Silver</v>
      </c>
    </row>
    <row r="245" spans="1:23" x14ac:dyDescent="0.5">
      <c r="A245" s="17" t="s">
        <v>1179</v>
      </c>
      <c r="B245" s="17" t="s">
        <v>53</v>
      </c>
      <c r="C245" s="17" t="s">
        <v>72</v>
      </c>
      <c r="D245" s="17" t="s">
        <v>1180</v>
      </c>
      <c r="E245" s="17" t="s">
        <v>1181</v>
      </c>
      <c r="F245" s="15" t="s">
        <v>163</v>
      </c>
      <c r="G245" s="17" t="s">
        <v>28</v>
      </c>
      <c r="H245" s="17" t="s">
        <v>1182</v>
      </c>
      <c r="I245" s="17" t="s">
        <v>105</v>
      </c>
      <c r="J245" s="17" t="s">
        <v>106</v>
      </c>
      <c r="K245" s="17" t="s">
        <v>46</v>
      </c>
      <c r="L245" s="17" t="s">
        <v>78</v>
      </c>
      <c r="M245" s="17">
        <v>19</v>
      </c>
      <c r="N245" s="26">
        <v>1200</v>
      </c>
      <c r="O245" s="17">
        <v>20</v>
      </c>
      <c r="P245" s="26">
        <v>18240</v>
      </c>
      <c r="Q245" s="17">
        <v>2</v>
      </c>
      <c r="R245" s="17" t="s">
        <v>34</v>
      </c>
      <c r="S245" s="17" t="s">
        <v>115</v>
      </c>
      <c r="T245" s="17" t="s">
        <v>62</v>
      </c>
      <c r="U245" s="17">
        <v>9554719621</v>
      </c>
      <c r="V245" s="17" t="s">
        <v>69</v>
      </c>
      <c r="W245" s="29" t="str" cm="1">
        <f t="array" ref="W245">_xlfn.IFS(OR(V245="Cancelled", Q245&lt;=2), "Blacklisted", AND(P245&gt;=100000, Q245&gt;=4, O245&lt;=0.1, V245="Completed"), "Platinum", AND(P245&gt;=50000, P245&lt;=99999, Q245&gt;=3, V245="Completed"), "Gold", AND(Q245&lt;50000, V245="Completed"), "Silver", V245="Pending", "Pending")</f>
        <v>Blacklisted</v>
      </c>
    </row>
    <row r="246" spans="1:23" x14ac:dyDescent="0.5">
      <c r="A246" s="15" t="s">
        <v>1184</v>
      </c>
      <c r="B246" s="15" t="s">
        <v>23</v>
      </c>
      <c r="C246" s="15" t="s">
        <v>259</v>
      </c>
      <c r="D246" s="15" t="s">
        <v>340</v>
      </c>
      <c r="E246" s="15" t="s">
        <v>346</v>
      </c>
      <c r="F246" s="15" t="s">
        <v>27</v>
      </c>
      <c r="G246" s="15" t="s">
        <v>28</v>
      </c>
      <c r="H246" s="15" t="s">
        <v>1185</v>
      </c>
      <c r="I246" s="15" t="s">
        <v>59</v>
      </c>
      <c r="J246" s="15" t="s">
        <v>31</v>
      </c>
      <c r="K246" s="15" t="s">
        <v>122</v>
      </c>
      <c r="L246" s="15" t="s">
        <v>263</v>
      </c>
      <c r="M246" s="15">
        <v>5</v>
      </c>
      <c r="N246" s="25">
        <v>45</v>
      </c>
      <c r="O246" s="15">
        <v>15</v>
      </c>
      <c r="P246" s="25">
        <v>191.25</v>
      </c>
      <c r="Q246" s="15">
        <v>2</v>
      </c>
      <c r="R246" s="15" t="s">
        <v>34</v>
      </c>
      <c r="S246" s="15" t="s">
        <v>61</v>
      </c>
      <c r="T246" s="15" t="s">
        <v>50</v>
      </c>
      <c r="U246" s="15">
        <v>9815899217</v>
      </c>
      <c r="V246" s="15" t="s">
        <v>69</v>
      </c>
      <c r="W246" s="29" t="str" cm="1">
        <f t="array" ref="W246">_xlfn.IFS(OR(V246="Cancelled", Q246&lt;=2), "Blacklisted", AND(P246&gt;=100000, Q246&gt;=4, O246&lt;=0.1, V246="Completed"), "Platinum", AND(P246&gt;=50000, P246&lt;=99999, Q246&gt;=3, V246="Completed"), "Gold", AND(Q246&lt;50000, V246="Completed"), "Silver", V246="Pending", "Pending")</f>
        <v>Blacklisted</v>
      </c>
    </row>
    <row r="247" spans="1:23" x14ac:dyDescent="0.5">
      <c r="A247" s="17" t="s">
        <v>1187</v>
      </c>
      <c r="B247" s="17" t="s">
        <v>327</v>
      </c>
      <c r="C247" s="17" t="s">
        <v>184</v>
      </c>
      <c r="D247" s="17" t="s">
        <v>237</v>
      </c>
      <c r="E247" s="17" t="s">
        <v>1188</v>
      </c>
      <c r="F247" s="15" t="s">
        <v>394</v>
      </c>
      <c r="G247" s="17" t="s">
        <v>76</v>
      </c>
      <c r="H247" s="17" t="s">
        <v>1189</v>
      </c>
      <c r="I247" s="17" t="s">
        <v>30</v>
      </c>
      <c r="J247" s="17" t="s">
        <v>31</v>
      </c>
      <c r="K247" s="17" t="s">
        <v>46</v>
      </c>
      <c r="L247" s="17" t="s">
        <v>189</v>
      </c>
      <c r="M247" s="17">
        <v>19</v>
      </c>
      <c r="N247" s="26">
        <v>700</v>
      </c>
      <c r="O247" s="17">
        <v>5</v>
      </c>
      <c r="P247" s="26">
        <v>12635</v>
      </c>
      <c r="Q247" s="17">
        <v>5</v>
      </c>
      <c r="R247" s="17" t="s">
        <v>88</v>
      </c>
      <c r="S247" s="17" t="s">
        <v>151</v>
      </c>
      <c r="T247" s="17" t="s">
        <v>332</v>
      </c>
      <c r="U247" s="17">
        <v>9308497039</v>
      </c>
      <c r="V247" s="17" t="s">
        <v>38</v>
      </c>
      <c r="W247" s="29" t="str" cm="1">
        <f t="array" ref="W247">_xlfn.IFS(OR(V247="Cancelled", Q247&lt;=2), "Blacklisted", AND(P247&gt;=100000, Q247&gt;=4, O247&lt;=0.1, V247="Completed"), "Platinum", AND(P247&gt;=50000, P247&lt;=99999, Q247&gt;=3, V247="Completed"), "Gold", AND(Q247&lt;50000, V247="Completed"), "Silver", V247="Pending", "Pending")</f>
        <v>Silver</v>
      </c>
    </row>
    <row r="248" spans="1:23" x14ac:dyDescent="0.5">
      <c r="A248" s="15" t="s">
        <v>1191</v>
      </c>
      <c r="B248" s="15" t="s">
        <v>127</v>
      </c>
      <c r="C248" s="15" t="s">
        <v>118</v>
      </c>
      <c r="D248" s="15" t="s">
        <v>464</v>
      </c>
      <c r="E248" s="15" t="s">
        <v>84</v>
      </c>
      <c r="F248" s="15" t="s">
        <v>200</v>
      </c>
      <c r="G248" s="15" t="s">
        <v>76</v>
      </c>
      <c r="H248" s="15" t="s">
        <v>1192</v>
      </c>
      <c r="I248" s="15" t="s">
        <v>294</v>
      </c>
      <c r="J248" s="15" t="s">
        <v>295</v>
      </c>
      <c r="K248" s="15" t="s">
        <v>122</v>
      </c>
      <c r="L248" s="15" t="s">
        <v>123</v>
      </c>
      <c r="M248" s="15">
        <v>7</v>
      </c>
      <c r="N248" s="25">
        <v>60</v>
      </c>
      <c r="O248" s="15">
        <v>0</v>
      </c>
      <c r="P248" s="25">
        <v>420</v>
      </c>
      <c r="Q248" s="15">
        <v>4</v>
      </c>
      <c r="R248" s="15" t="s">
        <v>34</v>
      </c>
      <c r="S248" s="15" t="s">
        <v>115</v>
      </c>
      <c r="T248" s="15" t="s">
        <v>132</v>
      </c>
      <c r="U248" s="15">
        <v>9882054354</v>
      </c>
      <c r="V248" s="15" t="s">
        <v>64</v>
      </c>
      <c r="W248" s="29" t="str" cm="1">
        <f t="array" ref="W248">_xlfn.IFS(OR(V248="Cancelled", Q248&lt;=2), "Blacklisted", AND(P248&gt;=100000, Q248&gt;=4, O248&lt;=0.1, V248="Completed"), "Platinum", AND(P248&gt;=50000, P248&lt;=99999, Q248&gt;=3, V248="Completed"), "Gold", AND(Q248&lt;50000, V248="Completed"), "Silver", V248="Pending", "Pending")</f>
        <v>Pending</v>
      </c>
    </row>
    <row r="249" spans="1:23" x14ac:dyDescent="0.5">
      <c r="A249" s="17" t="s">
        <v>1194</v>
      </c>
      <c r="B249" s="17" t="s">
        <v>71</v>
      </c>
      <c r="C249" s="17" t="s">
        <v>24</v>
      </c>
      <c r="D249" s="17" t="s">
        <v>215</v>
      </c>
      <c r="E249" s="17" t="s">
        <v>711</v>
      </c>
      <c r="F249" s="15" t="s">
        <v>217</v>
      </c>
      <c r="G249" s="17" t="s">
        <v>76</v>
      </c>
      <c r="H249" s="17" t="s">
        <v>1195</v>
      </c>
      <c r="I249" s="17" t="s">
        <v>105</v>
      </c>
      <c r="J249" s="17" t="s">
        <v>106</v>
      </c>
      <c r="K249" s="17" t="s">
        <v>32</v>
      </c>
      <c r="L249" s="17" t="s">
        <v>33</v>
      </c>
      <c r="M249" s="17">
        <v>13</v>
      </c>
      <c r="N249" s="26">
        <v>2200</v>
      </c>
      <c r="O249" s="17">
        <v>10</v>
      </c>
      <c r="P249" s="26">
        <v>25740</v>
      </c>
      <c r="Q249" s="17">
        <v>1</v>
      </c>
      <c r="R249" s="17" t="s">
        <v>79</v>
      </c>
      <c r="S249" s="17" t="s">
        <v>151</v>
      </c>
      <c r="T249" s="17" t="s">
        <v>80</v>
      </c>
      <c r="U249" s="17">
        <v>9193016830</v>
      </c>
      <c r="V249" s="17" t="s">
        <v>38</v>
      </c>
      <c r="W249" s="29" t="str" cm="1">
        <f t="array" ref="W249">_xlfn.IFS(OR(V249="Cancelled", Q249&lt;=2), "Blacklisted", AND(P249&gt;=100000, Q249&gt;=4, O249&lt;=0.1, V249="Completed"), "Platinum", AND(P249&gt;=50000, P249&lt;=99999, Q249&gt;=3, V249="Completed"), "Gold", AND(Q249&lt;50000, V249="Completed"), "Silver", V249="Pending", "Pending")</f>
        <v>Blacklisted</v>
      </c>
    </row>
    <row r="250" spans="1:23" x14ac:dyDescent="0.5">
      <c r="A250" s="15" t="s">
        <v>1197</v>
      </c>
      <c r="B250" s="15" t="s">
        <v>71</v>
      </c>
      <c r="C250" s="15" t="s">
        <v>24</v>
      </c>
      <c r="D250" s="15" t="s">
        <v>1198</v>
      </c>
      <c r="E250" s="15" t="s">
        <v>1199</v>
      </c>
      <c r="F250" s="15" t="s">
        <v>217</v>
      </c>
      <c r="G250" s="15" t="s">
        <v>76</v>
      </c>
      <c r="H250" s="15" t="s">
        <v>1200</v>
      </c>
      <c r="I250" s="15" t="s">
        <v>59</v>
      </c>
      <c r="J250" s="15" t="s">
        <v>31</v>
      </c>
      <c r="K250" s="15" t="s">
        <v>32</v>
      </c>
      <c r="L250" s="15" t="s">
        <v>33</v>
      </c>
      <c r="M250" s="15">
        <v>9</v>
      </c>
      <c r="N250" s="25">
        <v>2200</v>
      </c>
      <c r="O250" s="15">
        <v>10</v>
      </c>
      <c r="P250" s="25">
        <v>17820</v>
      </c>
      <c r="Q250" s="15">
        <v>2</v>
      </c>
      <c r="R250" s="15" t="s">
        <v>1201</v>
      </c>
      <c r="S250" s="15" t="s">
        <v>61</v>
      </c>
      <c r="T250" s="15" t="s">
        <v>80</v>
      </c>
      <c r="U250" s="15">
        <v>9921470418</v>
      </c>
      <c r="V250" s="15" t="s">
        <v>69</v>
      </c>
      <c r="W250" s="29" t="str" cm="1">
        <f t="array" ref="W250">_xlfn.IFS(OR(V250="Cancelled", Q250&lt;=2), "Blacklisted", AND(P250&gt;=100000, Q250&gt;=4, O250&lt;=0.1, V250="Completed"), "Platinum", AND(P250&gt;=50000, P250&lt;=99999, Q250&gt;=3, V250="Completed"), "Gold", AND(Q250&lt;50000, V250="Completed"), "Silver", V250="Pending", "Pending")</f>
        <v>Blacklisted</v>
      </c>
    </row>
    <row r="251" spans="1:23" x14ac:dyDescent="0.5">
      <c r="A251" s="17" t="s">
        <v>1203</v>
      </c>
      <c r="B251" s="17" t="s">
        <v>327</v>
      </c>
      <c r="C251" s="17" t="s">
        <v>169</v>
      </c>
      <c r="D251" s="17" t="s">
        <v>944</v>
      </c>
      <c r="E251" s="17" t="s">
        <v>1204</v>
      </c>
      <c r="F251" s="15" t="s">
        <v>394</v>
      </c>
      <c r="G251" s="17" t="s">
        <v>76</v>
      </c>
      <c r="H251" s="17" t="s">
        <v>1205</v>
      </c>
      <c r="I251" s="17" t="s">
        <v>59</v>
      </c>
      <c r="J251" s="17" t="s">
        <v>31</v>
      </c>
      <c r="K251" s="17" t="s">
        <v>32</v>
      </c>
      <c r="L251" s="17" t="s">
        <v>174</v>
      </c>
      <c r="M251" s="17">
        <v>6</v>
      </c>
      <c r="N251" s="26">
        <v>8500</v>
      </c>
      <c r="O251" s="17">
        <v>15</v>
      </c>
      <c r="P251" s="26">
        <v>43350</v>
      </c>
      <c r="Q251" s="17">
        <v>2</v>
      </c>
      <c r="R251" s="17" t="s">
        <v>34</v>
      </c>
      <c r="S251" s="17" t="s">
        <v>151</v>
      </c>
      <c r="T251" s="17" t="s">
        <v>332</v>
      </c>
      <c r="U251" s="17">
        <v>9686979026</v>
      </c>
      <c r="V251" s="17" t="s">
        <v>69</v>
      </c>
      <c r="W251" s="29" t="str" cm="1">
        <f t="array" ref="W251">_xlfn.IFS(OR(V251="Cancelled", Q251&lt;=2), "Blacklisted", AND(P251&gt;=100000, Q251&gt;=4, O251&lt;=0.1, V251="Completed"), "Platinum", AND(P251&gt;=50000, P251&lt;=99999, Q251&gt;=3, V251="Completed"), "Gold", AND(Q251&lt;50000, V251="Completed"), "Silver", V251="Pending", "Pending")</f>
        <v>Blacklisted</v>
      </c>
    </row>
    <row r="252" spans="1:23" x14ac:dyDescent="0.5">
      <c r="A252" s="15" t="s">
        <v>1207</v>
      </c>
      <c r="B252" s="15" t="s">
        <v>221</v>
      </c>
      <c r="C252" s="15" t="s">
        <v>24</v>
      </c>
      <c r="D252" s="15" t="s">
        <v>736</v>
      </c>
      <c r="E252" s="15" t="s">
        <v>94</v>
      </c>
      <c r="F252" s="15" t="s">
        <v>225</v>
      </c>
      <c r="G252" s="15" t="s">
        <v>76</v>
      </c>
      <c r="H252" s="15" t="s">
        <v>1208</v>
      </c>
      <c r="I252" s="15" t="s">
        <v>44</v>
      </c>
      <c r="J252" s="15" t="s">
        <v>45</v>
      </c>
      <c r="K252" s="15" t="s">
        <v>32</v>
      </c>
      <c r="L252" s="15" t="s">
        <v>33</v>
      </c>
      <c r="M252" s="15">
        <v>9</v>
      </c>
      <c r="N252" s="25">
        <v>2200</v>
      </c>
      <c r="O252" s="15">
        <v>10</v>
      </c>
      <c r="P252" s="25">
        <v>17820</v>
      </c>
      <c r="Q252" s="15">
        <v>3</v>
      </c>
      <c r="R252" s="15" t="s">
        <v>79</v>
      </c>
      <c r="S252" s="15" t="s">
        <v>35</v>
      </c>
      <c r="T252" s="15" t="s">
        <v>228</v>
      </c>
      <c r="U252" s="15">
        <v>9569007422</v>
      </c>
      <c r="V252" s="15" t="s">
        <v>64</v>
      </c>
      <c r="W252" s="29" t="str" cm="1">
        <f t="array" ref="W252">_xlfn.IFS(OR(V252="Cancelled", Q252&lt;=2), "Blacklisted", AND(P252&gt;=100000, Q252&gt;=4, O252&lt;=0.1, V252="Completed"), "Platinum", AND(P252&gt;=50000, P252&lt;=99999, Q252&gt;=3, V252="Completed"), "Gold", AND(Q252&lt;50000, V252="Completed"), "Silver", V252="Pending", "Pending")</f>
        <v>Pending</v>
      </c>
    </row>
    <row r="253" spans="1:23" x14ac:dyDescent="0.5">
      <c r="A253" s="17" t="s">
        <v>1210</v>
      </c>
      <c r="B253" s="17" t="s">
        <v>23</v>
      </c>
      <c r="C253" s="17" t="s">
        <v>169</v>
      </c>
      <c r="D253" s="17" t="s">
        <v>825</v>
      </c>
      <c r="E253" s="17" t="s">
        <v>876</v>
      </c>
      <c r="F253" s="15" t="s">
        <v>27</v>
      </c>
      <c r="G253" s="17" t="s">
        <v>28</v>
      </c>
      <c r="H253" s="17" t="s">
        <v>1211</v>
      </c>
      <c r="I253" s="17" t="s">
        <v>294</v>
      </c>
      <c r="J253" s="17" t="s">
        <v>295</v>
      </c>
      <c r="K253" s="17" t="s">
        <v>32</v>
      </c>
      <c r="L253" s="17" t="s">
        <v>174</v>
      </c>
      <c r="M253" s="17">
        <v>16</v>
      </c>
      <c r="N253" s="26">
        <v>8500</v>
      </c>
      <c r="O253" s="17">
        <v>0</v>
      </c>
      <c r="P253" s="26">
        <v>136000</v>
      </c>
      <c r="Q253" s="17">
        <v>5</v>
      </c>
      <c r="R253" s="17" t="s">
        <v>88</v>
      </c>
      <c r="S253" s="17" t="s">
        <v>115</v>
      </c>
      <c r="T253" s="17" t="s">
        <v>50</v>
      </c>
      <c r="U253" s="17">
        <v>9180820441</v>
      </c>
      <c r="V253" s="17" t="s">
        <v>69</v>
      </c>
      <c r="W253" s="29" t="str" cm="1">
        <f t="array" ref="W253">_xlfn.IFS(OR(V253="Cancelled", Q253&lt;=2), "Blacklisted", AND(P253&gt;=100000, Q253&gt;=4, O253&lt;=0.1, V253="Completed"), "Platinum", AND(P253&gt;=50000, P253&lt;=99999, Q253&gt;=3, V253="Completed"), "Gold", AND(Q253&lt;50000, V253="Completed"), "Silver", V253="Pending", "Pending")</f>
        <v>Blacklisted</v>
      </c>
    </row>
    <row r="254" spans="1:23" x14ac:dyDescent="0.5">
      <c r="A254" s="15" t="s">
        <v>1213</v>
      </c>
      <c r="B254" s="15" t="s">
        <v>327</v>
      </c>
      <c r="C254" s="15" t="s">
        <v>72</v>
      </c>
      <c r="D254" s="15" t="s">
        <v>1214</v>
      </c>
      <c r="E254" s="15" t="s">
        <v>692</v>
      </c>
      <c r="F254" s="15" t="s">
        <v>394</v>
      </c>
      <c r="G254" s="15" t="s">
        <v>76</v>
      </c>
      <c r="H254" s="15" t="s">
        <v>1215</v>
      </c>
      <c r="I254" s="15" t="s">
        <v>44</v>
      </c>
      <c r="J254" s="15" t="s">
        <v>45</v>
      </c>
      <c r="K254" s="15" t="s">
        <v>46</v>
      </c>
      <c r="L254" s="15" t="s">
        <v>78</v>
      </c>
      <c r="M254" s="15">
        <v>10</v>
      </c>
      <c r="N254" s="25">
        <v>1200</v>
      </c>
      <c r="O254" s="15">
        <v>15</v>
      </c>
      <c r="P254" s="25">
        <v>10200</v>
      </c>
      <c r="Q254" s="15">
        <v>5</v>
      </c>
      <c r="R254" s="15" t="s">
        <v>34</v>
      </c>
      <c r="S254" s="15" t="s">
        <v>49</v>
      </c>
      <c r="T254" s="15" t="s">
        <v>332</v>
      </c>
      <c r="U254" s="15">
        <v>9769075826</v>
      </c>
      <c r="V254" s="15" t="s">
        <v>38</v>
      </c>
      <c r="W254" s="29" t="str" cm="1">
        <f t="array" ref="W254">_xlfn.IFS(OR(V254="Cancelled", Q254&lt;=2), "Blacklisted", AND(P254&gt;=100000, Q254&gt;=4, O254&lt;=0.1, V254="Completed"), "Platinum", AND(P254&gt;=50000, P254&lt;=99999, Q254&gt;=3, V254="Completed"), "Gold", AND(Q254&lt;50000, V254="Completed"), "Silver", V254="Pending", "Pending")</f>
        <v>Silver</v>
      </c>
    </row>
    <row r="255" spans="1:23" x14ac:dyDescent="0.5">
      <c r="A255" s="17" t="s">
        <v>1217</v>
      </c>
      <c r="B255" s="17" t="s">
        <v>127</v>
      </c>
      <c r="C255" s="17" t="s">
        <v>40</v>
      </c>
      <c r="D255" s="17" t="s">
        <v>413</v>
      </c>
      <c r="E255" s="17" t="s">
        <v>136</v>
      </c>
      <c r="F255" s="15" t="s">
        <v>200</v>
      </c>
      <c r="G255" s="17" t="s">
        <v>76</v>
      </c>
      <c r="H255" s="17" t="s">
        <v>1218</v>
      </c>
      <c r="I255" s="17" t="s">
        <v>294</v>
      </c>
      <c r="J255" s="17" t="s">
        <v>295</v>
      </c>
      <c r="K255" s="17" t="s">
        <v>46</v>
      </c>
      <c r="L255" s="17" t="s">
        <v>47</v>
      </c>
      <c r="M255" s="17">
        <v>7</v>
      </c>
      <c r="N255" s="26">
        <v>12000</v>
      </c>
      <c r="O255" s="17">
        <v>0</v>
      </c>
      <c r="P255" s="26">
        <v>84000</v>
      </c>
      <c r="Q255" s="17">
        <v>1</v>
      </c>
      <c r="R255" s="17" t="s">
        <v>88</v>
      </c>
      <c r="S255" s="17" t="s">
        <v>151</v>
      </c>
      <c r="T255" s="17" t="s">
        <v>132</v>
      </c>
      <c r="U255" s="17">
        <v>9467916296</v>
      </c>
      <c r="V255" s="17" t="s">
        <v>64</v>
      </c>
      <c r="W255" s="29" t="str" cm="1">
        <f t="array" ref="W255">_xlfn.IFS(OR(V255="Cancelled", Q255&lt;=2), "Blacklisted", AND(P255&gt;=100000, Q255&gt;=4, O255&lt;=0.1, V255="Completed"), "Platinum", AND(P255&gt;=50000, P255&lt;=99999, Q255&gt;=3, V255="Completed"), "Gold", AND(Q255&lt;50000, V255="Completed"), "Silver", V255="Pending", "Pending")</f>
        <v>Blacklisted</v>
      </c>
    </row>
    <row r="256" spans="1:23" x14ac:dyDescent="0.5">
      <c r="A256" s="15" t="s">
        <v>1220</v>
      </c>
      <c r="B256" s="15" t="s">
        <v>221</v>
      </c>
      <c r="C256" s="15" t="s">
        <v>40</v>
      </c>
      <c r="D256" s="15" t="s">
        <v>128</v>
      </c>
      <c r="E256" s="15" t="s">
        <v>1221</v>
      </c>
      <c r="F256" s="15" t="s">
        <v>225</v>
      </c>
      <c r="G256" s="15" t="s">
        <v>76</v>
      </c>
      <c r="H256" s="15" t="s">
        <v>1222</v>
      </c>
      <c r="I256" s="15" t="s">
        <v>114</v>
      </c>
      <c r="J256" s="15" t="s">
        <v>106</v>
      </c>
      <c r="K256" s="15" t="s">
        <v>46</v>
      </c>
      <c r="L256" s="15" t="s">
        <v>47</v>
      </c>
      <c r="M256" s="15">
        <v>3</v>
      </c>
      <c r="N256" s="25">
        <v>12000</v>
      </c>
      <c r="O256" s="15">
        <v>10</v>
      </c>
      <c r="P256" s="25">
        <v>32400</v>
      </c>
      <c r="Q256" s="15">
        <v>4</v>
      </c>
      <c r="R256" s="15" t="s">
        <v>79</v>
      </c>
      <c r="S256" s="15" t="s">
        <v>151</v>
      </c>
      <c r="T256" s="15" t="s">
        <v>228</v>
      </c>
      <c r="U256" s="15">
        <v>9477052923</v>
      </c>
      <c r="V256" s="15" t="s">
        <v>38</v>
      </c>
      <c r="W256" s="29" t="str" cm="1">
        <f t="array" ref="W256">_xlfn.IFS(OR(V256="Cancelled", Q256&lt;=2), "Blacklisted", AND(P256&gt;=100000, Q256&gt;=4, O256&lt;=0.1, V256="Completed"), "Platinum", AND(P256&gt;=50000, P256&lt;=99999, Q256&gt;=3, V256="Completed"), "Gold", AND(Q256&lt;50000, V256="Completed"), "Silver", V256="Pending", "Pending")</f>
        <v>Silver</v>
      </c>
    </row>
    <row r="257" spans="1:23" x14ac:dyDescent="0.5">
      <c r="A257" s="17" t="s">
        <v>1224</v>
      </c>
      <c r="B257" s="17" t="s">
        <v>221</v>
      </c>
      <c r="C257" s="17" t="s">
        <v>40</v>
      </c>
      <c r="D257" s="17" t="s">
        <v>1225</v>
      </c>
      <c r="E257" s="17" t="s">
        <v>927</v>
      </c>
      <c r="F257" s="15" t="s">
        <v>225</v>
      </c>
      <c r="G257" s="17" t="s">
        <v>76</v>
      </c>
      <c r="H257" s="17" t="s">
        <v>1226</v>
      </c>
      <c r="I257" s="17" t="s">
        <v>30</v>
      </c>
      <c r="J257" s="17" t="s">
        <v>31</v>
      </c>
      <c r="K257" s="17" t="s">
        <v>46</v>
      </c>
      <c r="L257" s="17" t="s">
        <v>47</v>
      </c>
      <c r="M257" s="17">
        <v>4</v>
      </c>
      <c r="N257" s="26">
        <v>12000</v>
      </c>
      <c r="O257" s="17">
        <v>15</v>
      </c>
      <c r="P257" s="26">
        <v>40800</v>
      </c>
      <c r="Q257" s="17">
        <v>3</v>
      </c>
      <c r="R257" s="17" t="s">
        <v>79</v>
      </c>
      <c r="S257" s="17" t="s">
        <v>35</v>
      </c>
      <c r="T257" s="17" t="s">
        <v>228</v>
      </c>
      <c r="U257" s="17">
        <v>9184311420</v>
      </c>
      <c r="V257" s="17" t="s">
        <v>64</v>
      </c>
      <c r="W257" s="29" t="str" cm="1">
        <f t="array" ref="W257">_xlfn.IFS(OR(V257="Cancelled", Q257&lt;=2), "Blacklisted", AND(P257&gt;=100000, Q257&gt;=4, O257&lt;=0.1, V257="Completed"), "Platinum", AND(P257&gt;=50000, P257&lt;=99999, Q257&gt;=3, V257="Completed"), "Gold", AND(Q257&lt;50000, V257="Completed"), "Silver", V257="Pending", "Pending")</f>
        <v>Pending</v>
      </c>
    </row>
    <row r="258" spans="1:23" x14ac:dyDescent="0.5">
      <c r="A258" s="15" t="s">
        <v>1228</v>
      </c>
      <c r="B258" s="15" t="s">
        <v>127</v>
      </c>
      <c r="C258" s="15" t="s">
        <v>40</v>
      </c>
      <c r="D258" s="15" t="s">
        <v>260</v>
      </c>
      <c r="E258" s="15" t="s">
        <v>498</v>
      </c>
      <c r="F258" s="15" t="s">
        <v>200</v>
      </c>
      <c r="G258" s="15" t="s">
        <v>76</v>
      </c>
      <c r="H258" s="15" t="s">
        <v>1229</v>
      </c>
      <c r="I258" s="15" t="s">
        <v>30</v>
      </c>
      <c r="J258" s="15" t="s">
        <v>31</v>
      </c>
      <c r="K258" s="15" t="s">
        <v>46</v>
      </c>
      <c r="L258" s="15" t="s">
        <v>47</v>
      </c>
      <c r="M258" s="15">
        <v>13</v>
      </c>
      <c r="N258" s="25">
        <v>12000</v>
      </c>
      <c r="O258" s="15">
        <v>10</v>
      </c>
      <c r="P258" s="25">
        <v>140400</v>
      </c>
      <c r="Q258" s="15">
        <v>2</v>
      </c>
      <c r="R258" s="15" t="s">
        <v>34</v>
      </c>
      <c r="S258" s="15" t="s">
        <v>151</v>
      </c>
      <c r="T258" s="15" t="s">
        <v>132</v>
      </c>
      <c r="U258" s="15">
        <v>9630913127</v>
      </c>
      <c r="V258" s="15" t="s">
        <v>69</v>
      </c>
      <c r="W258" s="29" t="str" cm="1">
        <f t="array" ref="W258">_xlfn.IFS(OR(V258="Cancelled", Q258&lt;=2), "Blacklisted", AND(P258&gt;=100000, Q258&gt;=4, O258&lt;=0.1, V258="Completed"), "Platinum", AND(P258&gt;=50000, P258&lt;=99999, Q258&gt;=3, V258="Completed"), "Gold", AND(Q258&lt;50000, V258="Completed"), "Silver", V258="Pending", "Pending")</f>
        <v>Blacklisted</v>
      </c>
    </row>
    <row r="259" spans="1:23" x14ac:dyDescent="0.5">
      <c r="A259" s="17" t="s">
        <v>1231</v>
      </c>
      <c r="B259" s="17" t="s">
        <v>23</v>
      </c>
      <c r="C259" s="17" t="s">
        <v>92</v>
      </c>
      <c r="D259" s="17" t="s">
        <v>318</v>
      </c>
      <c r="E259" s="17" t="s">
        <v>679</v>
      </c>
      <c r="F259" s="15" t="s">
        <v>27</v>
      </c>
      <c r="G259" s="17" t="s">
        <v>28</v>
      </c>
      <c r="H259" s="17" t="s">
        <v>1232</v>
      </c>
      <c r="I259" s="17" t="s">
        <v>59</v>
      </c>
      <c r="J259" s="17" t="s">
        <v>31</v>
      </c>
      <c r="K259" s="17" t="s">
        <v>32</v>
      </c>
      <c r="L259" s="17" t="s">
        <v>97</v>
      </c>
      <c r="M259" s="17">
        <v>19</v>
      </c>
      <c r="N259" s="26">
        <v>3500</v>
      </c>
      <c r="O259" s="17">
        <v>20</v>
      </c>
      <c r="P259" s="26">
        <v>53200</v>
      </c>
      <c r="Q259" s="17">
        <v>1</v>
      </c>
      <c r="R259" s="17" t="s">
        <v>34</v>
      </c>
      <c r="S259" s="17" t="s">
        <v>61</v>
      </c>
      <c r="T259" s="17" t="s">
        <v>50</v>
      </c>
      <c r="U259" s="17">
        <v>9997515828</v>
      </c>
      <c r="V259" s="17" t="s">
        <v>69</v>
      </c>
      <c r="W259" s="29" t="str" cm="1">
        <f t="array" ref="W259">_xlfn.IFS(OR(V259="Cancelled", Q259&lt;=2), "Blacklisted", AND(P259&gt;=100000, Q259&gt;=4, O259&lt;=0.1, V259="Completed"), "Platinum", AND(P259&gt;=50000, P259&lt;=99999, Q259&gt;=3, V259="Completed"), "Gold", AND(Q259&lt;50000, V259="Completed"), "Silver", V259="Pending", "Pending")</f>
        <v>Blacklisted</v>
      </c>
    </row>
    <row r="260" spans="1:23" x14ac:dyDescent="0.5">
      <c r="A260" s="15" t="s">
        <v>1234</v>
      </c>
      <c r="B260" s="15" t="s">
        <v>23</v>
      </c>
      <c r="C260" s="15" t="s">
        <v>24</v>
      </c>
      <c r="D260" s="15" t="s">
        <v>932</v>
      </c>
      <c r="E260" s="15" t="s">
        <v>436</v>
      </c>
      <c r="F260" s="15" t="s">
        <v>27</v>
      </c>
      <c r="G260" s="15" t="s">
        <v>28</v>
      </c>
      <c r="H260" s="15" t="s">
        <v>1235</v>
      </c>
      <c r="I260" s="15" t="s">
        <v>105</v>
      </c>
      <c r="J260" s="15" t="s">
        <v>106</v>
      </c>
      <c r="K260" s="15" t="s">
        <v>32</v>
      </c>
      <c r="L260" s="15" t="s">
        <v>33</v>
      </c>
      <c r="M260" s="15">
        <v>7</v>
      </c>
      <c r="N260" s="25">
        <v>2200</v>
      </c>
      <c r="O260" s="15">
        <v>5</v>
      </c>
      <c r="P260" s="25">
        <v>14630</v>
      </c>
      <c r="Q260" s="15">
        <v>3</v>
      </c>
      <c r="R260" s="15" t="s">
        <v>88</v>
      </c>
      <c r="S260" s="15" t="s">
        <v>61</v>
      </c>
      <c r="T260" s="15" t="s">
        <v>50</v>
      </c>
      <c r="U260" s="15">
        <v>9394291182</v>
      </c>
      <c r="V260" s="15" t="s">
        <v>69</v>
      </c>
      <c r="W260" s="29" t="str" cm="1">
        <f t="array" ref="W260">_xlfn.IFS(OR(V260="Cancelled", Q260&lt;=2), "Blacklisted", AND(P260&gt;=100000, Q260&gt;=4, O260&lt;=0.1, V260="Completed"), "Platinum", AND(P260&gt;=50000, P260&lt;=99999, Q260&gt;=3, V260="Completed"), "Gold", AND(Q260&lt;50000, V260="Completed"), "Silver", V260="Pending", "Pending")</f>
        <v>Blacklisted</v>
      </c>
    </row>
    <row r="261" spans="1:23" x14ac:dyDescent="0.5">
      <c r="A261" s="17" t="s">
        <v>1237</v>
      </c>
      <c r="B261" s="17" t="s">
        <v>83</v>
      </c>
      <c r="C261" s="17" t="s">
        <v>184</v>
      </c>
      <c r="D261" s="17" t="s">
        <v>1238</v>
      </c>
      <c r="E261" s="17" t="s">
        <v>426</v>
      </c>
      <c r="F261" s="15" t="s">
        <v>180</v>
      </c>
      <c r="G261" s="17" t="s">
        <v>76</v>
      </c>
      <c r="H261" s="17" t="s">
        <v>1239</v>
      </c>
      <c r="I261" s="17" t="s">
        <v>212</v>
      </c>
      <c r="J261" s="17" t="s">
        <v>45</v>
      </c>
      <c r="K261" s="17" t="s">
        <v>46</v>
      </c>
      <c r="L261" s="17" t="s">
        <v>189</v>
      </c>
      <c r="M261" s="17">
        <v>18</v>
      </c>
      <c r="N261" s="26">
        <v>700</v>
      </c>
      <c r="O261" s="17">
        <v>5</v>
      </c>
      <c r="P261" s="26">
        <v>11970</v>
      </c>
      <c r="Q261" s="17">
        <v>2</v>
      </c>
      <c r="R261" s="17" t="s">
        <v>88</v>
      </c>
      <c r="S261" s="17" t="s">
        <v>61</v>
      </c>
      <c r="T261" s="17" t="s">
        <v>89</v>
      </c>
      <c r="U261" s="17">
        <v>9616853220</v>
      </c>
      <c r="V261" s="17" t="s">
        <v>69</v>
      </c>
      <c r="W261" s="29" t="str" cm="1">
        <f t="array" ref="W261">_xlfn.IFS(OR(V261="Cancelled", Q261&lt;=2), "Blacklisted", AND(P261&gt;=100000, Q261&gt;=4, O261&lt;=0.1, V261="Completed"), "Platinum", AND(P261&gt;=50000, P261&lt;=99999, Q261&gt;=3, V261="Completed"), "Gold", AND(Q261&lt;50000, V261="Completed"), "Silver", V261="Pending", "Pending")</f>
        <v>Blacklisted</v>
      </c>
    </row>
    <row r="262" spans="1:23" x14ac:dyDescent="0.5">
      <c r="A262" s="15" t="s">
        <v>1241</v>
      </c>
      <c r="B262" s="15" t="s">
        <v>23</v>
      </c>
      <c r="C262" s="15" t="s">
        <v>222</v>
      </c>
      <c r="D262" s="15" t="s">
        <v>1106</v>
      </c>
      <c r="E262" s="15" t="s">
        <v>1242</v>
      </c>
      <c r="F262" s="15" t="s">
        <v>27</v>
      </c>
      <c r="G262" s="15" t="s">
        <v>28</v>
      </c>
      <c r="H262" s="15" t="s">
        <v>1243</v>
      </c>
      <c r="I262" s="15" t="s">
        <v>294</v>
      </c>
      <c r="J262" s="15" t="s">
        <v>295</v>
      </c>
      <c r="K262" s="15" t="s">
        <v>122</v>
      </c>
      <c r="L262" s="15" t="s">
        <v>227</v>
      </c>
      <c r="M262" s="15">
        <v>11</v>
      </c>
      <c r="N262" s="25">
        <v>20</v>
      </c>
      <c r="O262" s="15">
        <v>0</v>
      </c>
      <c r="P262" s="25">
        <v>220</v>
      </c>
      <c r="Q262" s="15">
        <v>2</v>
      </c>
      <c r="R262" s="15" t="s">
        <v>48</v>
      </c>
      <c r="S262" s="15" t="s">
        <v>115</v>
      </c>
      <c r="T262" s="15" t="s">
        <v>50</v>
      </c>
      <c r="U262" s="15">
        <v>9147552626</v>
      </c>
      <c r="V262" s="15" t="s">
        <v>69</v>
      </c>
      <c r="W262" s="29" t="str" cm="1">
        <f t="array" ref="W262">_xlfn.IFS(OR(V262="Cancelled", Q262&lt;=2), "Blacklisted", AND(P262&gt;=100000, Q262&gt;=4, O262&lt;=0.1, V262="Completed"), "Platinum", AND(P262&gt;=50000, P262&lt;=99999, Q262&gt;=3, V262="Completed"), "Gold", AND(Q262&lt;50000, V262="Completed"), "Silver", V262="Pending", "Pending")</f>
        <v>Blacklisted</v>
      </c>
    </row>
    <row r="263" spans="1:23" x14ac:dyDescent="0.5">
      <c r="A263" s="17" t="s">
        <v>1245</v>
      </c>
      <c r="B263" s="17" t="s">
        <v>327</v>
      </c>
      <c r="C263" s="17" t="s">
        <v>40</v>
      </c>
      <c r="D263" s="17" t="s">
        <v>1069</v>
      </c>
      <c r="E263" s="17" t="s">
        <v>272</v>
      </c>
      <c r="F263" s="15" t="s">
        <v>394</v>
      </c>
      <c r="G263" s="17" t="s">
        <v>76</v>
      </c>
      <c r="H263" s="17" t="s">
        <v>1246</v>
      </c>
      <c r="I263" s="17" t="s">
        <v>114</v>
      </c>
      <c r="J263" s="17" t="s">
        <v>106</v>
      </c>
      <c r="K263" s="17" t="s">
        <v>46</v>
      </c>
      <c r="L263" s="17" t="s">
        <v>47</v>
      </c>
      <c r="M263" s="17">
        <v>17</v>
      </c>
      <c r="N263" s="26">
        <v>12000</v>
      </c>
      <c r="O263" s="17">
        <v>20</v>
      </c>
      <c r="P263" s="26">
        <v>163200</v>
      </c>
      <c r="Q263" s="17">
        <v>4</v>
      </c>
      <c r="R263" s="17" t="s">
        <v>88</v>
      </c>
      <c r="S263" s="17" t="s">
        <v>151</v>
      </c>
      <c r="T263" s="17" t="s">
        <v>332</v>
      </c>
      <c r="U263" s="17">
        <v>9724197033</v>
      </c>
      <c r="V263" s="17" t="s">
        <v>38</v>
      </c>
      <c r="W263" s="29" t="str" cm="1">
        <f t="array" ref="W263">_xlfn.IFS(OR(V263="Cancelled", Q263&lt;=2), "Blacklisted", AND(P263&gt;=100000, Q263&gt;=4, O263&lt;=0.1, V263="Completed"), "Platinum", AND(P263&gt;=50000, P263&lt;=99999, Q263&gt;=3, V263="Completed"), "Gold", AND(Q263&lt;50000, V263="Completed"), "Silver", V263="Pending", "Pending")</f>
        <v>Silver</v>
      </c>
    </row>
    <row r="264" spans="1:23" x14ac:dyDescent="0.5">
      <c r="A264" s="15" t="s">
        <v>1248</v>
      </c>
      <c r="B264" s="15" t="s">
        <v>251</v>
      </c>
      <c r="C264" s="15" t="s">
        <v>24</v>
      </c>
      <c r="D264" s="15" t="s">
        <v>1249</v>
      </c>
      <c r="E264" s="15" t="s">
        <v>267</v>
      </c>
      <c r="F264" s="15" t="s">
        <v>254</v>
      </c>
      <c r="G264" s="15" t="s">
        <v>28</v>
      </c>
      <c r="H264" s="15" t="s">
        <v>1250</v>
      </c>
      <c r="I264" s="15" t="s">
        <v>294</v>
      </c>
      <c r="J264" s="15" t="s">
        <v>295</v>
      </c>
      <c r="K264" s="15" t="s">
        <v>32</v>
      </c>
      <c r="L264" s="15" t="s">
        <v>33</v>
      </c>
      <c r="M264" s="15">
        <v>4</v>
      </c>
      <c r="N264" s="25">
        <v>2200</v>
      </c>
      <c r="O264" s="15">
        <v>5</v>
      </c>
      <c r="P264" s="25">
        <v>8360</v>
      </c>
      <c r="Q264" s="15">
        <v>2</v>
      </c>
      <c r="R264" s="15" t="s">
        <v>34</v>
      </c>
      <c r="S264" s="15" t="s">
        <v>35</v>
      </c>
      <c r="T264" s="15" t="s">
        <v>256</v>
      </c>
      <c r="U264" s="15">
        <v>9130666128</v>
      </c>
      <c r="V264" s="15" t="s">
        <v>38</v>
      </c>
      <c r="W264" s="29" t="str" cm="1">
        <f t="array" ref="W264">_xlfn.IFS(OR(V264="Cancelled", Q264&lt;=2), "Blacklisted", AND(P264&gt;=100000, Q264&gt;=4, O264&lt;=0.1, V264="Completed"), "Platinum", AND(P264&gt;=50000, P264&lt;=99999, Q264&gt;=3, V264="Completed"), "Gold", AND(Q264&lt;50000, V264="Completed"), "Silver", V264="Pending", "Pending")</f>
        <v>Blacklisted</v>
      </c>
    </row>
    <row r="265" spans="1:23" x14ac:dyDescent="0.5">
      <c r="A265" s="17" t="s">
        <v>1252</v>
      </c>
      <c r="B265" s="17" t="s">
        <v>23</v>
      </c>
      <c r="C265" s="17" t="s">
        <v>54</v>
      </c>
      <c r="D265" s="17" t="s">
        <v>1253</v>
      </c>
      <c r="E265" s="17" t="s">
        <v>455</v>
      </c>
      <c r="F265" s="15" t="s">
        <v>27</v>
      </c>
      <c r="G265" s="17" t="s">
        <v>28</v>
      </c>
      <c r="H265" s="17" t="s">
        <v>1254</v>
      </c>
      <c r="I265" s="17" t="s">
        <v>138</v>
      </c>
      <c r="J265" s="17" t="s">
        <v>106</v>
      </c>
      <c r="K265" s="17" t="s">
        <v>46</v>
      </c>
      <c r="L265" s="17" t="s">
        <v>60</v>
      </c>
      <c r="M265" s="17">
        <v>6</v>
      </c>
      <c r="N265" s="26">
        <v>55000</v>
      </c>
      <c r="O265" s="17">
        <v>20</v>
      </c>
      <c r="P265" s="26">
        <v>264000</v>
      </c>
      <c r="Q265" s="17">
        <v>2</v>
      </c>
      <c r="R265" s="17" t="s">
        <v>88</v>
      </c>
      <c r="S265" s="17" t="s">
        <v>151</v>
      </c>
      <c r="T265" s="17" t="s">
        <v>50</v>
      </c>
      <c r="U265" s="17">
        <v>9866567601</v>
      </c>
      <c r="V265" s="17" t="s">
        <v>69</v>
      </c>
      <c r="W265" s="29" t="str" cm="1">
        <f t="array" ref="W265">_xlfn.IFS(OR(V265="Cancelled", Q265&lt;=2), "Blacklisted", AND(P265&gt;=100000, Q265&gt;=4, O265&lt;=0.1, V265="Completed"), "Platinum", AND(P265&gt;=50000, P265&lt;=99999, Q265&gt;=3, V265="Completed"), "Gold", AND(Q265&lt;50000, V265="Completed"), "Silver", V265="Pending", "Pending")</f>
        <v>Blacklisted</v>
      </c>
    </row>
    <row r="266" spans="1:23" x14ac:dyDescent="0.5">
      <c r="A266" s="15" t="s">
        <v>1256</v>
      </c>
      <c r="B266" s="15" t="s">
        <v>71</v>
      </c>
      <c r="C266" s="15" t="s">
        <v>169</v>
      </c>
      <c r="D266" s="15" t="s">
        <v>84</v>
      </c>
      <c r="E266" s="15" t="s">
        <v>998</v>
      </c>
      <c r="F266" s="15" t="s">
        <v>217</v>
      </c>
      <c r="G266" s="15" t="s">
        <v>76</v>
      </c>
      <c r="H266" s="15" t="s">
        <v>1257</v>
      </c>
      <c r="I266" s="15" t="s">
        <v>44</v>
      </c>
      <c r="J266" s="15" t="s">
        <v>45</v>
      </c>
      <c r="K266" s="15" t="s">
        <v>32</v>
      </c>
      <c r="L266" s="15" t="s">
        <v>174</v>
      </c>
      <c r="M266" s="15">
        <v>6</v>
      </c>
      <c r="N266" s="25">
        <v>8500</v>
      </c>
      <c r="O266" s="15">
        <v>10</v>
      </c>
      <c r="P266" s="25">
        <v>45900</v>
      </c>
      <c r="Q266" s="15">
        <v>5</v>
      </c>
      <c r="R266" s="15" t="s">
        <v>88</v>
      </c>
      <c r="S266" s="15" t="s">
        <v>61</v>
      </c>
      <c r="T266" s="15" t="s">
        <v>80</v>
      </c>
      <c r="U266" s="15">
        <v>9477282450</v>
      </c>
      <c r="V266" s="15" t="s">
        <v>38</v>
      </c>
      <c r="W266" s="29" t="str" cm="1">
        <f t="array" ref="W266">_xlfn.IFS(OR(V266="Cancelled", Q266&lt;=2), "Blacklisted", AND(P266&gt;=100000, Q266&gt;=4, O266&lt;=0.1, V266="Completed"), "Platinum", AND(P266&gt;=50000, P266&lt;=99999, Q266&gt;=3, V266="Completed"), "Gold", AND(Q266&lt;50000, V266="Completed"), "Silver", V266="Pending", "Pending")</f>
        <v>Silver</v>
      </c>
    </row>
    <row r="267" spans="1:23" x14ac:dyDescent="0.5">
      <c r="A267" s="17" t="s">
        <v>1259</v>
      </c>
      <c r="B267" s="17" t="s">
        <v>23</v>
      </c>
      <c r="C267" s="17" t="s">
        <v>222</v>
      </c>
      <c r="D267" s="17" t="s">
        <v>558</v>
      </c>
      <c r="E267" s="17" t="s">
        <v>371</v>
      </c>
      <c r="F267" s="15" t="s">
        <v>27</v>
      </c>
      <c r="G267" s="17" t="s">
        <v>28</v>
      </c>
      <c r="H267" s="17" t="s">
        <v>1260</v>
      </c>
      <c r="I267" s="17" t="s">
        <v>212</v>
      </c>
      <c r="J267" s="17" t="s">
        <v>45</v>
      </c>
      <c r="K267" s="17" t="s">
        <v>122</v>
      </c>
      <c r="L267" s="17" t="s">
        <v>227</v>
      </c>
      <c r="M267" s="17">
        <v>6</v>
      </c>
      <c r="N267" s="26">
        <v>20</v>
      </c>
      <c r="O267" s="17">
        <v>15</v>
      </c>
      <c r="P267" s="26">
        <v>102</v>
      </c>
      <c r="Q267" s="17">
        <v>2</v>
      </c>
      <c r="R267" s="17" t="s">
        <v>88</v>
      </c>
      <c r="S267" s="17" t="s">
        <v>49</v>
      </c>
      <c r="T267" s="17" t="s">
        <v>50</v>
      </c>
      <c r="U267" s="17">
        <v>9857621478</v>
      </c>
      <c r="V267" s="17" t="s">
        <v>69</v>
      </c>
      <c r="W267" s="29" t="str" cm="1">
        <f t="array" ref="W267">_xlfn.IFS(OR(V267="Cancelled", Q267&lt;=2), "Blacklisted", AND(P267&gt;=100000, Q267&gt;=4, O267&lt;=0.1, V267="Completed"), "Platinum", AND(P267&gt;=50000, P267&lt;=99999, Q267&gt;=3, V267="Completed"), "Gold", AND(Q267&lt;50000, V267="Completed"), "Silver", V267="Pending", "Pending")</f>
        <v>Blacklisted</v>
      </c>
    </row>
    <row r="268" spans="1:23" x14ac:dyDescent="0.5">
      <c r="A268" s="15" t="s">
        <v>1262</v>
      </c>
      <c r="B268" s="15" t="s">
        <v>53</v>
      </c>
      <c r="C268" s="15" t="s">
        <v>118</v>
      </c>
      <c r="D268" s="15" t="s">
        <v>1263</v>
      </c>
      <c r="E268" s="15" t="s">
        <v>597</v>
      </c>
      <c r="F268" s="15" t="s">
        <v>163</v>
      </c>
      <c r="G268" s="15" t="s">
        <v>28</v>
      </c>
      <c r="H268" s="15" t="s">
        <v>1264</v>
      </c>
      <c r="I268" s="15" t="s">
        <v>105</v>
      </c>
      <c r="J268" s="15" t="s">
        <v>106</v>
      </c>
      <c r="K268" s="15" t="s">
        <v>122</v>
      </c>
      <c r="L268" s="15" t="s">
        <v>123</v>
      </c>
      <c r="M268" s="15">
        <v>6</v>
      </c>
      <c r="N268" s="25">
        <v>60</v>
      </c>
      <c r="O268" s="15">
        <v>5</v>
      </c>
      <c r="P268" s="25">
        <v>342</v>
      </c>
      <c r="Q268" s="15">
        <v>1</v>
      </c>
      <c r="R268" s="15" t="s">
        <v>48</v>
      </c>
      <c r="S268" s="15" t="s">
        <v>61</v>
      </c>
      <c r="T268" s="15" t="s">
        <v>62</v>
      </c>
      <c r="U268" s="15">
        <v>9753869055</v>
      </c>
      <c r="V268" s="15" t="s">
        <v>38</v>
      </c>
      <c r="W268" s="29" t="str" cm="1">
        <f t="array" ref="W268">_xlfn.IFS(OR(V268="Cancelled", Q268&lt;=2), "Blacklisted", AND(P268&gt;=100000, Q268&gt;=4, O268&lt;=0.1, V268="Completed"), "Platinum", AND(P268&gt;=50000, P268&lt;=99999, Q268&gt;=3, V268="Completed"), "Gold", AND(Q268&lt;50000, V268="Completed"), "Silver", V268="Pending", "Pending")</f>
        <v>Blacklisted</v>
      </c>
    </row>
    <row r="269" spans="1:23" x14ac:dyDescent="0.5">
      <c r="A269" s="17" t="s">
        <v>1266</v>
      </c>
      <c r="B269" s="17" t="s">
        <v>127</v>
      </c>
      <c r="C269" s="17" t="s">
        <v>169</v>
      </c>
      <c r="D269" s="17" t="s">
        <v>1267</v>
      </c>
      <c r="E269" s="17" t="s">
        <v>1268</v>
      </c>
      <c r="F269" s="15" t="s">
        <v>200</v>
      </c>
      <c r="G269" s="17" t="s">
        <v>76</v>
      </c>
      <c r="H269" s="17" t="s">
        <v>1269</v>
      </c>
      <c r="I269" s="17" t="s">
        <v>30</v>
      </c>
      <c r="J269" s="17" t="s">
        <v>31</v>
      </c>
      <c r="K269" s="17" t="s">
        <v>32</v>
      </c>
      <c r="L269" s="17" t="s">
        <v>174</v>
      </c>
      <c r="M269" s="17">
        <v>19</v>
      </c>
      <c r="N269" s="26">
        <v>8500</v>
      </c>
      <c r="O269" s="17">
        <v>0</v>
      </c>
      <c r="P269" s="26">
        <v>161500</v>
      </c>
      <c r="Q269" s="17">
        <v>5</v>
      </c>
      <c r="R269" s="17" t="s">
        <v>88</v>
      </c>
      <c r="S269" s="17" t="s">
        <v>151</v>
      </c>
      <c r="T269" s="17" t="s">
        <v>132</v>
      </c>
      <c r="U269" s="17">
        <v>9663266204</v>
      </c>
      <c r="V269" s="17" t="s">
        <v>38</v>
      </c>
      <c r="W269" s="29" t="str" cm="1">
        <f t="array" ref="W269">_xlfn.IFS(OR(V269="Cancelled", Q269&lt;=2), "Blacklisted", AND(P269&gt;=100000, Q269&gt;=4, O269&lt;=0.1, V269="Completed"), "Platinum", AND(P269&gt;=50000, P269&lt;=99999, Q269&gt;=3, V269="Completed"), "Gold", AND(Q269&lt;50000, V269="Completed"), "Silver", V269="Pending", "Pending")</f>
        <v>Platinum</v>
      </c>
    </row>
    <row r="270" spans="1:23" x14ac:dyDescent="0.5">
      <c r="A270" s="15" t="s">
        <v>1271</v>
      </c>
      <c r="B270" s="15" t="s">
        <v>251</v>
      </c>
      <c r="C270" s="15" t="s">
        <v>54</v>
      </c>
      <c r="D270" s="15" t="s">
        <v>445</v>
      </c>
      <c r="E270" s="15" t="s">
        <v>573</v>
      </c>
      <c r="F270" s="15" t="s">
        <v>254</v>
      </c>
      <c r="G270" s="15" t="s">
        <v>28</v>
      </c>
      <c r="H270" s="15" t="s">
        <v>1272</v>
      </c>
      <c r="I270" s="15" t="s">
        <v>212</v>
      </c>
      <c r="J270" s="15" t="s">
        <v>45</v>
      </c>
      <c r="K270" s="15" t="s">
        <v>46</v>
      </c>
      <c r="L270" s="15" t="s">
        <v>60</v>
      </c>
      <c r="M270" s="15">
        <v>8</v>
      </c>
      <c r="N270" s="25">
        <v>55000</v>
      </c>
      <c r="O270" s="15">
        <v>0</v>
      </c>
      <c r="P270" s="25">
        <v>440000</v>
      </c>
      <c r="Q270" s="15">
        <v>3</v>
      </c>
      <c r="R270" s="15" t="s">
        <v>79</v>
      </c>
      <c r="S270" s="15" t="s">
        <v>115</v>
      </c>
      <c r="T270" s="15" t="s">
        <v>256</v>
      </c>
      <c r="U270" s="15">
        <v>9675208616</v>
      </c>
      <c r="V270" s="15" t="s">
        <v>64</v>
      </c>
      <c r="W270" s="29" t="str" cm="1">
        <f t="array" ref="W270">_xlfn.IFS(OR(V270="Cancelled", Q270&lt;=2), "Blacklisted", AND(P270&gt;=100000, Q270&gt;=4, O270&lt;=0.1, V270="Completed"), "Platinum", AND(P270&gt;=50000, P270&lt;=99999, Q270&gt;=3, V270="Completed"), "Gold", AND(Q270&lt;50000, V270="Completed"), "Silver", V270="Pending", "Pending")</f>
        <v>Pending</v>
      </c>
    </row>
    <row r="271" spans="1:23" x14ac:dyDescent="0.5">
      <c r="A271" s="17" t="s">
        <v>1274</v>
      </c>
      <c r="B271" s="17" t="s">
        <v>71</v>
      </c>
      <c r="C271" s="17" t="s">
        <v>40</v>
      </c>
      <c r="D271" s="17" t="s">
        <v>1098</v>
      </c>
      <c r="E271" s="17" t="s">
        <v>583</v>
      </c>
      <c r="F271" s="15" t="s">
        <v>217</v>
      </c>
      <c r="G271" s="17" t="s">
        <v>76</v>
      </c>
      <c r="H271" s="17" t="s">
        <v>1275</v>
      </c>
      <c r="I271" s="17" t="s">
        <v>294</v>
      </c>
      <c r="J271" s="17" t="s">
        <v>295</v>
      </c>
      <c r="K271" s="17" t="s">
        <v>46</v>
      </c>
      <c r="L271" s="17" t="s">
        <v>47</v>
      </c>
      <c r="M271" s="17">
        <v>18</v>
      </c>
      <c r="N271" s="26">
        <v>12000</v>
      </c>
      <c r="O271" s="17">
        <v>20</v>
      </c>
      <c r="P271" s="26">
        <v>172800</v>
      </c>
      <c r="Q271" s="17">
        <v>5</v>
      </c>
      <c r="R271" s="17" t="s">
        <v>88</v>
      </c>
      <c r="S271" s="17" t="s">
        <v>61</v>
      </c>
      <c r="T271" s="17" t="s">
        <v>80</v>
      </c>
      <c r="U271" s="17">
        <v>9618393586</v>
      </c>
      <c r="V271" s="17" t="s">
        <v>69</v>
      </c>
      <c r="W271" s="29" t="str" cm="1">
        <f t="array" ref="W271">_xlfn.IFS(OR(V271="Cancelled", Q271&lt;=2), "Blacklisted", AND(P271&gt;=100000, Q271&gt;=4, O271&lt;=0.1, V271="Completed"), "Platinum", AND(P271&gt;=50000, P271&lt;=99999, Q271&gt;=3, V271="Completed"), "Gold", AND(Q271&lt;50000, V271="Completed"), "Silver", V271="Pending", "Pending")</f>
        <v>Blacklisted</v>
      </c>
    </row>
    <row r="272" spans="1:23" x14ac:dyDescent="0.5">
      <c r="A272" s="15" t="s">
        <v>1277</v>
      </c>
      <c r="B272" s="15" t="s">
        <v>127</v>
      </c>
      <c r="C272" s="15" t="s">
        <v>169</v>
      </c>
      <c r="D272" s="15" t="s">
        <v>1278</v>
      </c>
      <c r="E272" s="15" t="s">
        <v>198</v>
      </c>
      <c r="F272" s="15" t="s">
        <v>200</v>
      </c>
      <c r="G272" s="15" t="s">
        <v>76</v>
      </c>
      <c r="H272" s="15" t="s">
        <v>1279</v>
      </c>
      <c r="I272" s="15" t="s">
        <v>138</v>
      </c>
      <c r="J272" s="15" t="s">
        <v>106</v>
      </c>
      <c r="K272" s="15" t="s">
        <v>32</v>
      </c>
      <c r="L272" s="15" t="s">
        <v>174</v>
      </c>
      <c r="M272" s="15">
        <v>8</v>
      </c>
      <c r="N272" s="25">
        <v>8500</v>
      </c>
      <c r="O272" s="15">
        <v>5</v>
      </c>
      <c r="P272" s="25">
        <v>64600</v>
      </c>
      <c r="Q272" s="15">
        <v>2</v>
      </c>
      <c r="R272" s="15" t="s">
        <v>79</v>
      </c>
      <c r="S272" s="15" t="s">
        <v>61</v>
      </c>
      <c r="T272" s="15" t="s">
        <v>132</v>
      </c>
      <c r="U272" s="15">
        <v>9137027840</v>
      </c>
      <c r="V272" s="15" t="s">
        <v>69</v>
      </c>
      <c r="W272" s="29" t="str" cm="1">
        <f t="array" ref="W272">_xlfn.IFS(OR(V272="Cancelled", Q272&lt;=2), "Blacklisted", AND(P272&gt;=100000, Q272&gt;=4, O272&lt;=0.1, V272="Completed"), "Platinum", AND(P272&gt;=50000, P272&lt;=99999, Q272&gt;=3, V272="Completed"), "Gold", AND(Q272&lt;50000, V272="Completed"), "Silver", V272="Pending", "Pending")</f>
        <v>Blacklisted</v>
      </c>
    </row>
    <row r="273" spans="1:23" x14ac:dyDescent="0.5">
      <c r="A273" s="17" t="s">
        <v>1281</v>
      </c>
      <c r="B273" s="17" t="s">
        <v>23</v>
      </c>
      <c r="C273" s="17" t="s">
        <v>222</v>
      </c>
      <c r="D273" s="17" t="s">
        <v>1282</v>
      </c>
      <c r="E273" s="17" t="s">
        <v>724</v>
      </c>
      <c r="F273" s="15" t="s">
        <v>27</v>
      </c>
      <c r="G273" s="17" t="s">
        <v>28</v>
      </c>
      <c r="H273" s="17" t="s">
        <v>1283</v>
      </c>
      <c r="I273" s="17" t="s">
        <v>105</v>
      </c>
      <c r="J273" s="17" t="s">
        <v>106</v>
      </c>
      <c r="K273" s="17" t="s">
        <v>122</v>
      </c>
      <c r="L273" s="17" t="s">
        <v>227</v>
      </c>
      <c r="M273" s="17">
        <v>13</v>
      </c>
      <c r="N273" s="26">
        <v>20</v>
      </c>
      <c r="O273" s="17">
        <v>5</v>
      </c>
      <c r="P273" s="26">
        <v>247</v>
      </c>
      <c r="Q273" s="17">
        <v>3</v>
      </c>
      <c r="R273" s="17" t="s">
        <v>48</v>
      </c>
      <c r="S273" s="17" t="s">
        <v>115</v>
      </c>
      <c r="T273" s="17" t="s">
        <v>50</v>
      </c>
      <c r="U273" s="17">
        <v>9362758134</v>
      </c>
      <c r="V273" s="17" t="s">
        <v>64</v>
      </c>
      <c r="W273" s="29" t="str" cm="1">
        <f t="array" ref="W273">_xlfn.IFS(OR(V273="Cancelled", Q273&lt;=2), "Blacklisted", AND(P273&gt;=100000, Q273&gt;=4, O273&lt;=0.1, V273="Completed"), "Platinum", AND(P273&gt;=50000, P273&lt;=99999, Q273&gt;=3, V273="Completed"), "Gold", AND(Q273&lt;50000, V273="Completed"), "Silver", V273="Pending", "Pending")</f>
        <v>Pending</v>
      </c>
    </row>
    <row r="274" spans="1:23" x14ac:dyDescent="0.5">
      <c r="A274" s="15" t="s">
        <v>1285</v>
      </c>
      <c r="B274" s="15" t="s">
        <v>83</v>
      </c>
      <c r="C274" s="15" t="s">
        <v>118</v>
      </c>
      <c r="D274" s="15" t="s">
        <v>740</v>
      </c>
      <c r="E274" s="15" t="s">
        <v>1286</v>
      </c>
      <c r="F274" s="15" t="s">
        <v>180</v>
      </c>
      <c r="G274" s="15" t="s">
        <v>76</v>
      </c>
      <c r="H274" s="15" t="s">
        <v>1287</v>
      </c>
      <c r="I274" s="15" t="s">
        <v>212</v>
      </c>
      <c r="J274" s="15" t="s">
        <v>45</v>
      </c>
      <c r="K274" s="15" t="s">
        <v>122</v>
      </c>
      <c r="L274" s="15" t="s">
        <v>123</v>
      </c>
      <c r="M274" s="15">
        <v>1</v>
      </c>
      <c r="N274" s="25">
        <v>60</v>
      </c>
      <c r="O274" s="15">
        <v>15</v>
      </c>
      <c r="P274" s="25">
        <v>51</v>
      </c>
      <c r="Q274" s="15">
        <v>2</v>
      </c>
      <c r="R274" s="15" t="s">
        <v>79</v>
      </c>
      <c r="S274" s="15" t="s">
        <v>61</v>
      </c>
      <c r="T274" s="15" t="s">
        <v>89</v>
      </c>
      <c r="U274" s="15">
        <v>9648541985</v>
      </c>
      <c r="V274" s="15" t="s">
        <v>69</v>
      </c>
      <c r="W274" s="29" t="str" cm="1">
        <f t="array" ref="W274">_xlfn.IFS(OR(V274="Cancelled", Q274&lt;=2), "Blacklisted", AND(P274&gt;=100000, Q274&gt;=4, O274&lt;=0.1, V274="Completed"), "Platinum", AND(P274&gt;=50000, P274&lt;=99999, Q274&gt;=3, V274="Completed"), "Gold", AND(Q274&lt;50000, V274="Completed"), "Silver", V274="Pending", "Pending")</f>
        <v>Blacklisted</v>
      </c>
    </row>
    <row r="275" spans="1:23" x14ac:dyDescent="0.5">
      <c r="A275" s="17" t="s">
        <v>1289</v>
      </c>
      <c r="B275" s="17" t="s">
        <v>53</v>
      </c>
      <c r="C275" s="17" t="s">
        <v>222</v>
      </c>
      <c r="D275" s="17" t="s">
        <v>1290</v>
      </c>
      <c r="E275" s="17" t="s">
        <v>965</v>
      </c>
      <c r="F275" s="15" t="s">
        <v>163</v>
      </c>
      <c r="G275" s="17" t="s">
        <v>28</v>
      </c>
      <c r="H275" s="17" t="s">
        <v>1291</v>
      </c>
      <c r="I275" s="17" t="s">
        <v>114</v>
      </c>
      <c r="J275" s="17" t="s">
        <v>106</v>
      </c>
      <c r="K275" s="17" t="s">
        <v>122</v>
      </c>
      <c r="L275" s="17" t="s">
        <v>227</v>
      </c>
      <c r="M275" s="17">
        <v>5</v>
      </c>
      <c r="N275" s="26">
        <v>20</v>
      </c>
      <c r="O275" s="17">
        <v>5</v>
      </c>
      <c r="P275" s="26">
        <v>95</v>
      </c>
      <c r="Q275" s="17">
        <v>2</v>
      </c>
      <c r="R275" s="17" t="s">
        <v>48</v>
      </c>
      <c r="S275" s="17" t="s">
        <v>49</v>
      </c>
      <c r="T275" s="17" t="s">
        <v>62</v>
      </c>
      <c r="U275" s="17">
        <v>9175002781</v>
      </c>
      <c r="V275" s="17" t="s">
        <v>64</v>
      </c>
      <c r="W275" s="29" t="str" cm="1">
        <f t="array" ref="W275">_xlfn.IFS(OR(V275="Cancelled", Q275&lt;=2), "Blacklisted", AND(P275&gt;=100000, Q275&gt;=4, O275&lt;=0.1, V275="Completed"), "Platinum", AND(P275&gt;=50000, P275&lt;=99999, Q275&gt;=3, V275="Completed"), "Gold", AND(Q275&lt;50000, V275="Completed"), "Silver", V275="Pending", "Pending")</f>
        <v>Blacklisted</v>
      </c>
    </row>
    <row r="276" spans="1:23" x14ac:dyDescent="0.5">
      <c r="A276" s="15" t="s">
        <v>1293</v>
      </c>
      <c r="B276" s="15" t="s">
        <v>221</v>
      </c>
      <c r="C276" s="15" t="s">
        <v>222</v>
      </c>
      <c r="D276" s="15" t="s">
        <v>1294</v>
      </c>
      <c r="E276" s="15" t="s">
        <v>1017</v>
      </c>
      <c r="F276" s="15" t="s">
        <v>225</v>
      </c>
      <c r="G276" s="15" t="s">
        <v>76</v>
      </c>
      <c r="H276" s="15" t="s">
        <v>1295</v>
      </c>
      <c r="I276" s="15" t="s">
        <v>294</v>
      </c>
      <c r="J276" s="15" t="s">
        <v>295</v>
      </c>
      <c r="K276" s="15" t="s">
        <v>122</v>
      </c>
      <c r="L276" s="15" t="s">
        <v>227</v>
      </c>
      <c r="M276" s="15">
        <v>19</v>
      </c>
      <c r="N276" s="25">
        <v>20</v>
      </c>
      <c r="O276" s="15">
        <v>20</v>
      </c>
      <c r="P276" s="25">
        <v>304</v>
      </c>
      <c r="Q276" s="15">
        <v>3</v>
      </c>
      <c r="R276" s="15" t="s">
        <v>34</v>
      </c>
      <c r="S276" s="15" t="s">
        <v>35</v>
      </c>
      <c r="T276" s="15" t="s">
        <v>228</v>
      </c>
      <c r="U276" s="15">
        <v>9786241263</v>
      </c>
      <c r="V276" s="15" t="s">
        <v>69</v>
      </c>
      <c r="W276" s="29" t="str" cm="1">
        <f t="array" ref="W276">_xlfn.IFS(OR(V276="Cancelled", Q276&lt;=2), "Blacklisted", AND(P276&gt;=100000, Q276&gt;=4, O276&lt;=0.1, V276="Completed"), "Platinum", AND(P276&gt;=50000, P276&lt;=99999, Q276&gt;=3, V276="Completed"), "Gold", AND(Q276&lt;50000, V276="Completed"), "Silver", V276="Pending", "Pending")</f>
        <v>Blacklisted</v>
      </c>
    </row>
    <row r="277" spans="1:23" x14ac:dyDescent="0.5">
      <c r="A277" s="17" t="s">
        <v>1297</v>
      </c>
      <c r="B277" s="17" t="s">
        <v>100</v>
      </c>
      <c r="C277" s="17" t="s">
        <v>259</v>
      </c>
      <c r="D277" s="17" t="s">
        <v>1298</v>
      </c>
      <c r="E277" s="17" t="s">
        <v>366</v>
      </c>
      <c r="F277" s="15" t="s">
        <v>103</v>
      </c>
      <c r="G277" s="17" t="s">
        <v>28</v>
      </c>
      <c r="H277" s="17" t="s">
        <v>1299</v>
      </c>
      <c r="I277" s="17" t="s">
        <v>138</v>
      </c>
      <c r="J277" s="17" t="s">
        <v>106</v>
      </c>
      <c r="K277" s="17" t="s">
        <v>122</v>
      </c>
      <c r="L277" s="17" t="s">
        <v>263</v>
      </c>
      <c r="M277" s="17">
        <v>17</v>
      </c>
      <c r="N277" s="26">
        <v>45</v>
      </c>
      <c r="O277" s="17">
        <v>5</v>
      </c>
      <c r="P277" s="26">
        <v>726.75</v>
      </c>
      <c r="Q277" s="17">
        <v>4</v>
      </c>
      <c r="R277" s="17" t="s">
        <v>34</v>
      </c>
      <c r="S277" s="17" t="s">
        <v>115</v>
      </c>
      <c r="T277" s="17" t="s">
        <v>144</v>
      </c>
      <c r="U277" s="17">
        <v>9691078176</v>
      </c>
      <c r="V277" s="17" t="s">
        <v>64</v>
      </c>
      <c r="W277" s="29" t="str" cm="1">
        <f t="array" ref="W277">_xlfn.IFS(OR(V277="Cancelled", Q277&lt;=2), "Blacklisted", AND(P277&gt;=100000, Q277&gt;=4, O277&lt;=0.1, V277="Completed"), "Platinum", AND(P277&gt;=50000, P277&lt;=99999, Q277&gt;=3, V277="Completed"), "Gold", AND(Q277&lt;50000, V277="Completed"), "Silver", V277="Pending", "Pending")</f>
        <v>Pending</v>
      </c>
    </row>
    <row r="278" spans="1:23" x14ac:dyDescent="0.5">
      <c r="A278" s="15" t="s">
        <v>1301</v>
      </c>
      <c r="B278" s="15" t="s">
        <v>83</v>
      </c>
      <c r="C278" s="15" t="s">
        <v>184</v>
      </c>
      <c r="D278" s="15" t="s">
        <v>1302</v>
      </c>
      <c r="E278" s="15" t="s">
        <v>170</v>
      </c>
      <c r="F278" s="15" t="s">
        <v>180</v>
      </c>
      <c r="G278" s="15" t="s">
        <v>76</v>
      </c>
      <c r="H278" s="15" t="s">
        <v>1303</v>
      </c>
      <c r="I278" s="15" t="s">
        <v>59</v>
      </c>
      <c r="J278" s="15" t="s">
        <v>31</v>
      </c>
      <c r="K278" s="15" t="s">
        <v>46</v>
      </c>
      <c r="L278" s="15" t="s">
        <v>189</v>
      </c>
      <c r="M278" s="15">
        <v>8</v>
      </c>
      <c r="N278" s="25">
        <v>700</v>
      </c>
      <c r="O278" s="15">
        <v>15</v>
      </c>
      <c r="P278" s="25">
        <v>4760</v>
      </c>
      <c r="Q278" s="15">
        <v>4</v>
      </c>
      <c r="R278" s="15" t="s">
        <v>48</v>
      </c>
      <c r="S278" s="15" t="s">
        <v>35</v>
      </c>
      <c r="T278" s="15" t="s">
        <v>89</v>
      </c>
      <c r="U278" s="15">
        <v>9336679085</v>
      </c>
      <c r="V278" s="15" t="s">
        <v>64</v>
      </c>
      <c r="W278" s="29" t="str" cm="1">
        <f t="array" ref="W278">_xlfn.IFS(OR(V278="Cancelled", Q278&lt;=2), "Blacklisted", AND(P278&gt;=100000, Q278&gt;=4, O278&lt;=0.1, V278="Completed"), "Platinum", AND(P278&gt;=50000, P278&lt;=99999, Q278&gt;=3, V278="Completed"), "Gold", AND(Q278&lt;50000, V278="Completed"), "Silver", V278="Pending", "Pending")</f>
        <v>Pending</v>
      </c>
    </row>
    <row r="279" spans="1:23" x14ac:dyDescent="0.5">
      <c r="A279" s="17" t="s">
        <v>1305</v>
      </c>
      <c r="B279" s="17" t="s">
        <v>168</v>
      </c>
      <c r="C279" s="17" t="s">
        <v>24</v>
      </c>
      <c r="D279" s="17" t="s">
        <v>1306</v>
      </c>
      <c r="E279" s="17" t="s">
        <v>1307</v>
      </c>
      <c r="F279" s="15" t="s">
        <v>361</v>
      </c>
      <c r="G279" s="17" t="s">
        <v>28</v>
      </c>
      <c r="H279" s="17" t="s">
        <v>1308</v>
      </c>
      <c r="I279" s="17" t="s">
        <v>105</v>
      </c>
      <c r="J279" s="17" t="s">
        <v>106</v>
      </c>
      <c r="K279" s="17" t="s">
        <v>32</v>
      </c>
      <c r="L279" s="17" t="s">
        <v>33</v>
      </c>
      <c r="M279" s="17">
        <v>15</v>
      </c>
      <c r="N279" s="26">
        <v>2200</v>
      </c>
      <c r="O279" s="17">
        <v>10</v>
      </c>
      <c r="P279" s="26">
        <v>29700</v>
      </c>
      <c r="Q279" s="17">
        <v>5</v>
      </c>
      <c r="R279" s="17" t="s">
        <v>88</v>
      </c>
      <c r="S279" s="17" t="s">
        <v>151</v>
      </c>
      <c r="T279" s="17" t="s">
        <v>175</v>
      </c>
      <c r="U279" s="17">
        <v>9497351043</v>
      </c>
      <c r="V279" s="17" t="s">
        <v>38</v>
      </c>
      <c r="W279" s="29" t="str" cm="1">
        <f t="array" ref="W279">_xlfn.IFS(OR(V279="Cancelled", Q279&lt;=2), "Blacklisted", AND(P279&gt;=100000, Q279&gt;=4, O279&lt;=0.1, V279="Completed"), "Platinum", AND(P279&gt;=50000, P279&lt;=99999, Q279&gt;=3, V279="Completed"), "Gold", AND(Q279&lt;50000, V279="Completed"), "Silver", V279="Pending", "Pending")</f>
        <v>Silver</v>
      </c>
    </row>
    <row r="280" spans="1:23" x14ac:dyDescent="0.5">
      <c r="A280" s="15" t="s">
        <v>1310</v>
      </c>
      <c r="B280" s="15" t="s">
        <v>100</v>
      </c>
      <c r="C280" s="15" t="s">
        <v>24</v>
      </c>
      <c r="D280" s="15" t="s">
        <v>860</v>
      </c>
      <c r="E280" s="15" t="s">
        <v>1311</v>
      </c>
      <c r="F280" s="15" t="s">
        <v>103</v>
      </c>
      <c r="G280" s="15" t="s">
        <v>28</v>
      </c>
      <c r="H280" s="15" t="s">
        <v>1312</v>
      </c>
      <c r="I280" s="15" t="s">
        <v>105</v>
      </c>
      <c r="J280" s="15" t="s">
        <v>106</v>
      </c>
      <c r="K280" s="15" t="s">
        <v>32</v>
      </c>
      <c r="L280" s="15" t="s">
        <v>33</v>
      </c>
      <c r="M280" s="15">
        <v>1</v>
      </c>
      <c r="N280" s="25">
        <v>2200</v>
      </c>
      <c r="O280" s="15">
        <v>0</v>
      </c>
      <c r="P280" s="25">
        <v>2200</v>
      </c>
      <c r="Q280" s="15">
        <v>4</v>
      </c>
      <c r="R280" s="15" t="s">
        <v>34</v>
      </c>
      <c r="S280" s="15" t="s">
        <v>49</v>
      </c>
      <c r="T280" s="15" t="s">
        <v>144</v>
      </c>
      <c r="U280" s="15">
        <v>9357038998</v>
      </c>
      <c r="V280" s="15" t="s">
        <v>69</v>
      </c>
      <c r="W280" s="29" t="str" cm="1">
        <f t="array" ref="W280">_xlfn.IFS(OR(V280="Cancelled", Q280&lt;=2), "Blacklisted", AND(P280&gt;=100000, Q280&gt;=4, O280&lt;=0.1, V280="Completed"), "Platinum", AND(P280&gt;=50000, P280&lt;=99999, Q280&gt;=3, V280="Completed"), "Gold", AND(Q280&lt;50000, V280="Completed"), "Silver", V280="Pending", "Pending")</f>
        <v>Blacklisted</v>
      </c>
    </row>
    <row r="281" spans="1:23" x14ac:dyDescent="0.5">
      <c r="A281" s="17" t="s">
        <v>1314</v>
      </c>
      <c r="B281" s="17" t="s">
        <v>251</v>
      </c>
      <c r="C281" s="17" t="s">
        <v>92</v>
      </c>
      <c r="D281" s="17" t="s">
        <v>872</v>
      </c>
      <c r="E281" s="17" t="s">
        <v>1315</v>
      </c>
      <c r="F281" s="15" t="s">
        <v>254</v>
      </c>
      <c r="G281" s="17" t="s">
        <v>28</v>
      </c>
      <c r="H281" s="17" t="s">
        <v>1316</v>
      </c>
      <c r="I281" s="17" t="s">
        <v>138</v>
      </c>
      <c r="J281" s="17" t="s">
        <v>106</v>
      </c>
      <c r="K281" s="17" t="s">
        <v>32</v>
      </c>
      <c r="L281" s="17" t="s">
        <v>97</v>
      </c>
      <c r="M281" s="17">
        <v>10</v>
      </c>
      <c r="N281" s="26">
        <v>3500</v>
      </c>
      <c r="O281" s="17">
        <v>10</v>
      </c>
      <c r="P281" s="26">
        <v>31500</v>
      </c>
      <c r="Q281" s="17">
        <v>4</v>
      </c>
      <c r="R281" s="17" t="s">
        <v>48</v>
      </c>
      <c r="S281" s="17" t="s">
        <v>35</v>
      </c>
      <c r="T281" s="17" t="s">
        <v>256</v>
      </c>
      <c r="U281" s="17">
        <v>9986371291</v>
      </c>
      <c r="V281" s="17" t="s">
        <v>69</v>
      </c>
      <c r="W281" s="29" t="str" cm="1">
        <f t="array" ref="W281">_xlfn.IFS(OR(V281="Cancelled", Q281&lt;=2), "Blacklisted", AND(P281&gt;=100000, Q281&gt;=4, O281&lt;=0.1, V281="Completed"), "Platinum", AND(P281&gt;=50000, P281&lt;=99999, Q281&gt;=3, V281="Completed"), "Gold", AND(Q281&lt;50000, V281="Completed"), "Silver", V281="Pending", "Pending")</f>
        <v>Blacklisted</v>
      </c>
    </row>
    <row r="282" spans="1:23" x14ac:dyDescent="0.5">
      <c r="A282" s="15" t="s">
        <v>1318</v>
      </c>
      <c r="B282" s="15" t="s">
        <v>71</v>
      </c>
      <c r="C282" s="15" t="s">
        <v>92</v>
      </c>
      <c r="D282" s="15" t="s">
        <v>1319</v>
      </c>
      <c r="E282" s="15" t="s">
        <v>1320</v>
      </c>
      <c r="F282" s="15" t="s">
        <v>217</v>
      </c>
      <c r="G282" s="15" t="s">
        <v>76</v>
      </c>
      <c r="H282" s="15" t="s">
        <v>1321</v>
      </c>
      <c r="I282" s="15" t="s">
        <v>212</v>
      </c>
      <c r="J282" s="15" t="s">
        <v>45</v>
      </c>
      <c r="K282" s="15" t="s">
        <v>32</v>
      </c>
      <c r="L282" s="15" t="s">
        <v>97</v>
      </c>
      <c r="M282" s="15">
        <v>16</v>
      </c>
      <c r="N282" s="25">
        <v>3500</v>
      </c>
      <c r="O282" s="15">
        <v>15</v>
      </c>
      <c r="P282" s="25">
        <v>47600</v>
      </c>
      <c r="Q282" s="15">
        <v>1</v>
      </c>
      <c r="R282" s="15" t="s">
        <v>79</v>
      </c>
      <c r="S282" s="15" t="s">
        <v>115</v>
      </c>
      <c r="T282" s="15" t="s">
        <v>80</v>
      </c>
      <c r="U282" s="15">
        <v>9397839191</v>
      </c>
      <c r="V282" s="15" t="s">
        <v>64</v>
      </c>
      <c r="W282" s="29" t="str" cm="1">
        <f t="array" ref="W282">_xlfn.IFS(OR(V282="Cancelled", Q282&lt;=2), "Blacklisted", AND(P282&gt;=100000, Q282&gt;=4, O282&lt;=0.1, V282="Completed"), "Platinum", AND(P282&gt;=50000, P282&lt;=99999, Q282&gt;=3, V282="Completed"), "Gold", AND(Q282&lt;50000, V282="Completed"), "Silver", V282="Pending", "Pending")</f>
        <v>Blacklisted</v>
      </c>
    </row>
    <row r="283" spans="1:23" x14ac:dyDescent="0.5">
      <c r="A283" s="17" t="s">
        <v>1323</v>
      </c>
      <c r="B283" s="17" t="s">
        <v>251</v>
      </c>
      <c r="C283" s="17" t="s">
        <v>40</v>
      </c>
      <c r="D283" s="17" t="s">
        <v>1324</v>
      </c>
      <c r="E283" s="17" t="s">
        <v>25</v>
      </c>
      <c r="F283" s="15" t="s">
        <v>254</v>
      </c>
      <c r="G283" s="17" t="s">
        <v>28</v>
      </c>
      <c r="H283" s="17" t="s">
        <v>1325</v>
      </c>
      <c r="I283" s="17" t="s">
        <v>212</v>
      </c>
      <c r="J283" s="17" t="s">
        <v>45</v>
      </c>
      <c r="K283" s="17" t="s">
        <v>46</v>
      </c>
      <c r="L283" s="17" t="s">
        <v>47</v>
      </c>
      <c r="M283" s="17">
        <v>1</v>
      </c>
      <c r="N283" s="26">
        <v>12000</v>
      </c>
      <c r="O283" s="17">
        <v>0</v>
      </c>
      <c r="P283" s="26">
        <v>12000</v>
      </c>
      <c r="Q283" s="17">
        <v>4</v>
      </c>
      <c r="R283" s="17" t="s">
        <v>48</v>
      </c>
      <c r="S283" s="17" t="s">
        <v>115</v>
      </c>
      <c r="T283" s="17" t="s">
        <v>256</v>
      </c>
      <c r="U283" s="17">
        <v>9162975843</v>
      </c>
      <c r="V283" s="17" t="s">
        <v>69</v>
      </c>
      <c r="W283" s="29" t="str" cm="1">
        <f t="array" ref="W283">_xlfn.IFS(OR(V283="Cancelled", Q283&lt;=2), "Blacklisted", AND(P283&gt;=100000, Q283&gt;=4, O283&lt;=0.1, V283="Completed"), "Platinum", AND(P283&gt;=50000, P283&lt;=99999, Q283&gt;=3, V283="Completed"), "Gold", AND(Q283&lt;50000, V283="Completed"), "Silver", V283="Pending", "Pending")</f>
        <v>Blacklisted</v>
      </c>
    </row>
    <row r="284" spans="1:23" x14ac:dyDescent="0.5">
      <c r="A284" s="15" t="s">
        <v>1327</v>
      </c>
      <c r="B284" s="15" t="s">
        <v>83</v>
      </c>
      <c r="C284" s="15" t="s">
        <v>184</v>
      </c>
      <c r="D284" s="15" t="s">
        <v>1328</v>
      </c>
      <c r="E284" s="15" t="s">
        <v>606</v>
      </c>
      <c r="F284" s="15" t="s">
        <v>180</v>
      </c>
      <c r="G284" s="15" t="s">
        <v>76</v>
      </c>
      <c r="H284" s="15" t="s">
        <v>1329</v>
      </c>
      <c r="I284" s="15" t="s">
        <v>105</v>
      </c>
      <c r="J284" s="15" t="s">
        <v>106</v>
      </c>
      <c r="K284" s="15" t="s">
        <v>46</v>
      </c>
      <c r="L284" s="15" t="s">
        <v>189</v>
      </c>
      <c r="M284" s="15">
        <v>6</v>
      </c>
      <c r="N284" s="25">
        <v>700</v>
      </c>
      <c r="O284" s="15">
        <v>20</v>
      </c>
      <c r="P284" s="25">
        <v>3360</v>
      </c>
      <c r="Q284" s="15">
        <v>2</v>
      </c>
      <c r="R284" s="15" t="s">
        <v>48</v>
      </c>
      <c r="S284" s="15" t="s">
        <v>115</v>
      </c>
      <c r="T284" s="15" t="s">
        <v>89</v>
      </c>
      <c r="U284" s="15">
        <v>9237616558</v>
      </c>
      <c r="V284" s="15" t="s">
        <v>64</v>
      </c>
      <c r="W284" s="29" t="str" cm="1">
        <f t="array" ref="W284">_xlfn.IFS(OR(V284="Cancelled", Q284&lt;=2), "Blacklisted", AND(P284&gt;=100000, Q284&gt;=4, O284&lt;=0.1, V284="Completed"), "Platinum", AND(P284&gt;=50000, P284&lt;=99999, Q284&gt;=3, V284="Completed"), "Gold", AND(Q284&lt;50000, V284="Completed"), "Silver", V284="Pending", "Pending")</f>
        <v>Blacklisted</v>
      </c>
    </row>
    <row r="285" spans="1:23" x14ac:dyDescent="0.5">
      <c r="A285" s="17" t="s">
        <v>1331</v>
      </c>
      <c r="B285" s="17" t="s">
        <v>71</v>
      </c>
      <c r="C285" s="17" t="s">
        <v>24</v>
      </c>
      <c r="D285" s="17" t="s">
        <v>923</v>
      </c>
      <c r="E285" s="17" t="s">
        <v>1332</v>
      </c>
      <c r="F285" s="15" t="s">
        <v>217</v>
      </c>
      <c r="G285" s="17" t="s">
        <v>76</v>
      </c>
      <c r="H285" s="17" t="s">
        <v>1333</v>
      </c>
      <c r="I285" s="17" t="s">
        <v>138</v>
      </c>
      <c r="J285" s="17" t="s">
        <v>106</v>
      </c>
      <c r="K285" s="17" t="s">
        <v>32</v>
      </c>
      <c r="L285" s="17" t="s">
        <v>33</v>
      </c>
      <c r="M285" s="17">
        <v>3</v>
      </c>
      <c r="N285" s="26">
        <v>2200</v>
      </c>
      <c r="O285" s="17">
        <v>0</v>
      </c>
      <c r="P285" s="26">
        <v>6600</v>
      </c>
      <c r="Q285" s="17">
        <v>4</v>
      </c>
      <c r="R285" s="17" t="s">
        <v>79</v>
      </c>
      <c r="S285" s="17" t="s">
        <v>35</v>
      </c>
      <c r="T285" s="17" t="s">
        <v>80</v>
      </c>
      <c r="U285" s="17">
        <v>9935063989</v>
      </c>
      <c r="V285" s="17" t="s">
        <v>38</v>
      </c>
      <c r="W285" s="29" t="str" cm="1">
        <f t="array" ref="W285">_xlfn.IFS(OR(V285="Cancelled", Q285&lt;=2), "Blacklisted", AND(P285&gt;=100000, Q285&gt;=4, O285&lt;=0.1, V285="Completed"), "Platinum", AND(P285&gt;=50000, P285&lt;=99999, Q285&gt;=3, V285="Completed"), "Gold", AND(Q285&lt;50000, V285="Completed"), "Silver", V285="Pending", "Pending")</f>
        <v>Silver</v>
      </c>
    </row>
    <row r="286" spans="1:23" x14ac:dyDescent="0.5">
      <c r="A286" s="15" t="s">
        <v>1335</v>
      </c>
      <c r="B286" s="15" t="s">
        <v>251</v>
      </c>
      <c r="C286" s="15" t="s">
        <v>259</v>
      </c>
      <c r="D286" s="15" t="s">
        <v>1198</v>
      </c>
      <c r="E286" s="15" t="s">
        <v>216</v>
      </c>
      <c r="F286" s="15" t="s">
        <v>254</v>
      </c>
      <c r="G286" s="15" t="s">
        <v>28</v>
      </c>
      <c r="H286" s="15" t="s">
        <v>1336</v>
      </c>
      <c r="I286" s="15" t="s">
        <v>30</v>
      </c>
      <c r="J286" s="15" t="s">
        <v>31</v>
      </c>
      <c r="K286" s="15" t="s">
        <v>122</v>
      </c>
      <c r="L286" s="15" t="s">
        <v>263</v>
      </c>
      <c r="M286" s="15">
        <v>6</v>
      </c>
      <c r="N286" s="25">
        <v>45</v>
      </c>
      <c r="O286" s="15">
        <v>15</v>
      </c>
      <c r="P286" s="25">
        <v>229.5</v>
      </c>
      <c r="Q286" s="15">
        <v>1</v>
      </c>
      <c r="R286" s="15" t="s">
        <v>88</v>
      </c>
      <c r="S286" s="15" t="s">
        <v>49</v>
      </c>
      <c r="T286" s="15" t="s">
        <v>256</v>
      </c>
      <c r="U286" s="15">
        <v>9167376169</v>
      </c>
      <c r="V286" s="15" t="s">
        <v>38</v>
      </c>
      <c r="W286" s="29" t="str" cm="1">
        <f t="array" ref="W286">_xlfn.IFS(OR(V286="Cancelled", Q286&lt;=2), "Blacklisted", AND(P286&gt;=100000, Q286&gt;=4, O286&lt;=0.1, V286="Completed"), "Platinum", AND(P286&gt;=50000, P286&lt;=99999, Q286&gt;=3, V286="Completed"), "Gold", AND(Q286&lt;50000, V286="Completed"), "Silver", V286="Pending", "Pending")</f>
        <v>Blacklisted</v>
      </c>
    </row>
    <row r="287" spans="1:23" x14ac:dyDescent="0.5">
      <c r="A287" s="17" t="s">
        <v>1338</v>
      </c>
      <c r="B287" s="17" t="s">
        <v>251</v>
      </c>
      <c r="C287" s="17" t="s">
        <v>72</v>
      </c>
      <c r="D287" s="17" t="s">
        <v>26</v>
      </c>
      <c r="E287" s="17" t="s">
        <v>1339</v>
      </c>
      <c r="F287" s="15" t="s">
        <v>254</v>
      </c>
      <c r="G287" s="17" t="s">
        <v>28</v>
      </c>
      <c r="H287" s="17" t="s">
        <v>1340</v>
      </c>
      <c r="I287" s="17" t="s">
        <v>59</v>
      </c>
      <c r="J287" s="17" t="s">
        <v>31</v>
      </c>
      <c r="K287" s="17" t="s">
        <v>46</v>
      </c>
      <c r="L287" s="17" t="s">
        <v>78</v>
      </c>
      <c r="M287" s="17">
        <v>2</v>
      </c>
      <c r="N287" s="26">
        <v>1200</v>
      </c>
      <c r="O287" s="17">
        <v>0</v>
      </c>
      <c r="P287" s="26">
        <v>2400</v>
      </c>
      <c r="Q287" s="17">
        <v>1</v>
      </c>
      <c r="R287" s="17" t="s">
        <v>34</v>
      </c>
      <c r="S287" s="17" t="s">
        <v>151</v>
      </c>
      <c r="T287" s="17" t="s">
        <v>256</v>
      </c>
      <c r="U287" s="17">
        <v>9231845497</v>
      </c>
      <c r="V287" s="17" t="s">
        <v>69</v>
      </c>
      <c r="W287" s="29" t="str" cm="1">
        <f t="array" ref="W287">_xlfn.IFS(OR(V287="Cancelled", Q287&lt;=2), "Blacklisted", AND(P287&gt;=100000, Q287&gt;=4, O287&lt;=0.1, V287="Completed"), "Platinum", AND(P287&gt;=50000, P287&lt;=99999, Q287&gt;=3, V287="Completed"), "Gold", AND(Q287&lt;50000, V287="Completed"), "Silver", V287="Pending", "Pending")</f>
        <v>Blacklisted</v>
      </c>
    </row>
    <row r="288" spans="1:23" x14ac:dyDescent="0.5">
      <c r="A288" s="15" t="s">
        <v>1342</v>
      </c>
      <c r="B288" s="15" t="s">
        <v>168</v>
      </c>
      <c r="C288" s="15" t="s">
        <v>184</v>
      </c>
      <c r="D288" s="15" t="s">
        <v>1343</v>
      </c>
      <c r="E288" s="15" t="s">
        <v>1344</v>
      </c>
      <c r="F288" s="15" t="s">
        <v>361</v>
      </c>
      <c r="G288" s="15" t="s">
        <v>28</v>
      </c>
      <c r="H288" s="15" t="s">
        <v>1345</v>
      </c>
      <c r="I288" s="15" t="s">
        <v>30</v>
      </c>
      <c r="J288" s="15" t="s">
        <v>31</v>
      </c>
      <c r="K288" s="15" t="s">
        <v>46</v>
      </c>
      <c r="L288" s="15" t="s">
        <v>189</v>
      </c>
      <c r="M288" s="15">
        <v>14</v>
      </c>
      <c r="N288" s="25">
        <v>700</v>
      </c>
      <c r="O288" s="15">
        <v>15</v>
      </c>
      <c r="P288" s="25">
        <v>8330</v>
      </c>
      <c r="Q288" s="15">
        <v>5</v>
      </c>
      <c r="R288" s="15" t="s">
        <v>34</v>
      </c>
      <c r="S288" s="15" t="s">
        <v>115</v>
      </c>
      <c r="T288" s="15" t="s">
        <v>175</v>
      </c>
      <c r="U288" s="15">
        <v>9409415805</v>
      </c>
      <c r="V288" s="15" t="s">
        <v>64</v>
      </c>
      <c r="W288" s="29" t="str" cm="1">
        <f t="array" ref="W288">_xlfn.IFS(OR(V288="Cancelled", Q288&lt;=2), "Blacklisted", AND(P288&gt;=100000, Q288&gt;=4, O288&lt;=0.1, V288="Completed"), "Platinum", AND(P288&gt;=50000, P288&lt;=99999, Q288&gt;=3, V288="Completed"), "Gold", AND(Q288&lt;50000, V288="Completed"), "Silver", V288="Pending", "Pending")</f>
        <v>Pending</v>
      </c>
    </row>
    <row r="289" spans="1:23" x14ac:dyDescent="0.5">
      <c r="A289" s="17" t="s">
        <v>1347</v>
      </c>
      <c r="B289" s="17" t="s">
        <v>100</v>
      </c>
      <c r="C289" s="17" t="s">
        <v>222</v>
      </c>
      <c r="D289" s="17" t="s">
        <v>291</v>
      </c>
      <c r="E289" s="17" t="s">
        <v>507</v>
      </c>
      <c r="F289" s="15" t="s">
        <v>103</v>
      </c>
      <c r="G289" s="17" t="s">
        <v>28</v>
      </c>
      <c r="H289" s="17" t="s">
        <v>1348</v>
      </c>
      <c r="I289" s="17" t="s">
        <v>105</v>
      </c>
      <c r="J289" s="17" t="s">
        <v>106</v>
      </c>
      <c r="K289" s="17" t="s">
        <v>122</v>
      </c>
      <c r="L289" s="17" t="s">
        <v>227</v>
      </c>
      <c r="M289" s="17">
        <v>13</v>
      </c>
      <c r="N289" s="26">
        <v>20</v>
      </c>
      <c r="O289" s="17">
        <v>5</v>
      </c>
      <c r="P289" s="26">
        <v>247</v>
      </c>
      <c r="Q289" s="17">
        <v>1</v>
      </c>
      <c r="R289" s="17" t="s">
        <v>79</v>
      </c>
      <c r="S289" s="17" t="s">
        <v>35</v>
      </c>
      <c r="T289" s="17" t="s">
        <v>1349</v>
      </c>
      <c r="U289" s="17">
        <v>9240800508</v>
      </c>
      <c r="V289" s="17" t="s">
        <v>64</v>
      </c>
      <c r="W289" s="29" t="str" cm="1">
        <f t="array" ref="W289">_xlfn.IFS(OR(V289="Cancelled", Q289&lt;=2), "Blacklisted", AND(P289&gt;=100000, Q289&gt;=4, O289&lt;=0.1, V289="Completed"), "Platinum", AND(P289&gt;=50000, P289&lt;=99999, Q289&gt;=3, V289="Completed"), "Gold", AND(Q289&lt;50000, V289="Completed"), "Silver", V289="Pending", "Pending")</f>
        <v>Blacklisted</v>
      </c>
    </row>
    <row r="290" spans="1:23" x14ac:dyDescent="0.5">
      <c r="A290" s="15" t="s">
        <v>1351</v>
      </c>
      <c r="B290" s="15" t="s">
        <v>71</v>
      </c>
      <c r="C290" s="15" t="s">
        <v>24</v>
      </c>
      <c r="D290" s="15" t="s">
        <v>135</v>
      </c>
      <c r="E290" s="15" t="s">
        <v>136</v>
      </c>
      <c r="F290" s="15" t="s">
        <v>217</v>
      </c>
      <c r="G290" s="15" t="s">
        <v>76</v>
      </c>
      <c r="H290" s="15" t="s">
        <v>1352</v>
      </c>
      <c r="I290" s="15" t="s">
        <v>114</v>
      </c>
      <c r="J290" s="15" t="s">
        <v>106</v>
      </c>
      <c r="K290" s="15" t="s">
        <v>32</v>
      </c>
      <c r="L290" s="15" t="s">
        <v>33</v>
      </c>
      <c r="M290" s="15">
        <v>3</v>
      </c>
      <c r="N290" s="25">
        <v>2200</v>
      </c>
      <c r="O290" s="15">
        <v>0</v>
      </c>
      <c r="P290" s="25">
        <v>6600</v>
      </c>
      <c r="Q290" s="15">
        <v>4</v>
      </c>
      <c r="R290" s="15" t="s">
        <v>48</v>
      </c>
      <c r="S290" s="15" t="s">
        <v>61</v>
      </c>
      <c r="T290" s="15" t="s">
        <v>80</v>
      </c>
      <c r="U290" s="15">
        <v>9764609936</v>
      </c>
      <c r="V290" s="15" t="s">
        <v>69</v>
      </c>
      <c r="W290" s="29" t="str" cm="1">
        <f t="array" ref="W290">_xlfn.IFS(OR(V290="Cancelled", Q290&lt;=2), "Blacklisted", AND(P290&gt;=100000, Q290&gt;=4, O290&lt;=0.1, V290="Completed"), "Platinum", AND(P290&gt;=50000, P290&lt;=99999, Q290&gt;=3, V290="Completed"), "Gold", AND(Q290&lt;50000, V290="Completed"), "Silver", V290="Pending", "Pending")</f>
        <v>Blacklisted</v>
      </c>
    </row>
    <row r="291" spans="1:23" x14ac:dyDescent="0.5">
      <c r="A291" s="17" t="s">
        <v>1354</v>
      </c>
      <c r="B291" s="17" t="s">
        <v>71</v>
      </c>
      <c r="C291" s="17" t="s">
        <v>118</v>
      </c>
      <c r="D291" s="17" t="s">
        <v>450</v>
      </c>
      <c r="E291" s="17" t="s">
        <v>923</v>
      </c>
      <c r="F291" s="15" t="s">
        <v>217</v>
      </c>
      <c r="G291" s="17" t="s">
        <v>76</v>
      </c>
      <c r="H291" s="17" t="s">
        <v>1355</v>
      </c>
      <c r="I291" s="17" t="s">
        <v>114</v>
      </c>
      <c r="J291" s="17" t="s">
        <v>106</v>
      </c>
      <c r="K291" s="17" t="s">
        <v>122</v>
      </c>
      <c r="L291" s="17" t="s">
        <v>123</v>
      </c>
      <c r="M291" s="17">
        <v>3</v>
      </c>
      <c r="N291" s="26">
        <v>60</v>
      </c>
      <c r="O291" s="17">
        <v>15</v>
      </c>
      <c r="P291" s="26">
        <v>153</v>
      </c>
      <c r="Q291" s="17">
        <v>4</v>
      </c>
      <c r="R291" s="17" t="s">
        <v>88</v>
      </c>
      <c r="S291" s="17" t="s">
        <v>115</v>
      </c>
      <c r="T291" s="17" t="s">
        <v>80</v>
      </c>
      <c r="U291" s="17">
        <v>9362733217</v>
      </c>
      <c r="V291" s="17" t="s">
        <v>38</v>
      </c>
      <c r="W291" s="29" t="str" cm="1">
        <f t="array" ref="W291">_xlfn.IFS(OR(V291="Cancelled", Q291&lt;=2), "Blacklisted", AND(P291&gt;=100000, Q291&gt;=4, O291&lt;=0.1, V291="Completed"), "Platinum", AND(P291&gt;=50000, P291&lt;=99999, Q291&gt;=3, V291="Completed"), "Gold", AND(Q291&lt;50000, V291="Completed"), "Silver", V291="Pending", "Pending")</f>
        <v>Silver</v>
      </c>
    </row>
    <row r="292" spans="1:23" x14ac:dyDescent="0.5">
      <c r="A292" s="15" t="s">
        <v>1357</v>
      </c>
      <c r="B292" s="15" t="s">
        <v>127</v>
      </c>
      <c r="C292" s="15" t="s">
        <v>92</v>
      </c>
      <c r="D292" s="15" t="s">
        <v>624</v>
      </c>
      <c r="E292" s="15" t="s">
        <v>825</v>
      </c>
      <c r="F292" s="15" t="s">
        <v>200</v>
      </c>
      <c r="G292" s="15" t="s">
        <v>76</v>
      </c>
      <c r="H292" s="15" t="s">
        <v>584</v>
      </c>
      <c r="I292" s="15" t="s">
        <v>105</v>
      </c>
      <c r="J292" s="15" t="s">
        <v>106</v>
      </c>
      <c r="K292" s="15" t="s">
        <v>32</v>
      </c>
      <c r="L292" s="15" t="s">
        <v>97</v>
      </c>
      <c r="M292" s="15">
        <v>9</v>
      </c>
      <c r="N292" s="25">
        <v>3500</v>
      </c>
      <c r="O292" s="15">
        <v>5</v>
      </c>
      <c r="P292" s="25">
        <v>29925</v>
      </c>
      <c r="Q292" s="15">
        <v>1</v>
      </c>
      <c r="R292" s="15" t="s">
        <v>34</v>
      </c>
      <c r="S292" s="15" t="s">
        <v>61</v>
      </c>
      <c r="T292" s="15" t="s">
        <v>132</v>
      </c>
      <c r="U292" s="15">
        <v>9270466205</v>
      </c>
      <c r="V292" s="15" t="s">
        <v>64</v>
      </c>
      <c r="W292" s="29" t="str" cm="1">
        <f t="array" ref="W292">_xlfn.IFS(OR(V292="Cancelled", Q292&lt;=2), "Blacklisted", AND(P292&gt;=100000, Q292&gt;=4, O292&lt;=0.1, V292="Completed"), "Platinum", AND(P292&gt;=50000, P292&lt;=99999, Q292&gt;=3, V292="Completed"), "Gold", AND(Q292&lt;50000, V292="Completed"), "Silver", V292="Pending", "Pending")</f>
        <v>Blacklisted</v>
      </c>
    </row>
    <row r="293" spans="1:23" x14ac:dyDescent="0.5">
      <c r="A293" s="17" t="s">
        <v>1359</v>
      </c>
      <c r="B293" s="17" t="s">
        <v>327</v>
      </c>
      <c r="C293" s="17" t="s">
        <v>72</v>
      </c>
      <c r="D293" s="17" t="s">
        <v>120</v>
      </c>
      <c r="E293" s="17" t="s">
        <v>1360</v>
      </c>
      <c r="F293" s="15" t="s">
        <v>394</v>
      </c>
      <c r="G293" s="17" t="s">
        <v>76</v>
      </c>
      <c r="H293" s="17" t="s">
        <v>1361</v>
      </c>
      <c r="I293" s="17" t="s">
        <v>212</v>
      </c>
      <c r="J293" s="17" t="s">
        <v>45</v>
      </c>
      <c r="K293" s="17" t="s">
        <v>46</v>
      </c>
      <c r="L293" s="17" t="s">
        <v>78</v>
      </c>
      <c r="M293" s="17">
        <v>5</v>
      </c>
      <c r="N293" s="26">
        <v>1200</v>
      </c>
      <c r="O293" s="17">
        <v>20</v>
      </c>
      <c r="P293" s="26">
        <v>4800</v>
      </c>
      <c r="Q293" s="17">
        <v>2</v>
      </c>
      <c r="R293" s="17" t="s">
        <v>88</v>
      </c>
      <c r="S293" s="17" t="s">
        <v>115</v>
      </c>
      <c r="T293" s="17" t="s">
        <v>332</v>
      </c>
      <c r="U293" s="17">
        <v>9571436865</v>
      </c>
      <c r="V293" s="17" t="s">
        <v>64</v>
      </c>
      <c r="W293" s="29" t="str" cm="1">
        <f t="array" ref="W293">_xlfn.IFS(OR(V293="Cancelled", Q293&lt;=2), "Blacklisted", AND(P293&gt;=100000, Q293&gt;=4, O293&lt;=0.1, V293="Completed"), "Platinum", AND(P293&gt;=50000, P293&lt;=99999, Q293&gt;=3, V293="Completed"), "Gold", AND(Q293&lt;50000, V293="Completed"), "Silver", V293="Pending", "Pending")</f>
        <v>Blacklisted</v>
      </c>
    </row>
    <row r="294" spans="1:23" x14ac:dyDescent="0.5">
      <c r="A294" s="15" t="s">
        <v>1363</v>
      </c>
      <c r="B294" s="15" t="s">
        <v>53</v>
      </c>
      <c r="C294" s="15" t="s">
        <v>72</v>
      </c>
      <c r="D294" s="15" t="s">
        <v>1031</v>
      </c>
      <c r="E294" s="15" t="s">
        <v>910</v>
      </c>
      <c r="F294" s="15" t="s">
        <v>163</v>
      </c>
      <c r="G294" s="15" t="s">
        <v>28</v>
      </c>
      <c r="H294" s="15" t="s">
        <v>1364</v>
      </c>
      <c r="I294" s="15" t="s">
        <v>212</v>
      </c>
      <c r="J294" s="15" t="s">
        <v>45</v>
      </c>
      <c r="K294" s="15" t="s">
        <v>46</v>
      </c>
      <c r="L294" s="15" t="s">
        <v>78</v>
      </c>
      <c r="M294" s="15">
        <v>10</v>
      </c>
      <c r="N294" s="25">
        <v>1200</v>
      </c>
      <c r="O294" s="15">
        <v>20</v>
      </c>
      <c r="P294" s="25">
        <v>9600</v>
      </c>
      <c r="Q294" s="15">
        <v>4</v>
      </c>
      <c r="R294" s="15" t="s">
        <v>34</v>
      </c>
      <c r="S294" s="15" t="s">
        <v>49</v>
      </c>
      <c r="T294" s="16" t="s">
        <v>1365</v>
      </c>
      <c r="U294" s="15">
        <v>9307011171</v>
      </c>
      <c r="V294" s="15" t="s">
        <v>38</v>
      </c>
      <c r="W294" s="29" t="str" cm="1">
        <f t="array" ref="W294">_xlfn.IFS(OR(V294="Cancelled", Q294&lt;=2), "Blacklisted", AND(P294&gt;=100000, Q294&gt;=4, O294&lt;=0.1, V294="Completed"), "Platinum", AND(P294&gt;=50000, P294&lt;=99999, Q294&gt;=3, V294="Completed"), "Gold", AND(Q294&lt;50000, V294="Completed"), "Silver", V294="Pending", "Pending")</f>
        <v>Silver</v>
      </c>
    </row>
    <row r="295" spans="1:23" x14ac:dyDescent="0.5">
      <c r="A295" s="17" t="s">
        <v>1367</v>
      </c>
      <c r="B295" s="17" t="s">
        <v>23</v>
      </c>
      <c r="C295" s="17" t="s">
        <v>72</v>
      </c>
      <c r="D295" s="17" t="s">
        <v>1368</v>
      </c>
      <c r="E295" s="17" t="s">
        <v>1369</v>
      </c>
      <c r="F295" s="15" t="s">
        <v>27</v>
      </c>
      <c r="G295" s="17" t="s">
        <v>28</v>
      </c>
      <c r="H295" s="17" t="s">
        <v>1370</v>
      </c>
      <c r="I295" s="17" t="s">
        <v>138</v>
      </c>
      <c r="J295" s="17" t="s">
        <v>106</v>
      </c>
      <c r="K295" s="17" t="s">
        <v>46</v>
      </c>
      <c r="L295" s="17" t="s">
        <v>78</v>
      </c>
      <c r="M295" s="17">
        <v>5</v>
      </c>
      <c r="N295" s="26">
        <v>1200</v>
      </c>
      <c r="O295" s="17">
        <v>20</v>
      </c>
      <c r="P295" s="26">
        <v>4800</v>
      </c>
      <c r="Q295" s="17">
        <v>3</v>
      </c>
      <c r="R295" s="17" t="s">
        <v>48</v>
      </c>
      <c r="S295" s="17" t="s">
        <v>151</v>
      </c>
      <c r="T295" s="17" t="s">
        <v>50</v>
      </c>
      <c r="U295" s="17">
        <v>9922380435</v>
      </c>
      <c r="V295" s="17" t="s">
        <v>38</v>
      </c>
      <c r="W295" s="29" t="str" cm="1">
        <f t="array" ref="W295">_xlfn.IFS(OR(V295="Cancelled", Q295&lt;=2), "Blacklisted", AND(P295&gt;=100000, Q295&gt;=4, O295&lt;=0.1, V295="Completed"), "Platinum", AND(P295&gt;=50000, P295&lt;=99999, Q295&gt;=3, V295="Completed"), "Gold", AND(Q295&lt;50000, V295="Completed"), "Silver", V295="Pending", "Pending")</f>
        <v>Silver</v>
      </c>
    </row>
    <row r="296" spans="1:23" x14ac:dyDescent="0.5">
      <c r="A296" s="15" t="s">
        <v>1372</v>
      </c>
      <c r="B296" s="15" t="s">
        <v>168</v>
      </c>
      <c r="C296" s="15" t="s">
        <v>222</v>
      </c>
      <c r="D296" s="15" t="s">
        <v>1373</v>
      </c>
      <c r="E296" s="15" t="s">
        <v>1374</v>
      </c>
      <c r="F296" s="15" t="s">
        <v>361</v>
      </c>
      <c r="G296" s="15" t="s">
        <v>28</v>
      </c>
      <c r="H296" s="15" t="s">
        <v>1375</v>
      </c>
      <c r="I296" s="15" t="s">
        <v>105</v>
      </c>
      <c r="J296" s="15" t="s">
        <v>106</v>
      </c>
      <c r="K296" s="15" t="s">
        <v>122</v>
      </c>
      <c r="L296" s="15" t="s">
        <v>227</v>
      </c>
      <c r="M296" s="15">
        <v>10</v>
      </c>
      <c r="N296" s="25">
        <v>20</v>
      </c>
      <c r="O296" s="15">
        <v>5</v>
      </c>
      <c r="P296" s="25">
        <v>190</v>
      </c>
      <c r="Q296" s="15">
        <v>4</v>
      </c>
      <c r="R296" s="15" t="s">
        <v>34</v>
      </c>
      <c r="S296" s="15" t="s">
        <v>151</v>
      </c>
      <c r="T296" s="15" t="s">
        <v>175</v>
      </c>
      <c r="U296" s="15">
        <v>9463618792</v>
      </c>
      <c r="V296" s="15" t="s">
        <v>64</v>
      </c>
      <c r="W296" s="29" t="str" cm="1">
        <f t="array" ref="W296">_xlfn.IFS(OR(V296="Cancelled", Q296&lt;=2), "Blacklisted", AND(P296&gt;=100000, Q296&gt;=4, O296&lt;=0.1, V296="Completed"), "Platinum", AND(P296&gt;=50000, P296&lt;=99999, Q296&gt;=3, V296="Completed"), "Gold", AND(Q296&lt;50000, V296="Completed"), "Silver", V296="Pending", "Pending")</f>
        <v>Pending</v>
      </c>
    </row>
    <row r="297" spans="1:23" x14ac:dyDescent="0.5">
      <c r="A297" s="17" t="s">
        <v>1377</v>
      </c>
      <c r="B297" s="17" t="s">
        <v>100</v>
      </c>
      <c r="C297" s="17" t="s">
        <v>118</v>
      </c>
      <c r="D297" s="17" t="s">
        <v>1378</v>
      </c>
      <c r="E297" s="17" t="s">
        <v>1379</v>
      </c>
      <c r="F297" s="15" t="s">
        <v>103</v>
      </c>
      <c r="G297" s="17" t="s">
        <v>28</v>
      </c>
      <c r="H297" s="17" t="s">
        <v>1380</v>
      </c>
      <c r="I297" s="17" t="s">
        <v>44</v>
      </c>
      <c r="J297" s="17" t="s">
        <v>45</v>
      </c>
      <c r="K297" s="17" t="s">
        <v>122</v>
      </c>
      <c r="L297" s="17" t="s">
        <v>123</v>
      </c>
      <c r="M297" s="17">
        <v>20</v>
      </c>
      <c r="N297" s="26">
        <v>60</v>
      </c>
      <c r="O297" s="17">
        <v>15</v>
      </c>
      <c r="P297" s="26">
        <v>1020</v>
      </c>
      <c r="Q297" s="17">
        <v>5</v>
      </c>
      <c r="R297" s="17" t="s">
        <v>79</v>
      </c>
      <c r="S297" s="17" t="s">
        <v>35</v>
      </c>
      <c r="T297" s="17" t="s">
        <v>144</v>
      </c>
      <c r="U297" s="17">
        <v>9954973200</v>
      </c>
      <c r="V297" s="17" t="s">
        <v>64</v>
      </c>
      <c r="W297" s="29" t="str" cm="1">
        <f t="array" ref="W297">_xlfn.IFS(OR(V297="Cancelled", Q297&lt;=2), "Blacklisted", AND(P297&gt;=100000, Q297&gt;=4, O297&lt;=0.1, V297="Completed"), "Platinum", AND(P297&gt;=50000, P297&lt;=99999, Q297&gt;=3, V297="Completed"), "Gold", AND(Q297&lt;50000, V297="Completed"), "Silver", V297="Pending", "Pending")</f>
        <v>Pending</v>
      </c>
    </row>
    <row r="298" spans="1:23" x14ac:dyDescent="0.5">
      <c r="A298" s="15" t="s">
        <v>1382</v>
      </c>
      <c r="B298" s="15" t="s">
        <v>327</v>
      </c>
      <c r="C298" s="15" t="s">
        <v>24</v>
      </c>
      <c r="D298" s="15" t="s">
        <v>1360</v>
      </c>
      <c r="E298" s="15" t="s">
        <v>577</v>
      </c>
      <c r="F298" s="15" t="s">
        <v>394</v>
      </c>
      <c r="G298" s="15" t="s">
        <v>76</v>
      </c>
      <c r="H298" s="15" t="s">
        <v>1383</v>
      </c>
      <c r="I298" s="15" t="s">
        <v>138</v>
      </c>
      <c r="J298" s="15" t="s">
        <v>106</v>
      </c>
      <c r="K298" s="15" t="s">
        <v>32</v>
      </c>
      <c r="L298" s="15" t="s">
        <v>33</v>
      </c>
      <c r="M298" s="15">
        <v>7</v>
      </c>
      <c r="N298" s="25">
        <v>2200</v>
      </c>
      <c r="O298" s="15">
        <v>15</v>
      </c>
      <c r="P298" s="25">
        <v>13090</v>
      </c>
      <c r="Q298" s="15">
        <v>4</v>
      </c>
      <c r="R298" s="15" t="s">
        <v>34</v>
      </c>
      <c r="S298" s="15" t="s">
        <v>61</v>
      </c>
      <c r="T298" s="15" t="s">
        <v>332</v>
      </c>
      <c r="U298" s="15">
        <v>9383199236</v>
      </c>
      <c r="V298" s="15" t="s">
        <v>69</v>
      </c>
      <c r="W298" s="29" t="str" cm="1">
        <f t="array" ref="W298">_xlfn.IFS(OR(V298="Cancelled", Q298&lt;=2), "Blacklisted", AND(P298&gt;=100000, Q298&gt;=4, O298&lt;=0.1, V298="Completed"), "Platinum", AND(P298&gt;=50000, P298&lt;=99999, Q298&gt;=3, V298="Completed"), "Gold", AND(Q298&lt;50000, V298="Completed"), "Silver", V298="Pending", "Pending")</f>
        <v>Blacklisted</v>
      </c>
    </row>
    <row r="299" spans="1:23" x14ac:dyDescent="0.5">
      <c r="A299" s="17" t="s">
        <v>1385</v>
      </c>
      <c r="B299" s="17" t="s">
        <v>127</v>
      </c>
      <c r="C299" s="17" t="s">
        <v>54</v>
      </c>
      <c r="D299" s="17" t="s">
        <v>619</v>
      </c>
      <c r="E299" s="17" t="s">
        <v>760</v>
      </c>
      <c r="F299" s="15" t="s">
        <v>200</v>
      </c>
      <c r="G299" s="17" t="s">
        <v>76</v>
      </c>
      <c r="H299" s="17" t="s">
        <v>1386</v>
      </c>
      <c r="I299" s="17" t="s">
        <v>30</v>
      </c>
      <c r="J299" s="17" t="s">
        <v>31</v>
      </c>
      <c r="K299" s="17" t="s">
        <v>46</v>
      </c>
      <c r="L299" s="17" t="s">
        <v>60</v>
      </c>
      <c r="M299" s="17">
        <v>11</v>
      </c>
      <c r="N299" s="26">
        <v>55000</v>
      </c>
      <c r="O299" s="17">
        <v>5</v>
      </c>
      <c r="P299" s="26">
        <v>574750</v>
      </c>
      <c r="Q299" s="17">
        <v>1</v>
      </c>
      <c r="R299" s="17" t="s">
        <v>88</v>
      </c>
      <c r="S299" s="17" t="s">
        <v>35</v>
      </c>
      <c r="T299" s="17" t="s">
        <v>132</v>
      </c>
      <c r="U299" s="17">
        <v>9482699727</v>
      </c>
      <c r="V299" s="17" t="s">
        <v>69</v>
      </c>
      <c r="W299" s="29" t="str" cm="1">
        <f t="array" ref="W299">_xlfn.IFS(OR(V299="Cancelled", Q299&lt;=2), "Blacklisted", AND(P299&gt;=100000, Q299&gt;=4, O299&lt;=0.1, V299="Completed"), "Platinum", AND(P299&gt;=50000, P299&lt;=99999, Q299&gt;=3, V299="Completed"), "Gold", AND(Q299&lt;50000, V299="Completed"), "Silver", V299="Pending", "Pending")</f>
        <v>Blacklisted</v>
      </c>
    </row>
    <row r="300" spans="1:23" x14ac:dyDescent="0.5">
      <c r="A300" s="15" t="s">
        <v>1388</v>
      </c>
      <c r="B300" s="15" t="s">
        <v>83</v>
      </c>
      <c r="C300" s="15" t="s">
        <v>92</v>
      </c>
      <c r="D300" s="15" t="s">
        <v>308</v>
      </c>
      <c r="E300" s="15" t="s">
        <v>1389</v>
      </c>
      <c r="F300" s="15" t="s">
        <v>180</v>
      </c>
      <c r="G300" s="15" t="s">
        <v>76</v>
      </c>
      <c r="H300" s="15" t="s">
        <v>1390</v>
      </c>
      <c r="I300" s="15" t="s">
        <v>212</v>
      </c>
      <c r="J300" s="15" t="s">
        <v>45</v>
      </c>
      <c r="K300" s="15" t="s">
        <v>32</v>
      </c>
      <c r="L300" s="15" t="s">
        <v>97</v>
      </c>
      <c r="M300" s="15">
        <v>12</v>
      </c>
      <c r="N300" s="25">
        <v>3500</v>
      </c>
      <c r="O300" s="15">
        <v>0</v>
      </c>
      <c r="P300" s="25">
        <v>42000</v>
      </c>
      <c r="Q300" s="15">
        <v>2</v>
      </c>
      <c r="R300" s="15" t="s">
        <v>48</v>
      </c>
      <c r="S300" s="15" t="s">
        <v>2109</v>
      </c>
      <c r="T300" s="15" t="s">
        <v>89</v>
      </c>
      <c r="U300" s="15">
        <v>9332473934</v>
      </c>
      <c r="V300" s="15" t="s">
        <v>64</v>
      </c>
      <c r="W300" s="29" t="str" cm="1">
        <f t="array" ref="W300">_xlfn.IFS(OR(V300="Cancelled", Q300&lt;=2), "Blacklisted", AND(P300&gt;=100000, Q300&gt;=4, O300&lt;=0.1, V300="Completed"), "Platinum", AND(P300&gt;=50000, P300&lt;=99999, Q300&gt;=3, V300="Completed"), "Gold", AND(Q300&lt;50000, V300="Completed"), "Silver", V300="Pending", "Pending")</f>
        <v>Blacklisted</v>
      </c>
    </row>
    <row r="301" spans="1:23" x14ac:dyDescent="0.5">
      <c r="A301" s="17" t="s">
        <v>1392</v>
      </c>
      <c r="B301" s="17" t="s">
        <v>71</v>
      </c>
      <c r="C301" s="17" t="s">
        <v>259</v>
      </c>
      <c r="D301" s="17" t="s">
        <v>94</v>
      </c>
      <c r="E301" s="17" t="s">
        <v>298</v>
      </c>
      <c r="F301" s="15" t="s">
        <v>217</v>
      </c>
      <c r="G301" s="17" t="s">
        <v>76</v>
      </c>
      <c r="H301" s="17" t="s">
        <v>1393</v>
      </c>
      <c r="I301" s="17" t="s">
        <v>30</v>
      </c>
      <c r="J301" s="17" t="s">
        <v>31</v>
      </c>
      <c r="K301" s="17" t="s">
        <v>122</v>
      </c>
      <c r="L301" s="17" t="s">
        <v>263</v>
      </c>
      <c r="M301" s="17">
        <v>15</v>
      </c>
      <c r="N301" s="26">
        <v>45</v>
      </c>
      <c r="O301" s="17">
        <v>10</v>
      </c>
      <c r="P301" s="26">
        <v>607.5</v>
      </c>
      <c r="Q301" s="17">
        <v>2</v>
      </c>
      <c r="R301" s="17" t="s">
        <v>34</v>
      </c>
      <c r="S301" s="17" t="s">
        <v>151</v>
      </c>
      <c r="T301" s="17" t="s">
        <v>80</v>
      </c>
      <c r="U301" s="17">
        <v>9647657382</v>
      </c>
      <c r="V301" s="17" t="s">
        <v>64</v>
      </c>
      <c r="W301" s="29" t="str" cm="1">
        <f t="array" ref="W301">_xlfn.IFS(OR(V301="Cancelled", Q301&lt;=2), "Blacklisted", AND(P301&gt;=100000, Q301&gt;=4, O301&lt;=0.1, V301="Completed"), "Platinum", AND(P301&gt;=50000, P301&lt;=99999, Q301&gt;=3, V301="Completed"), "Gold", AND(Q301&lt;50000, V301="Completed"), "Silver", V301="Pending", "Pending")</f>
        <v>Blacklisted</v>
      </c>
    </row>
    <row r="302" spans="1:23" x14ac:dyDescent="0.5">
      <c r="A302" s="15" t="s">
        <v>1395</v>
      </c>
      <c r="B302" s="15" t="s">
        <v>327</v>
      </c>
      <c r="C302" s="15" t="s">
        <v>259</v>
      </c>
      <c r="D302" s="15" t="s">
        <v>1320</v>
      </c>
      <c r="E302" s="15" t="s">
        <v>936</v>
      </c>
      <c r="F302" s="15" t="s">
        <v>394</v>
      </c>
      <c r="G302" s="15" t="s">
        <v>76</v>
      </c>
      <c r="H302" s="15" t="s">
        <v>1396</v>
      </c>
      <c r="I302" s="15" t="s">
        <v>59</v>
      </c>
      <c r="J302" s="15" t="s">
        <v>31</v>
      </c>
      <c r="K302" s="15" t="s">
        <v>122</v>
      </c>
      <c r="L302" s="15" t="s">
        <v>263</v>
      </c>
      <c r="M302" s="15">
        <v>13</v>
      </c>
      <c r="N302" s="25">
        <v>45</v>
      </c>
      <c r="O302" s="15">
        <v>0</v>
      </c>
      <c r="P302" s="25">
        <v>585</v>
      </c>
      <c r="Q302" s="15">
        <v>5</v>
      </c>
      <c r="R302" s="15" t="s">
        <v>48</v>
      </c>
      <c r="S302" s="15" t="s">
        <v>49</v>
      </c>
      <c r="T302" s="15" t="s">
        <v>332</v>
      </c>
      <c r="U302" s="15">
        <v>9736797776</v>
      </c>
      <c r="V302" s="15" t="s">
        <v>64</v>
      </c>
      <c r="W302" s="29" t="str" cm="1">
        <f t="array" ref="W302">_xlfn.IFS(OR(V302="Cancelled", Q302&lt;=2), "Blacklisted", AND(P302&gt;=100000, Q302&gt;=4, O302&lt;=0.1, V302="Completed"), "Platinum", AND(P302&gt;=50000, P302&lt;=99999, Q302&gt;=3, V302="Completed"), "Gold", AND(Q302&lt;50000, V302="Completed"), "Silver", V302="Pending", "Pending")</f>
        <v>Pending</v>
      </c>
    </row>
    <row r="303" spans="1:23" x14ac:dyDescent="0.5">
      <c r="A303" s="17" t="s">
        <v>1398</v>
      </c>
      <c r="B303" s="17" t="s">
        <v>127</v>
      </c>
      <c r="C303" s="17" t="s">
        <v>54</v>
      </c>
      <c r="D303" s="17" t="s">
        <v>711</v>
      </c>
      <c r="E303" s="17" t="s">
        <v>1199</v>
      </c>
      <c r="F303" s="15" t="s">
        <v>200</v>
      </c>
      <c r="G303" s="17" t="s">
        <v>76</v>
      </c>
      <c r="H303" s="17" t="s">
        <v>1399</v>
      </c>
      <c r="I303" s="17" t="s">
        <v>59</v>
      </c>
      <c r="J303" s="17" t="s">
        <v>31</v>
      </c>
      <c r="K303" s="17" t="s">
        <v>46</v>
      </c>
      <c r="L303" s="17" t="s">
        <v>60</v>
      </c>
      <c r="M303" s="17">
        <v>8</v>
      </c>
      <c r="N303" s="26">
        <v>55000</v>
      </c>
      <c r="O303" s="17">
        <v>0</v>
      </c>
      <c r="P303" s="26">
        <v>440000</v>
      </c>
      <c r="Q303" s="17">
        <v>2</v>
      </c>
      <c r="R303" s="17" t="s">
        <v>88</v>
      </c>
      <c r="S303" s="17" t="s">
        <v>151</v>
      </c>
      <c r="T303" s="17" t="s">
        <v>132</v>
      </c>
      <c r="U303" s="17">
        <v>9745773533</v>
      </c>
      <c r="V303" s="17" t="s">
        <v>69</v>
      </c>
      <c r="W303" s="29" t="str" cm="1">
        <f t="array" ref="W303">_xlfn.IFS(OR(V303="Cancelled", Q303&lt;=2), "Blacklisted", AND(P303&gt;=100000, Q303&gt;=4, O303&lt;=0.1, V303="Completed"), "Platinum", AND(P303&gt;=50000, P303&lt;=99999, Q303&gt;=3, V303="Completed"), "Gold", AND(Q303&lt;50000, V303="Completed"), "Silver", V303="Pending", "Pending")</f>
        <v>Blacklisted</v>
      </c>
    </row>
    <row r="304" spans="1:23" x14ac:dyDescent="0.5">
      <c r="A304" s="15" t="s">
        <v>1401</v>
      </c>
      <c r="B304" s="15" t="s">
        <v>251</v>
      </c>
      <c r="C304" s="15" t="s">
        <v>54</v>
      </c>
      <c r="D304" s="15" t="s">
        <v>830</v>
      </c>
      <c r="E304" s="15" t="s">
        <v>381</v>
      </c>
      <c r="F304" s="15" t="s">
        <v>254</v>
      </c>
      <c r="G304" s="15" t="s">
        <v>28</v>
      </c>
      <c r="H304" s="15" t="s">
        <v>1402</v>
      </c>
      <c r="I304" s="15" t="s">
        <v>44</v>
      </c>
      <c r="J304" s="15" t="s">
        <v>45</v>
      </c>
      <c r="K304" s="15" t="s">
        <v>46</v>
      </c>
      <c r="L304" s="15" t="s">
        <v>60</v>
      </c>
      <c r="M304" s="15">
        <v>4</v>
      </c>
      <c r="N304" s="25">
        <v>55000</v>
      </c>
      <c r="O304" s="15">
        <v>20</v>
      </c>
      <c r="P304" s="25">
        <v>176000</v>
      </c>
      <c r="Q304" s="15">
        <v>5</v>
      </c>
      <c r="R304" s="15" t="s">
        <v>34</v>
      </c>
      <c r="S304" s="15" t="s">
        <v>49</v>
      </c>
      <c r="T304" s="15" t="s">
        <v>256</v>
      </c>
      <c r="U304" s="15">
        <v>9246715757</v>
      </c>
      <c r="V304" s="15" t="s">
        <v>64</v>
      </c>
      <c r="W304" s="29" t="str" cm="1">
        <f t="array" ref="W304">_xlfn.IFS(OR(V304="Cancelled", Q304&lt;=2), "Blacklisted", AND(P304&gt;=100000, Q304&gt;=4, O304&lt;=0.1, V304="Completed"), "Platinum", AND(P304&gt;=50000, P304&lt;=99999, Q304&gt;=3, V304="Completed"), "Gold", AND(Q304&lt;50000, V304="Completed"), "Silver", V304="Pending", "Pending")</f>
        <v>Pending</v>
      </c>
    </row>
    <row r="305" spans="1:23" x14ac:dyDescent="0.5">
      <c r="A305" s="17" t="s">
        <v>1404</v>
      </c>
      <c r="B305" s="17" t="s">
        <v>23</v>
      </c>
      <c r="C305" s="17" t="s">
        <v>92</v>
      </c>
      <c r="D305" s="17" t="s">
        <v>1405</v>
      </c>
      <c r="E305" s="17" t="s">
        <v>716</v>
      </c>
      <c r="F305" s="15" t="s">
        <v>27</v>
      </c>
      <c r="G305" s="17" t="s">
        <v>28</v>
      </c>
      <c r="H305" s="17" t="s">
        <v>1406</v>
      </c>
      <c r="I305" s="17" t="s">
        <v>138</v>
      </c>
      <c r="J305" s="17" t="s">
        <v>106</v>
      </c>
      <c r="K305" s="17" t="s">
        <v>32</v>
      </c>
      <c r="L305" s="17" t="s">
        <v>97</v>
      </c>
      <c r="M305" s="17">
        <v>19</v>
      </c>
      <c r="N305" s="26">
        <v>3500</v>
      </c>
      <c r="O305" s="17">
        <v>5</v>
      </c>
      <c r="P305" s="26">
        <v>63175</v>
      </c>
      <c r="Q305" s="17">
        <v>1</v>
      </c>
      <c r="R305" s="17" t="s">
        <v>79</v>
      </c>
      <c r="S305" s="17" t="s">
        <v>115</v>
      </c>
      <c r="T305" s="17" t="s">
        <v>50</v>
      </c>
      <c r="U305" s="17">
        <v>9904065774</v>
      </c>
      <c r="V305" s="17" t="s">
        <v>38</v>
      </c>
      <c r="W305" s="29" t="str" cm="1">
        <f t="array" ref="W305">_xlfn.IFS(OR(V305="Cancelled", Q305&lt;=2), "Blacklisted", AND(P305&gt;=100000, Q305&gt;=4, O305&lt;=0.1, V305="Completed"), "Platinum", AND(P305&gt;=50000, P305&lt;=99999, Q305&gt;=3, V305="Completed"), "Gold", AND(Q305&lt;50000, V305="Completed"), "Silver", V305="Pending", "Pending")</f>
        <v>Blacklisted</v>
      </c>
    </row>
    <row r="306" spans="1:23" x14ac:dyDescent="0.5">
      <c r="A306" s="15" t="s">
        <v>1408</v>
      </c>
      <c r="B306" s="15" t="s">
        <v>221</v>
      </c>
      <c r="C306" s="15" t="s">
        <v>72</v>
      </c>
      <c r="D306" s="15" t="s">
        <v>1409</v>
      </c>
      <c r="E306" s="15" t="s">
        <v>414</v>
      </c>
      <c r="F306" s="15" t="s">
        <v>225</v>
      </c>
      <c r="G306" s="15" t="s">
        <v>76</v>
      </c>
      <c r="H306" s="15" t="s">
        <v>1410</v>
      </c>
      <c r="I306" s="15" t="s">
        <v>212</v>
      </c>
      <c r="J306" s="15" t="s">
        <v>45</v>
      </c>
      <c r="K306" s="15" t="s">
        <v>46</v>
      </c>
      <c r="L306" s="15" t="s">
        <v>78</v>
      </c>
      <c r="M306" s="15">
        <v>17</v>
      </c>
      <c r="N306" s="25">
        <v>1200</v>
      </c>
      <c r="O306" s="15">
        <v>15</v>
      </c>
      <c r="P306" s="25">
        <v>17340</v>
      </c>
      <c r="Q306" s="15">
        <v>2</v>
      </c>
      <c r="R306" s="15" t="s">
        <v>48</v>
      </c>
      <c r="S306" s="15" t="s">
        <v>49</v>
      </c>
      <c r="T306" s="15" t="s">
        <v>228</v>
      </c>
      <c r="U306" s="15">
        <v>9652985385</v>
      </c>
      <c r="V306" s="15" t="s">
        <v>38</v>
      </c>
      <c r="W306" s="29" t="str" cm="1">
        <f t="array" ref="W306">_xlfn.IFS(OR(V306="Cancelled", Q306&lt;=2), "Blacklisted", AND(P306&gt;=100000, Q306&gt;=4, O306&lt;=0.1, V306="Completed"), "Platinum", AND(P306&gt;=50000, P306&lt;=99999, Q306&gt;=3, V306="Completed"), "Gold", AND(Q306&lt;50000, V306="Completed"), "Silver", V306="Pending", "Pending")</f>
        <v>Blacklisted</v>
      </c>
    </row>
    <row r="307" spans="1:23" x14ac:dyDescent="0.5">
      <c r="A307" s="17" t="s">
        <v>1412</v>
      </c>
      <c r="B307" s="17" t="s">
        <v>23</v>
      </c>
      <c r="C307" s="17" t="s">
        <v>24</v>
      </c>
      <c r="D307" s="17" t="s">
        <v>450</v>
      </c>
      <c r="E307" s="17" t="s">
        <v>736</v>
      </c>
      <c r="F307" s="15" t="s">
        <v>27</v>
      </c>
      <c r="G307" s="17" t="s">
        <v>28</v>
      </c>
      <c r="H307" s="17" t="s">
        <v>1413</v>
      </c>
      <c r="I307" s="17" t="s">
        <v>30</v>
      </c>
      <c r="J307" s="17" t="s">
        <v>31</v>
      </c>
      <c r="K307" s="17" t="s">
        <v>32</v>
      </c>
      <c r="L307" s="17" t="s">
        <v>33</v>
      </c>
      <c r="M307" s="17">
        <v>8</v>
      </c>
      <c r="N307" s="26">
        <v>2200</v>
      </c>
      <c r="O307" s="17">
        <v>5</v>
      </c>
      <c r="P307" s="26">
        <v>16720</v>
      </c>
      <c r="Q307" s="17">
        <v>3</v>
      </c>
      <c r="R307" s="17" t="s">
        <v>79</v>
      </c>
      <c r="S307" s="17" t="s">
        <v>115</v>
      </c>
      <c r="T307" s="17" t="s">
        <v>50</v>
      </c>
      <c r="U307" s="17">
        <v>9427001508</v>
      </c>
      <c r="V307" s="17" t="s">
        <v>64</v>
      </c>
      <c r="W307" s="29" t="str" cm="1">
        <f t="array" ref="W307">_xlfn.IFS(OR(V307="Cancelled", Q307&lt;=2), "Blacklisted", AND(P307&gt;=100000, Q307&gt;=4, O307&lt;=0.1, V307="Completed"), "Platinum", AND(P307&gt;=50000, P307&lt;=99999, Q307&gt;=3, V307="Completed"), "Gold", AND(Q307&lt;50000, V307="Completed"), "Silver", V307="Pending", "Pending")</f>
        <v>Pending</v>
      </c>
    </row>
    <row r="308" spans="1:23" x14ac:dyDescent="0.5">
      <c r="A308" s="15" t="s">
        <v>1415</v>
      </c>
      <c r="B308" s="15" t="s">
        <v>251</v>
      </c>
      <c r="C308" s="15" t="s">
        <v>184</v>
      </c>
      <c r="D308" s="15" t="s">
        <v>987</v>
      </c>
      <c r="E308" s="15" t="s">
        <v>387</v>
      </c>
      <c r="F308" s="15" t="s">
        <v>254</v>
      </c>
      <c r="G308" s="15" t="s">
        <v>28</v>
      </c>
      <c r="H308" s="15" t="s">
        <v>813</v>
      </c>
      <c r="I308" s="15" t="s">
        <v>105</v>
      </c>
      <c r="J308" s="15" t="s">
        <v>106</v>
      </c>
      <c r="K308" s="15" t="s">
        <v>46</v>
      </c>
      <c r="L308" s="15" t="s">
        <v>189</v>
      </c>
      <c r="M308" s="15">
        <v>17</v>
      </c>
      <c r="N308" s="25">
        <v>700</v>
      </c>
      <c r="O308" s="15">
        <v>20</v>
      </c>
      <c r="P308" s="25">
        <v>9520</v>
      </c>
      <c r="Q308" s="15">
        <v>4</v>
      </c>
      <c r="R308" s="15" t="s">
        <v>48</v>
      </c>
      <c r="S308" s="15" t="s">
        <v>115</v>
      </c>
      <c r="T308" s="15" t="s">
        <v>256</v>
      </c>
      <c r="U308" s="15">
        <v>9666803655</v>
      </c>
      <c r="V308" s="15" t="s">
        <v>38</v>
      </c>
      <c r="W308" s="29" t="str" cm="1">
        <f t="array" ref="W308">_xlfn.IFS(OR(V308="Cancelled", Q308&lt;=2), "Blacklisted", AND(P308&gt;=100000, Q308&gt;=4, O308&lt;=0.1, V308="Completed"), "Platinum", AND(P308&gt;=50000, P308&lt;=99999, Q308&gt;=3, V308="Completed"), "Gold", AND(Q308&lt;50000, V308="Completed"), "Silver", V308="Pending", "Pending")</f>
        <v>Silver</v>
      </c>
    </row>
    <row r="309" spans="1:23" x14ac:dyDescent="0.5">
      <c r="A309" s="17" t="s">
        <v>1417</v>
      </c>
      <c r="B309" s="17" t="s">
        <v>251</v>
      </c>
      <c r="C309" s="17" t="s">
        <v>169</v>
      </c>
      <c r="D309" s="17" t="s">
        <v>372</v>
      </c>
      <c r="E309" s="17" t="s">
        <v>246</v>
      </c>
      <c r="F309" s="15" t="s">
        <v>254</v>
      </c>
      <c r="G309" s="17" t="s">
        <v>28</v>
      </c>
      <c r="H309" s="17" t="s">
        <v>1215</v>
      </c>
      <c r="I309" s="17" t="s">
        <v>114</v>
      </c>
      <c r="J309" s="17" t="s">
        <v>106</v>
      </c>
      <c r="K309" s="17" t="s">
        <v>32</v>
      </c>
      <c r="L309" s="17" t="s">
        <v>174</v>
      </c>
      <c r="M309" s="17">
        <v>6</v>
      </c>
      <c r="N309" s="26">
        <v>8500</v>
      </c>
      <c r="O309" s="17">
        <v>15</v>
      </c>
      <c r="P309" s="26">
        <v>43350</v>
      </c>
      <c r="Q309" s="17">
        <v>1</v>
      </c>
      <c r="R309" s="17" t="s">
        <v>34</v>
      </c>
      <c r="S309" s="17" t="s">
        <v>61</v>
      </c>
      <c r="T309" s="17" t="s">
        <v>256</v>
      </c>
      <c r="U309" s="17">
        <v>9134878547</v>
      </c>
      <c r="V309" s="17" t="s">
        <v>38</v>
      </c>
      <c r="W309" s="29" t="str" cm="1">
        <f t="array" ref="W309">_xlfn.IFS(OR(V309="Cancelled", Q309&lt;=2), "Blacklisted", AND(P309&gt;=100000, Q309&gt;=4, O309&lt;=0.1, V309="Completed"), "Platinum", AND(P309&gt;=50000, P309&lt;=99999, Q309&gt;=3, V309="Completed"), "Gold", AND(Q309&lt;50000, V309="Completed"), "Silver", V309="Pending", "Pending")</f>
        <v>Blacklisted</v>
      </c>
    </row>
    <row r="310" spans="1:23" x14ac:dyDescent="0.5">
      <c r="A310" s="15" t="s">
        <v>1419</v>
      </c>
      <c r="B310" s="15" t="s">
        <v>53</v>
      </c>
      <c r="C310" s="15" t="s">
        <v>92</v>
      </c>
      <c r="D310" s="15" t="s">
        <v>941</v>
      </c>
      <c r="E310" s="15" t="s">
        <v>345</v>
      </c>
      <c r="F310" s="15" t="s">
        <v>163</v>
      </c>
      <c r="G310" s="15" t="s">
        <v>28</v>
      </c>
      <c r="H310" s="15" t="s">
        <v>1420</v>
      </c>
      <c r="I310" s="15" t="s">
        <v>30</v>
      </c>
      <c r="J310" s="15" t="s">
        <v>31</v>
      </c>
      <c r="K310" s="15" t="s">
        <v>32</v>
      </c>
      <c r="L310" s="15" t="s">
        <v>97</v>
      </c>
      <c r="M310" s="15">
        <v>3</v>
      </c>
      <c r="N310" s="25">
        <v>3500</v>
      </c>
      <c r="O310" s="15">
        <v>10</v>
      </c>
      <c r="P310" s="25">
        <v>9450</v>
      </c>
      <c r="Q310" s="15">
        <v>1</v>
      </c>
      <c r="R310" s="15" t="s">
        <v>48</v>
      </c>
      <c r="S310" s="15" t="s">
        <v>49</v>
      </c>
      <c r="T310" s="15" t="s">
        <v>62</v>
      </c>
      <c r="U310" s="15">
        <v>9253593557</v>
      </c>
      <c r="V310" s="15" t="s">
        <v>38</v>
      </c>
      <c r="W310" s="29" t="str" cm="1">
        <f t="array" ref="W310">_xlfn.IFS(OR(V310="Cancelled", Q310&lt;=2), "Blacklisted", AND(P310&gt;=100000, Q310&gt;=4, O310&lt;=0.1, V310="Completed"), "Platinum", AND(P310&gt;=50000, P310&lt;=99999, Q310&gt;=3, V310="Completed"), "Gold", AND(Q310&lt;50000, V310="Completed"), "Silver", V310="Pending", "Pending")</f>
        <v>Blacklisted</v>
      </c>
    </row>
    <row r="311" spans="1:23" x14ac:dyDescent="0.5">
      <c r="A311" s="17" t="s">
        <v>1422</v>
      </c>
      <c r="B311" s="17" t="s">
        <v>71</v>
      </c>
      <c r="C311" s="17" t="s">
        <v>40</v>
      </c>
      <c r="D311" s="17" t="s">
        <v>1378</v>
      </c>
      <c r="E311" s="17" t="s">
        <v>783</v>
      </c>
      <c r="F311" s="15" t="s">
        <v>217</v>
      </c>
      <c r="G311" s="17" t="s">
        <v>76</v>
      </c>
      <c r="H311" s="17" t="s">
        <v>1423</v>
      </c>
      <c r="I311" s="17" t="s">
        <v>138</v>
      </c>
      <c r="J311" s="17" t="s">
        <v>106</v>
      </c>
      <c r="K311" s="17" t="s">
        <v>46</v>
      </c>
      <c r="L311" s="17" t="s">
        <v>47</v>
      </c>
      <c r="M311" s="17">
        <v>2</v>
      </c>
      <c r="N311" s="26">
        <v>12000</v>
      </c>
      <c r="O311" s="17">
        <v>20</v>
      </c>
      <c r="P311" s="26">
        <v>19200</v>
      </c>
      <c r="Q311" s="17">
        <v>1</v>
      </c>
      <c r="R311" s="17" t="s">
        <v>79</v>
      </c>
      <c r="S311" s="17" t="s">
        <v>61</v>
      </c>
      <c r="T311" s="17" t="s">
        <v>80</v>
      </c>
      <c r="U311" s="17">
        <v>9183094051</v>
      </c>
      <c r="V311" s="17" t="s">
        <v>38</v>
      </c>
      <c r="W311" s="29" t="str" cm="1">
        <f t="array" ref="W311">_xlfn.IFS(OR(V311="Cancelled", Q311&lt;=2), "Blacklisted", AND(P311&gt;=100000, Q311&gt;=4, O311&lt;=0.1, V311="Completed"), "Platinum", AND(P311&gt;=50000, P311&lt;=99999, Q311&gt;=3, V311="Completed"), "Gold", AND(Q311&lt;50000, V311="Completed"), "Silver", V311="Pending", "Pending")</f>
        <v>Blacklisted</v>
      </c>
    </row>
    <row r="312" spans="1:23" x14ac:dyDescent="0.5">
      <c r="A312" s="15" t="s">
        <v>1425</v>
      </c>
      <c r="B312" s="15" t="s">
        <v>221</v>
      </c>
      <c r="C312" s="15" t="s">
        <v>222</v>
      </c>
      <c r="D312" s="15" t="s">
        <v>340</v>
      </c>
      <c r="E312" s="15" t="s">
        <v>1426</v>
      </c>
      <c r="F312" s="15" t="s">
        <v>225</v>
      </c>
      <c r="G312" s="15" t="s">
        <v>76</v>
      </c>
      <c r="H312" s="15" t="s">
        <v>1427</v>
      </c>
      <c r="I312" s="15" t="s">
        <v>44</v>
      </c>
      <c r="J312" s="15" t="s">
        <v>45</v>
      </c>
      <c r="K312" s="15" t="s">
        <v>122</v>
      </c>
      <c r="L312" s="15" t="s">
        <v>227</v>
      </c>
      <c r="M312" s="15">
        <v>12</v>
      </c>
      <c r="N312" s="25">
        <v>20</v>
      </c>
      <c r="O312" s="15">
        <v>20</v>
      </c>
      <c r="P312" s="25">
        <v>192</v>
      </c>
      <c r="Q312" s="15">
        <v>2</v>
      </c>
      <c r="R312" s="15" t="s">
        <v>79</v>
      </c>
      <c r="S312" s="15" t="s">
        <v>49</v>
      </c>
      <c r="T312" s="15" t="s">
        <v>228</v>
      </c>
      <c r="U312" s="15">
        <v>9293147620</v>
      </c>
      <c r="V312" s="15" t="s">
        <v>38</v>
      </c>
      <c r="W312" s="29" t="str" cm="1">
        <f t="array" ref="W312">_xlfn.IFS(OR(V312="Cancelled", Q312&lt;=2), "Blacklisted", AND(P312&gt;=100000, Q312&gt;=4, O312&lt;=0.1, V312="Completed"), "Platinum", AND(P312&gt;=50000, P312&lt;=99999, Q312&gt;=3, V312="Completed"), "Gold", AND(Q312&lt;50000, V312="Completed"), "Silver", V312="Pending", "Pending")</f>
        <v>Blacklisted</v>
      </c>
    </row>
    <row r="313" spans="1:23" x14ac:dyDescent="0.5">
      <c r="A313" s="17" t="s">
        <v>1429</v>
      </c>
      <c r="B313" s="17" t="s">
        <v>100</v>
      </c>
      <c r="C313" s="17" t="s">
        <v>40</v>
      </c>
      <c r="D313" s="17" t="s">
        <v>716</v>
      </c>
      <c r="E313" s="17" t="s">
        <v>1430</v>
      </c>
      <c r="F313" s="15" t="s">
        <v>103</v>
      </c>
      <c r="G313" s="17" t="s">
        <v>28</v>
      </c>
      <c r="H313" s="17" t="s">
        <v>1431</v>
      </c>
      <c r="I313" s="17" t="s">
        <v>294</v>
      </c>
      <c r="J313" s="17" t="s">
        <v>295</v>
      </c>
      <c r="K313" s="17" t="s">
        <v>46</v>
      </c>
      <c r="L313" s="17" t="s">
        <v>47</v>
      </c>
      <c r="M313" s="17">
        <v>20</v>
      </c>
      <c r="N313" s="26">
        <v>12000</v>
      </c>
      <c r="O313" s="17">
        <v>15</v>
      </c>
      <c r="P313" s="26">
        <v>204000</v>
      </c>
      <c r="Q313" s="17">
        <v>3</v>
      </c>
      <c r="R313" s="17" t="s">
        <v>34</v>
      </c>
      <c r="S313" s="17" t="s">
        <v>35</v>
      </c>
      <c r="T313" s="17" t="s">
        <v>144</v>
      </c>
      <c r="U313" s="17">
        <v>9755583734</v>
      </c>
      <c r="V313" s="17" t="s">
        <v>64</v>
      </c>
      <c r="W313" s="29" t="str" cm="1">
        <f t="array" ref="W313">_xlfn.IFS(OR(V313="Cancelled", Q313&lt;=2), "Blacklisted", AND(P313&gt;=100000, Q313&gt;=4, O313&lt;=0.1, V313="Completed"), "Platinum", AND(P313&gt;=50000, P313&lt;=99999, Q313&gt;=3, V313="Completed"), "Gold", AND(Q313&lt;50000, V313="Completed"), "Silver", V313="Pending", "Pending")</f>
        <v>Pending</v>
      </c>
    </row>
    <row r="314" spans="1:23" x14ac:dyDescent="0.5">
      <c r="A314" s="15" t="s">
        <v>1433</v>
      </c>
      <c r="B314" s="15" t="s">
        <v>53</v>
      </c>
      <c r="C314" s="15" t="s">
        <v>118</v>
      </c>
      <c r="D314" s="15" t="s">
        <v>398</v>
      </c>
      <c r="E314" s="15" t="s">
        <v>740</v>
      </c>
      <c r="F314" s="15" t="s">
        <v>163</v>
      </c>
      <c r="G314" s="15" t="s">
        <v>28</v>
      </c>
      <c r="H314" s="15" t="s">
        <v>1434</v>
      </c>
      <c r="I314" s="15" t="s">
        <v>212</v>
      </c>
      <c r="J314" s="15" t="s">
        <v>45</v>
      </c>
      <c r="K314" s="15" t="s">
        <v>122</v>
      </c>
      <c r="L314" s="15" t="s">
        <v>123</v>
      </c>
      <c r="M314" s="15">
        <v>13</v>
      </c>
      <c r="N314" s="25">
        <v>60</v>
      </c>
      <c r="O314" s="15">
        <v>10</v>
      </c>
      <c r="P314" s="25">
        <v>702</v>
      </c>
      <c r="Q314" s="15">
        <v>5</v>
      </c>
      <c r="R314" s="15" t="s">
        <v>34</v>
      </c>
      <c r="S314" s="15" t="s">
        <v>35</v>
      </c>
      <c r="T314" s="15" t="s">
        <v>62</v>
      </c>
      <c r="U314" s="15">
        <v>9186592813</v>
      </c>
      <c r="V314" s="15" t="s">
        <v>64</v>
      </c>
      <c r="W314" s="29" t="str" cm="1">
        <f t="array" ref="W314">_xlfn.IFS(OR(V314="Cancelled", Q314&lt;=2), "Blacklisted", AND(P314&gt;=100000, Q314&gt;=4, O314&lt;=0.1, V314="Completed"), "Platinum", AND(P314&gt;=50000, P314&lt;=99999, Q314&gt;=3, V314="Completed"), "Gold", AND(Q314&lt;50000, V314="Completed"), "Silver", V314="Pending", "Pending")</f>
        <v>Pending</v>
      </c>
    </row>
    <row r="315" spans="1:23" x14ac:dyDescent="0.5">
      <c r="A315" s="17" t="s">
        <v>1436</v>
      </c>
      <c r="B315" s="17" t="s">
        <v>71</v>
      </c>
      <c r="C315" s="17" t="s">
        <v>54</v>
      </c>
      <c r="D315" s="17" t="s">
        <v>1437</v>
      </c>
      <c r="E315" s="17" t="s">
        <v>1294</v>
      </c>
      <c r="F315" s="15" t="s">
        <v>217</v>
      </c>
      <c r="G315" s="17" t="s">
        <v>76</v>
      </c>
      <c r="H315" s="17" t="s">
        <v>1438</v>
      </c>
      <c r="I315" s="17" t="s">
        <v>114</v>
      </c>
      <c r="J315" s="17" t="s">
        <v>106</v>
      </c>
      <c r="K315" s="17" t="s">
        <v>46</v>
      </c>
      <c r="L315" s="17" t="s">
        <v>60</v>
      </c>
      <c r="M315" s="17">
        <v>13</v>
      </c>
      <c r="N315" s="26">
        <v>55000</v>
      </c>
      <c r="O315" s="17">
        <v>5</v>
      </c>
      <c r="P315" s="26">
        <v>679250</v>
      </c>
      <c r="Q315" s="17">
        <v>1</v>
      </c>
      <c r="R315" s="17" t="s">
        <v>88</v>
      </c>
      <c r="S315" s="17" t="s">
        <v>151</v>
      </c>
      <c r="T315" s="17" t="s">
        <v>80</v>
      </c>
      <c r="U315" s="17">
        <v>9203482008</v>
      </c>
      <c r="V315" s="17" t="s">
        <v>64</v>
      </c>
      <c r="W315" s="29" t="str" cm="1">
        <f t="array" ref="W315">_xlfn.IFS(OR(V315="Cancelled", Q315&lt;=2), "Blacklisted", AND(P315&gt;=100000, Q315&gt;=4, O315&lt;=0.1, V315="Completed"), "Platinum", AND(P315&gt;=50000, P315&lt;=99999, Q315&gt;=3, V315="Completed"), "Gold", AND(Q315&lt;50000, V315="Completed"), "Silver", V315="Pending", "Pending")</f>
        <v>Blacklisted</v>
      </c>
    </row>
    <row r="316" spans="1:23" x14ac:dyDescent="0.5">
      <c r="A316" s="15" t="s">
        <v>1440</v>
      </c>
      <c r="B316" s="15" t="s">
        <v>100</v>
      </c>
      <c r="C316" s="15" t="s">
        <v>72</v>
      </c>
      <c r="D316" s="15" t="s">
        <v>797</v>
      </c>
      <c r="E316" s="15" t="s">
        <v>798</v>
      </c>
      <c r="F316" s="15" t="s">
        <v>103</v>
      </c>
      <c r="G316" s="15" t="s">
        <v>28</v>
      </c>
      <c r="H316" s="15" t="s">
        <v>1441</v>
      </c>
      <c r="I316" s="15" t="s">
        <v>59</v>
      </c>
      <c r="J316" s="15" t="s">
        <v>31</v>
      </c>
      <c r="K316" s="15" t="s">
        <v>46</v>
      </c>
      <c r="L316" s="15" t="s">
        <v>78</v>
      </c>
      <c r="M316" s="15">
        <v>7</v>
      </c>
      <c r="N316" s="25">
        <v>1200</v>
      </c>
      <c r="O316" s="15">
        <v>15</v>
      </c>
      <c r="P316" s="25">
        <v>7140</v>
      </c>
      <c r="Q316" s="15">
        <v>5</v>
      </c>
      <c r="R316" s="15" t="s">
        <v>88</v>
      </c>
      <c r="S316" s="15" t="s">
        <v>49</v>
      </c>
      <c r="T316" s="15" t="s">
        <v>144</v>
      </c>
      <c r="U316" s="15">
        <v>9829888777</v>
      </c>
      <c r="V316" s="15" t="s">
        <v>64</v>
      </c>
      <c r="W316" s="29" t="str" cm="1">
        <f t="array" ref="W316">_xlfn.IFS(OR(V316="Cancelled", Q316&lt;=2), "Blacklisted", AND(P316&gt;=100000, Q316&gt;=4, O316&lt;=0.1, V316="Completed"), "Platinum", AND(P316&gt;=50000, P316&lt;=99999, Q316&gt;=3, V316="Completed"), "Gold", AND(Q316&lt;50000, V316="Completed"), "Silver", V316="Pending", "Pending")</f>
        <v>Pending</v>
      </c>
    </row>
    <row r="317" spans="1:23" x14ac:dyDescent="0.5">
      <c r="A317" s="17" t="s">
        <v>1443</v>
      </c>
      <c r="B317" s="17" t="s">
        <v>83</v>
      </c>
      <c r="C317" s="17" t="s">
        <v>40</v>
      </c>
      <c r="D317" s="17" t="s">
        <v>961</v>
      </c>
      <c r="E317" s="17" t="s">
        <v>1444</v>
      </c>
      <c r="F317" s="15" t="s">
        <v>180</v>
      </c>
      <c r="G317" s="17" t="s">
        <v>76</v>
      </c>
      <c r="H317" s="17" t="s">
        <v>1445</v>
      </c>
      <c r="I317" s="17" t="s">
        <v>212</v>
      </c>
      <c r="J317" s="17" t="s">
        <v>45</v>
      </c>
      <c r="K317" s="17" t="s">
        <v>46</v>
      </c>
      <c r="L317" s="17" t="s">
        <v>47</v>
      </c>
      <c r="M317" s="17">
        <v>17</v>
      </c>
      <c r="N317" s="26">
        <v>12000</v>
      </c>
      <c r="O317" s="17">
        <v>5</v>
      </c>
      <c r="P317" s="26">
        <v>193800</v>
      </c>
      <c r="Q317" s="17">
        <v>1</v>
      </c>
      <c r="R317" s="17" t="s">
        <v>34</v>
      </c>
      <c r="S317" s="17" t="s">
        <v>61</v>
      </c>
      <c r="T317" s="17" t="s">
        <v>89</v>
      </c>
      <c r="U317" s="17">
        <v>9566101317</v>
      </c>
      <c r="V317" s="17" t="s">
        <v>69</v>
      </c>
      <c r="W317" s="29" t="str" cm="1">
        <f t="array" ref="W317">_xlfn.IFS(OR(V317="Cancelled", Q317&lt;=2), "Blacklisted", AND(P317&gt;=100000, Q317&gt;=4, O317&lt;=0.1, V317="Completed"), "Platinum", AND(P317&gt;=50000, P317&lt;=99999, Q317&gt;=3, V317="Completed"), "Gold", AND(Q317&lt;50000, V317="Completed"), "Silver", V317="Pending", "Pending")</f>
        <v>Blacklisted</v>
      </c>
    </row>
    <row r="318" spans="1:23" x14ac:dyDescent="0.5">
      <c r="A318" s="15" t="s">
        <v>1447</v>
      </c>
      <c r="B318" s="15" t="s">
        <v>83</v>
      </c>
      <c r="C318" s="15" t="s">
        <v>222</v>
      </c>
      <c r="D318" s="15" t="s">
        <v>356</v>
      </c>
      <c r="E318" s="15" t="s">
        <v>517</v>
      </c>
      <c r="F318" s="15" t="s">
        <v>180</v>
      </c>
      <c r="G318" s="15" t="s">
        <v>76</v>
      </c>
      <c r="H318" s="15" t="s">
        <v>1448</v>
      </c>
      <c r="I318" s="15" t="s">
        <v>59</v>
      </c>
      <c r="J318" s="15" t="s">
        <v>31</v>
      </c>
      <c r="K318" s="15" t="s">
        <v>122</v>
      </c>
      <c r="L318" s="15" t="s">
        <v>227</v>
      </c>
      <c r="M318" s="15">
        <v>10</v>
      </c>
      <c r="N318" s="25">
        <v>20</v>
      </c>
      <c r="O318" s="15">
        <v>5</v>
      </c>
      <c r="P318" s="25">
        <v>190</v>
      </c>
      <c r="Q318" s="15">
        <v>2</v>
      </c>
      <c r="R318" s="15" t="s">
        <v>34</v>
      </c>
      <c r="S318" s="15" t="s">
        <v>61</v>
      </c>
      <c r="T318" s="15" t="s">
        <v>89</v>
      </c>
      <c r="U318" s="15">
        <v>9706240823</v>
      </c>
      <c r="V318" s="15" t="s">
        <v>69</v>
      </c>
      <c r="W318" s="29" t="str" cm="1">
        <f t="array" ref="W318">_xlfn.IFS(OR(V318="Cancelled", Q318&lt;=2), "Blacklisted", AND(P318&gt;=100000, Q318&gt;=4, O318&lt;=0.1, V318="Completed"), "Platinum", AND(P318&gt;=50000, P318&lt;=99999, Q318&gt;=3, V318="Completed"), "Gold", AND(Q318&lt;50000, V318="Completed"), "Silver", V318="Pending", "Pending")</f>
        <v>Blacklisted</v>
      </c>
    </row>
    <row r="319" spans="1:23" x14ac:dyDescent="0.5">
      <c r="A319" s="17" t="s">
        <v>1450</v>
      </c>
      <c r="B319" s="17" t="s">
        <v>168</v>
      </c>
      <c r="C319" s="17" t="s">
        <v>24</v>
      </c>
      <c r="D319" s="17" t="s">
        <v>291</v>
      </c>
      <c r="E319" s="17" t="s">
        <v>1451</v>
      </c>
      <c r="F319" s="15" t="s">
        <v>361</v>
      </c>
      <c r="G319" s="17" t="s">
        <v>28</v>
      </c>
      <c r="H319" s="17" t="s">
        <v>1452</v>
      </c>
      <c r="I319" s="17" t="s">
        <v>44</v>
      </c>
      <c r="J319" s="17" t="s">
        <v>45</v>
      </c>
      <c r="K319" s="17" t="s">
        <v>32</v>
      </c>
      <c r="L319" s="17" t="s">
        <v>33</v>
      </c>
      <c r="M319" s="17">
        <v>11</v>
      </c>
      <c r="N319" s="26">
        <v>2200</v>
      </c>
      <c r="O319" s="17">
        <v>5</v>
      </c>
      <c r="P319" s="26">
        <v>22990</v>
      </c>
      <c r="Q319" s="17">
        <v>5</v>
      </c>
      <c r="R319" s="17" t="s">
        <v>79</v>
      </c>
      <c r="S319" s="17" t="s">
        <v>49</v>
      </c>
      <c r="T319" s="17" t="s">
        <v>175</v>
      </c>
      <c r="U319" s="17">
        <v>9259943760</v>
      </c>
      <c r="V319" s="17" t="s">
        <v>64</v>
      </c>
      <c r="W319" s="29" t="str" cm="1">
        <f t="array" ref="W319">_xlfn.IFS(OR(V319="Cancelled", Q319&lt;=2), "Blacklisted", AND(P319&gt;=100000, Q319&gt;=4, O319&lt;=0.1, V319="Completed"), "Platinum", AND(P319&gt;=50000, P319&lt;=99999, Q319&gt;=3, V319="Completed"), "Gold", AND(Q319&lt;50000, V319="Completed"), "Silver", V319="Pending", "Pending")</f>
        <v>Pending</v>
      </c>
    </row>
    <row r="320" spans="1:23" x14ac:dyDescent="0.5">
      <c r="A320" s="15" t="s">
        <v>1454</v>
      </c>
      <c r="B320" s="15" t="s">
        <v>100</v>
      </c>
      <c r="C320" s="15" t="s">
        <v>118</v>
      </c>
      <c r="D320" s="15" t="s">
        <v>1369</v>
      </c>
      <c r="E320" s="15" t="s">
        <v>178</v>
      </c>
      <c r="F320" s="15" t="s">
        <v>103</v>
      </c>
      <c r="G320" s="15" t="s">
        <v>28</v>
      </c>
      <c r="H320" s="15" t="s">
        <v>1455</v>
      </c>
      <c r="I320" s="15" t="s">
        <v>212</v>
      </c>
      <c r="J320" s="15" t="s">
        <v>45</v>
      </c>
      <c r="K320" s="15" t="s">
        <v>122</v>
      </c>
      <c r="L320" s="15" t="s">
        <v>123</v>
      </c>
      <c r="M320" s="15">
        <v>8</v>
      </c>
      <c r="N320" s="25">
        <v>60</v>
      </c>
      <c r="O320" s="15">
        <v>15</v>
      </c>
      <c r="P320" s="25">
        <v>408</v>
      </c>
      <c r="Q320" s="15">
        <v>4</v>
      </c>
      <c r="R320" s="15" t="s">
        <v>34</v>
      </c>
      <c r="S320" s="15" t="s">
        <v>49</v>
      </c>
      <c r="T320" s="15" t="s">
        <v>144</v>
      </c>
      <c r="U320" s="15">
        <v>9527326977</v>
      </c>
      <c r="V320" s="15" t="s">
        <v>64</v>
      </c>
      <c r="W320" s="29" t="str" cm="1">
        <f t="array" ref="W320">_xlfn.IFS(OR(V320="Cancelled", Q320&lt;=2), "Blacklisted", AND(P320&gt;=100000, Q320&gt;=4, O320&lt;=0.1, V320="Completed"), "Platinum", AND(P320&gt;=50000, P320&lt;=99999, Q320&gt;=3, V320="Completed"), "Gold", AND(Q320&lt;50000, V320="Completed"), "Silver", V320="Pending", "Pending")</f>
        <v>Pending</v>
      </c>
    </row>
    <row r="321" spans="1:23" x14ac:dyDescent="0.5">
      <c r="A321" s="17" t="s">
        <v>1457</v>
      </c>
      <c r="B321" s="17" t="s">
        <v>221</v>
      </c>
      <c r="C321" s="17" t="s">
        <v>259</v>
      </c>
      <c r="D321" s="17" t="s">
        <v>825</v>
      </c>
      <c r="E321" s="17" t="s">
        <v>119</v>
      </c>
      <c r="F321" s="15" t="s">
        <v>225</v>
      </c>
      <c r="G321" s="17" t="s">
        <v>76</v>
      </c>
      <c r="H321" s="17" t="s">
        <v>1458</v>
      </c>
      <c r="I321" s="17" t="s">
        <v>44</v>
      </c>
      <c r="J321" s="17" t="s">
        <v>45</v>
      </c>
      <c r="K321" s="17" t="s">
        <v>122</v>
      </c>
      <c r="L321" s="17" t="s">
        <v>263</v>
      </c>
      <c r="M321" s="17">
        <v>17</v>
      </c>
      <c r="N321" s="26">
        <v>45</v>
      </c>
      <c r="O321" s="17">
        <v>15</v>
      </c>
      <c r="P321" s="26">
        <v>650.25</v>
      </c>
      <c r="Q321" s="17">
        <v>2</v>
      </c>
      <c r="R321" s="17" t="s">
        <v>88</v>
      </c>
      <c r="S321" s="17" t="s">
        <v>151</v>
      </c>
      <c r="T321" s="17" t="s">
        <v>228</v>
      </c>
      <c r="U321" s="17">
        <v>9886970990</v>
      </c>
      <c r="V321" s="17" t="s">
        <v>38</v>
      </c>
      <c r="W321" s="29" t="str" cm="1">
        <f t="array" ref="W321">_xlfn.IFS(OR(V321="Cancelled", Q321&lt;=2), "Blacklisted", AND(P321&gt;=100000, Q321&gt;=4, O321&lt;=0.1, V321="Completed"), "Platinum", AND(P321&gt;=50000, P321&lt;=99999, Q321&gt;=3, V321="Completed"), "Gold", AND(Q321&lt;50000, V321="Completed"), "Silver", V321="Pending", "Pending")</f>
        <v>Blacklisted</v>
      </c>
    </row>
    <row r="322" spans="1:23" x14ac:dyDescent="0.5">
      <c r="A322" s="15" t="s">
        <v>1460</v>
      </c>
      <c r="B322" s="15" t="s">
        <v>327</v>
      </c>
      <c r="C322" s="15" t="s">
        <v>184</v>
      </c>
      <c r="D322" s="15" t="s">
        <v>632</v>
      </c>
      <c r="E322" s="15" t="s">
        <v>1461</v>
      </c>
      <c r="F322" s="15" t="s">
        <v>394</v>
      </c>
      <c r="G322" s="15" t="s">
        <v>76</v>
      </c>
      <c r="H322" s="15" t="s">
        <v>1462</v>
      </c>
      <c r="I322" s="15" t="s">
        <v>212</v>
      </c>
      <c r="J322" s="15" t="s">
        <v>45</v>
      </c>
      <c r="K322" s="15" t="s">
        <v>46</v>
      </c>
      <c r="L322" s="15" t="s">
        <v>189</v>
      </c>
      <c r="M322" s="15">
        <v>14</v>
      </c>
      <c r="N322" s="25">
        <v>700</v>
      </c>
      <c r="O322" s="15">
        <v>15</v>
      </c>
      <c r="P322" s="25">
        <v>8330</v>
      </c>
      <c r="Q322" s="15">
        <v>1</v>
      </c>
      <c r="R322" s="15" t="s">
        <v>79</v>
      </c>
      <c r="S322" s="15" t="s">
        <v>115</v>
      </c>
      <c r="T322" s="15" t="s">
        <v>332</v>
      </c>
      <c r="U322" s="15">
        <v>9106930369</v>
      </c>
      <c r="V322" s="15" t="s">
        <v>38</v>
      </c>
      <c r="W322" s="29" t="str" cm="1">
        <f t="array" ref="W322">_xlfn.IFS(OR(V322="Cancelled", Q322&lt;=2), "Blacklisted", AND(P322&gt;=100000, Q322&gt;=4, O322&lt;=0.1, V322="Completed"), "Platinum", AND(P322&gt;=50000, P322&lt;=99999, Q322&gt;=3, V322="Completed"), "Gold", AND(Q322&lt;50000, V322="Completed"), "Silver", V322="Pending", "Pending")</f>
        <v>Blacklisted</v>
      </c>
    </row>
    <row r="323" spans="1:23" x14ac:dyDescent="0.5">
      <c r="A323" s="17" t="s">
        <v>1464</v>
      </c>
      <c r="B323" s="17" t="s">
        <v>83</v>
      </c>
      <c r="C323" s="17" t="s">
        <v>72</v>
      </c>
      <c r="D323" s="17" t="s">
        <v>1465</v>
      </c>
      <c r="E323" s="17" t="s">
        <v>948</v>
      </c>
      <c r="F323" s="15" t="s">
        <v>180</v>
      </c>
      <c r="G323" s="17" t="s">
        <v>76</v>
      </c>
      <c r="H323" s="17" t="s">
        <v>1466</v>
      </c>
      <c r="I323" s="17" t="s">
        <v>114</v>
      </c>
      <c r="J323" s="17" t="s">
        <v>106</v>
      </c>
      <c r="K323" s="17" t="s">
        <v>46</v>
      </c>
      <c r="L323" s="17" t="s">
        <v>78</v>
      </c>
      <c r="M323" s="17">
        <v>3</v>
      </c>
      <c r="N323" s="26">
        <v>1200</v>
      </c>
      <c r="O323" s="17">
        <v>5</v>
      </c>
      <c r="P323" s="26">
        <v>3420</v>
      </c>
      <c r="Q323" s="17">
        <v>3</v>
      </c>
      <c r="R323" s="17" t="s">
        <v>48</v>
      </c>
      <c r="S323" s="17" t="s">
        <v>151</v>
      </c>
      <c r="T323" s="17" t="s">
        <v>89</v>
      </c>
      <c r="U323" s="17">
        <v>9342009114</v>
      </c>
      <c r="V323" s="17" t="s">
        <v>38</v>
      </c>
      <c r="W323" s="29" t="str" cm="1">
        <f t="array" ref="W323">_xlfn.IFS(OR(V323="Cancelled", Q323&lt;=2), "Blacklisted", AND(P323&gt;=100000, Q323&gt;=4, O323&lt;=0.1, V323="Completed"), "Platinum", AND(P323&gt;=50000, P323&lt;=99999, Q323&gt;=3, V323="Completed"), "Gold", AND(Q323&lt;50000, V323="Completed"), "Silver", V323="Pending", "Pending")</f>
        <v>Silver</v>
      </c>
    </row>
    <row r="324" spans="1:23" x14ac:dyDescent="0.5">
      <c r="A324" s="15" t="s">
        <v>1468</v>
      </c>
      <c r="B324" s="15" t="s">
        <v>23</v>
      </c>
      <c r="C324" s="15" t="s">
        <v>72</v>
      </c>
      <c r="D324" s="15" t="s">
        <v>489</v>
      </c>
      <c r="E324" s="15" t="s">
        <v>914</v>
      </c>
      <c r="F324" s="15" t="s">
        <v>27</v>
      </c>
      <c r="G324" s="15" t="s">
        <v>28</v>
      </c>
      <c r="H324" s="15" t="s">
        <v>1469</v>
      </c>
      <c r="I324" s="15" t="s">
        <v>138</v>
      </c>
      <c r="J324" s="15" t="s">
        <v>106</v>
      </c>
      <c r="K324" s="15" t="s">
        <v>46</v>
      </c>
      <c r="L324" s="15" t="s">
        <v>78</v>
      </c>
      <c r="M324" s="15">
        <v>9</v>
      </c>
      <c r="N324" s="25">
        <v>1200</v>
      </c>
      <c r="O324" s="15">
        <v>15</v>
      </c>
      <c r="P324" s="25">
        <v>9180</v>
      </c>
      <c r="Q324" s="15">
        <v>3</v>
      </c>
      <c r="R324" s="15" t="s">
        <v>34</v>
      </c>
      <c r="S324" s="15" t="s">
        <v>49</v>
      </c>
      <c r="T324" s="15" t="s">
        <v>50</v>
      </c>
      <c r="U324" s="15">
        <v>9992739960</v>
      </c>
      <c r="V324" s="15" t="s">
        <v>38</v>
      </c>
      <c r="W324" s="29" t="str" cm="1">
        <f t="array" ref="W324">_xlfn.IFS(OR(V324="Cancelled", Q324&lt;=2), "Blacklisted", AND(P324&gt;=100000, Q324&gt;=4, O324&lt;=0.1, V324="Completed"), "Platinum", AND(P324&gt;=50000, P324&lt;=99999, Q324&gt;=3, V324="Completed"), "Gold", AND(Q324&lt;50000, V324="Completed"), "Silver", V324="Pending", "Pending")</f>
        <v>Silver</v>
      </c>
    </row>
    <row r="325" spans="1:23" x14ac:dyDescent="0.5">
      <c r="A325" s="17" t="s">
        <v>1471</v>
      </c>
      <c r="B325" s="17" t="s">
        <v>251</v>
      </c>
      <c r="C325" s="17" t="s">
        <v>222</v>
      </c>
      <c r="D325" s="17" t="s">
        <v>224</v>
      </c>
      <c r="E325" s="17" t="s">
        <v>360</v>
      </c>
      <c r="F325" s="15" t="s">
        <v>254</v>
      </c>
      <c r="G325" s="17" t="s">
        <v>28</v>
      </c>
      <c r="H325" s="17" t="s">
        <v>1472</v>
      </c>
      <c r="I325" s="17" t="s">
        <v>105</v>
      </c>
      <c r="J325" s="17" t="s">
        <v>106</v>
      </c>
      <c r="K325" s="17" t="s">
        <v>122</v>
      </c>
      <c r="L325" s="17" t="s">
        <v>227</v>
      </c>
      <c r="M325" s="17">
        <v>5</v>
      </c>
      <c r="N325" s="26">
        <v>20</v>
      </c>
      <c r="O325" s="17">
        <v>5</v>
      </c>
      <c r="P325" s="26">
        <v>95</v>
      </c>
      <c r="Q325" s="17">
        <v>4</v>
      </c>
      <c r="R325" s="17" t="s">
        <v>34</v>
      </c>
      <c r="S325" s="17" t="s">
        <v>151</v>
      </c>
      <c r="T325" s="17" t="s">
        <v>256</v>
      </c>
      <c r="U325" s="17">
        <v>9241987748</v>
      </c>
      <c r="V325" s="17" t="s">
        <v>38</v>
      </c>
      <c r="W325" s="29" t="str" cm="1">
        <f t="array" ref="W325">_xlfn.IFS(OR(V325="Cancelled", Q325&lt;=2), "Blacklisted", AND(P325&gt;=100000, Q325&gt;=4, O325&lt;=0.1, V325="Completed"), "Platinum", AND(P325&gt;=50000, P325&lt;=99999, Q325&gt;=3, V325="Completed"), "Gold", AND(Q325&lt;50000, V325="Completed"), "Silver", V325="Pending", "Pending")</f>
        <v>Silver</v>
      </c>
    </row>
    <row r="326" spans="1:23" x14ac:dyDescent="0.5">
      <c r="A326" s="15" t="s">
        <v>1474</v>
      </c>
      <c r="B326" s="15" t="s">
        <v>251</v>
      </c>
      <c r="C326" s="15" t="s">
        <v>24</v>
      </c>
      <c r="D326" s="15" t="s">
        <v>1475</v>
      </c>
      <c r="E326" s="15" t="s">
        <v>1476</v>
      </c>
      <c r="F326" s="15" t="s">
        <v>254</v>
      </c>
      <c r="G326" s="15" t="s">
        <v>28</v>
      </c>
      <c r="H326" s="15" t="s">
        <v>1477</v>
      </c>
      <c r="I326" s="15" t="s">
        <v>138</v>
      </c>
      <c r="J326" s="15" t="s">
        <v>106</v>
      </c>
      <c r="K326" s="15" t="s">
        <v>32</v>
      </c>
      <c r="L326" s="15" t="s">
        <v>33</v>
      </c>
      <c r="M326" s="15">
        <v>8</v>
      </c>
      <c r="N326" s="25">
        <v>2200</v>
      </c>
      <c r="O326" s="15">
        <v>10</v>
      </c>
      <c r="P326" s="25">
        <v>15840</v>
      </c>
      <c r="Q326" s="15">
        <v>4</v>
      </c>
      <c r="R326" s="15" t="s">
        <v>88</v>
      </c>
      <c r="S326" s="15" t="s">
        <v>61</v>
      </c>
      <c r="T326" s="15" t="s">
        <v>256</v>
      </c>
      <c r="U326" s="15">
        <v>9571990711</v>
      </c>
      <c r="V326" s="15" t="s">
        <v>69</v>
      </c>
      <c r="W326" s="29" t="str" cm="1">
        <f t="array" ref="W326">_xlfn.IFS(OR(V326="Cancelled", Q326&lt;=2), "Blacklisted", AND(P326&gt;=100000, Q326&gt;=4, O326&lt;=0.1, V326="Completed"), "Platinum", AND(P326&gt;=50000, P326&lt;=99999, Q326&gt;=3, V326="Completed"), "Gold", AND(Q326&lt;50000, V326="Completed"), "Silver", V326="Pending", "Pending")</f>
        <v>Blacklisted</v>
      </c>
    </row>
    <row r="327" spans="1:23" x14ac:dyDescent="0.5">
      <c r="A327" s="17" t="s">
        <v>1479</v>
      </c>
      <c r="B327" s="17" t="s">
        <v>251</v>
      </c>
      <c r="C327" s="17" t="s">
        <v>184</v>
      </c>
      <c r="D327" s="17" t="s">
        <v>298</v>
      </c>
      <c r="E327" s="17" t="s">
        <v>1480</v>
      </c>
      <c r="F327" s="15" t="s">
        <v>254</v>
      </c>
      <c r="G327" s="17" t="s">
        <v>28</v>
      </c>
      <c r="H327" s="17" t="s">
        <v>1481</v>
      </c>
      <c r="I327" s="17" t="s">
        <v>105</v>
      </c>
      <c r="J327" s="17" t="s">
        <v>106</v>
      </c>
      <c r="K327" s="17" t="s">
        <v>46</v>
      </c>
      <c r="L327" s="17" t="s">
        <v>189</v>
      </c>
      <c r="M327" s="17">
        <v>10</v>
      </c>
      <c r="N327" s="26">
        <v>700</v>
      </c>
      <c r="O327" s="17">
        <v>20</v>
      </c>
      <c r="P327" s="26">
        <v>5600</v>
      </c>
      <c r="Q327" s="17">
        <v>1</v>
      </c>
      <c r="R327" s="17" t="s">
        <v>88</v>
      </c>
      <c r="S327" s="17" t="s">
        <v>115</v>
      </c>
      <c r="T327" s="17" t="s">
        <v>256</v>
      </c>
      <c r="U327" s="17">
        <v>9219231183</v>
      </c>
      <c r="V327" s="17" t="s">
        <v>38</v>
      </c>
      <c r="W327" s="29" t="str" cm="1">
        <f t="array" ref="W327">_xlfn.IFS(OR(V327="Cancelled", Q327&lt;=2), "Blacklisted", AND(P327&gt;=100000, Q327&gt;=4, O327&lt;=0.1, V327="Completed"), "Platinum", AND(P327&gt;=50000, P327&lt;=99999, Q327&gt;=3, V327="Completed"), "Gold", AND(Q327&lt;50000, V327="Completed"), "Silver", V327="Pending", "Pending")</f>
        <v>Blacklisted</v>
      </c>
    </row>
    <row r="328" spans="1:23" x14ac:dyDescent="0.5">
      <c r="A328" s="15" t="s">
        <v>1483</v>
      </c>
      <c r="B328" s="15" t="s">
        <v>83</v>
      </c>
      <c r="C328" s="15" t="s">
        <v>184</v>
      </c>
      <c r="D328" s="15" t="s">
        <v>1484</v>
      </c>
      <c r="E328" s="15" t="s">
        <v>1485</v>
      </c>
      <c r="F328" s="15" t="s">
        <v>180</v>
      </c>
      <c r="G328" s="15" t="s">
        <v>76</v>
      </c>
      <c r="H328" s="15" t="s">
        <v>1486</v>
      </c>
      <c r="I328" s="15" t="s">
        <v>59</v>
      </c>
      <c r="J328" s="15" t="s">
        <v>31</v>
      </c>
      <c r="K328" s="15" t="s">
        <v>46</v>
      </c>
      <c r="L328" s="15" t="s">
        <v>189</v>
      </c>
      <c r="M328" s="15">
        <v>2</v>
      </c>
      <c r="N328" s="25">
        <v>700</v>
      </c>
      <c r="O328" s="15">
        <v>20</v>
      </c>
      <c r="P328" s="25">
        <v>1120</v>
      </c>
      <c r="Q328" s="15">
        <v>2</v>
      </c>
      <c r="R328" s="15" t="s">
        <v>34</v>
      </c>
      <c r="S328" s="15" t="s">
        <v>115</v>
      </c>
      <c r="T328" s="15" t="s">
        <v>89</v>
      </c>
      <c r="U328" s="15">
        <v>9847386174</v>
      </c>
      <c r="V328" s="15" t="s">
        <v>64</v>
      </c>
      <c r="W328" s="29" t="str" cm="1">
        <f t="array" ref="W328">_xlfn.IFS(OR(V328="Cancelled", Q328&lt;=2), "Blacklisted", AND(P328&gt;=100000, Q328&gt;=4, O328&lt;=0.1, V328="Completed"), "Platinum", AND(P328&gt;=50000, P328&lt;=99999, Q328&gt;=3, V328="Completed"), "Gold", AND(Q328&lt;50000, V328="Completed"), "Silver", V328="Pending", "Pending")</f>
        <v>Blacklisted</v>
      </c>
    </row>
    <row r="329" spans="1:23" x14ac:dyDescent="0.5">
      <c r="A329" s="17" t="s">
        <v>1488</v>
      </c>
      <c r="B329" s="17" t="s">
        <v>221</v>
      </c>
      <c r="C329" s="17" t="s">
        <v>92</v>
      </c>
      <c r="D329" s="17" t="s">
        <v>872</v>
      </c>
      <c r="E329" s="17" t="s">
        <v>965</v>
      </c>
      <c r="F329" s="15" t="s">
        <v>225</v>
      </c>
      <c r="G329" s="17" t="s">
        <v>76</v>
      </c>
      <c r="H329" s="17" t="s">
        <v>1489</v>
      </c>
      <c r="I329" s="17" t="s">
        <v>114</v>
      </c>
      <c r="J329" s="17" t="s">
        <v>106</v>
      </c>
      <c r="K329" s="17" t="s">
        <v>32</v>
      </c>
      <c r="L329" s="17" t="s">
        <v>97</v>
      </c>
      <c r="M329" s="17">
        <v>16</v>
      </c>
      <c r="N329" s="26">
        <v>3500</v>
      </c>
      <c r="O329" s="17">
        <v>20</v>
      </c>
      <c r="P329" s="26">
        <v>44800</v>
      </c>
      <c r="Q329" s="17">
        <v>2</v>
      </c>
      <c r="R329" s="17" t="s">
        <v>88</v>
      </c>
      <c r="S329" s="17" t="s">
        <v>35</v>
      </c>
      <c r="T329" s="17" t="s">
        <v>228</v>
      </c>
      <c r="U329" s="17">
        <v>9941274924</v>
      </c>
      <c r="V329" s="17" t="s">
        <v>64</v>
      </c>
      <c r="W329" s="29" t="str" cm="1">
        <f t="array" ref="W329">_xlfn.IFS(OR(V329="Cancelled", Q329&lt;=2), "Blacklisted", AND(P329&gt;=100000, Q329&gt;=4, O329&lt;=0.1, V329="Completed"), "Platinum", AND(P329&gt;=50000, P329&lt;=99999, Q329&gt;=3, V329="Completed"), "Gold", AND(Q329&lt;50000, V329="Completed"), "Silver", V329="Pending", "Pending")</f>
        <v>Blacklisted</v>
      </c>
    </row>
    <row r="330" spans="1:23" x14ac:dyDescent="0.5">
      <c r="A330" s="15" t="s">
        <v>1491</v>
      </c>
      <c r="B330" s="15" t="s">
        <v>168</v>
      </c>
      <c r="C330" s="15" t="s">
        <v>92</v>
      </c>
      <c r="D330" s="15" t="s">
        <v>829</v>
      </c>
      <c r="E330" s="15" t="s">
        <v>756</v>
      </c>
      <c r="F330" s="15" t="s">
        <v>361</v>
      </c>
      <c r="G330" s="15" t="s">
        <v>28</v>
      </c>
      <c r="H330" s="15" t="s">
        <v>1492</v>
      </c>
      <c r="I330" s="15" t="s">
        <v>44</v>
      </c>
      <c r="J330" s="15" t="s">
        <v>45</v>
      </c>
      <c r="K330" s="15" t="s">
        <v>32</v>
      </c>
      <c r="L330" s="15" t="s">
        <v>97</v>
      </c>
      <c r="M330" s="15">
        <v>9</v>
      </c>
      <c r="N330" s="25">
        <v>3500</v>
      </c>
      <c r="O330" s="15">
        <v>20</v>
      </c>
      <c r="P330" s="25">
        <v>25200</v>
      </c>
      <c r="Q330" s="15">
        <v>1</v>
      </c>
      <c r="R330" s="15" t="s">
        <v>79</v>
      </c>
      <c r="S330" s="15" t="s">
        <v>49</v>
      </c>
      <c r="T330" s="15" t="s">
        <v>175</v>
      </c>
      <c r="U330" s="15">
        <v>9950650508</v>
      </c>
      <c r="V330" s="15" t="s">
        <v>69</v>
      </c>
      <c r="W330" s="29" t="str" cm="1">
        <f t="array" ref="W330">_xlfn.IFS(OR(V330="Cancelled", Q330&lt;=2), "Blacklisted", AND(P330&gt;=100000, Q330&gt;=4, O330&lt;=0.1, V330="Completed"), "Platinum", AND(P330&gt;=50000, P330&lt;=99999, Q330&gt;=3, V330="Completed"), "Gold", AND(Q330&lt;50000, V330="Completed"), "Silver", V330="Pending", "Pending")</f>
        <v>Blacklisted</v>
      </c>
    </row>
    <row r="331" spans="1:23" x14ac:dyDescent="0.5">
      <c r="A331" s="17" t="s">
        <v>1494</v>
      </c>
      <c r="B331" s="17" t="s">
        <v>127</v>
      </c>
      <c r="C331" s="17" t="s">
        <v>184</v>
      </c>
      <c r="D331" s="17" t="s">
        <v>896</v>
      </c>
      <c r="E331" s="17" t="s">
        <v>530</v>
      </c>
      <c r="F331" s="15" t="s">
        <v>200</v>
      </c>
      <c r="G331" s="17" t="s">
        <v>76</v>
      </c>
      <c r="H331" s="17" t="s">
        <v>1495</v>
      </c>
      <c r="I331" s="17" t="s">
        <v>30</v>
      </c>
      <c r="J331" s="17" t="s">
        <v>31</v>
      </c>
      <c r="K331" s="17" t="s">
        <v>46</v>
      </c>
      <c r="L331" s="17" t="s">
        <v>189</v>
      </c>
      <c r="M331" s="17">
        <v>15</v>
      </c>
      <c r="N331" s="26">
        <v>700</v>
      </c>
      <c r="O331" s="17">
        <v>5</v>
      </c>
      <c r="P331" s="26">
        <v>9975</v>
      </c>
      <c r="Q331" s="17">
        <v>1</v>
      </c>
      <c r="R331" s="17" t="s">
        <v>34</v>
      </c>
      <c r="S331" s="17" t="s">
        <v>49</v>
      </c>
      <c r="T331" s="17" t="s">
        <v>132</v>
      </c>
      <c r="U331" s="17">
        <v>9464035549</v>
      </c>
      <c r="V331" s="17" t="s">
        <v>69</v>
      </c>
      <c r="W331" s="29" t="str" cm="1">
        <f t="array" ref="W331">_xlfn.IFS(OR(V331="Cancelled", Q331&lt;=2), "Blacklisted", AND(P331&gt;=100000, Q331&gt;=4, O331&lt;=0.1, V331="Completed"), "Platinum", AND(P331&gt;=50000, P331&lt;=99999, Q331&gt;=3, V331="Completed"), "Gold", AND(Q331&lt;50000, V331="Completed"), "Silver", V331="Pending", "Pending")</f>
        <v>Blacklisted</v>
      </c>
    </row>
    <row r="332" spans="1:23" x14ac:dyDescent="0.5">
      <c r="A332" s="15" t="s">
        <v>1497</v>
      </c>
      <c r="B332" s="15" t="s">
        <v>53</v>
      </c>
      <c r="C332" s="15" t="s">
        <v>72</v>
      </c>
      <c r="D332" s="15" t="s">
        <v>179</v>
      </c>
      <c r="E332" s="15" t="s">
        <v>798</v>
      </c>
      <c r="F332" s="15" t="s">
        <v>163</v>
      </c>
      <c r="G332" s="15" t="s">
        <v>28</v>
      </c>
      <c r="H332" s="15" t="s">
        <v>1498</v>
      </c>
      <c r="I332" s="15" t="s">
        <v>138</v>
      </c>
      <c r="J332" s="15" t="s">
        <v>106</v>
      </c>
      <c r="K332" s="15" t="s">
        <v>46</v>
      </c>
      <c r="L332" s="15" t="s">
        <v>78</v>
      </c>
      <c r="M332" s="15">
        <v>13</v>
      </c>
      <c r="N332" s="25">
        <v>1200</v>
      </c>
      <c r="O332" s="15">
        <v>0</v>
      </c>
      <c r="P332" s="25">
        <v>15600</v>
      </c>
      <c r="Q332" s="15">
        <v>3</v>
      </c>
      <c r="R332" s="15" t="s">
        <v>48</v>
      </c>
      <c r="S332" s="15" t="s">
        <v>115</v>
      </c>
      <c r="T332" s="15" t="s">
        <v>62</v>
      </c>
      <c r="U332" s="15">
        <v>9142334315</v>
      </c>
      <c r="V332" s="15" t="s">
        <v>69</v>
      </c>
      <c r="W332" s="29" t="str" cm="1">
        <f t="array" ref="W332">_xlfn.IFS(OR(V332="Cancelled", Q332&lt;=2), "Blacklisted", AND(P332&gt;=100000, Q332&gt;=4, O332&lt;=0.1, V332="Completed"), "Platinum", AND(P332&gt;=50000, P332&lt;=99999, Q332&gt;=3, V332="Completed"), "Gold", AND(Q332&lt;50000, V332="Completed"), "Silver", V332="Pending", "Pending")</f>
        <v>Blacklisted</v>
      </c>
    </row>
    <row r="333" spans="1:23" x14ac:dyDescent="0.5">
      <c r="A333" s="17" t="s">
        <v>1500</v>
      </c>
      <c r="B333" s="17" t="s">
        <v>327</v>
      </c>
      <c r="C333" s="17" t="s">
        <v>40</v>
      </c>
      <c r="D333" s="17" t="s">
        <v>1501</v>
      </c>
      <c r="E333" s="17" t="s">
        <v>1502</v>
      </c>
      <c r="F333" s="15" t="s">
        <v>394</v>
      </c>
      <c r="G333" s="17" t="s">
        <v>76</v>
      </c>
      <c r="H333" s="17" t="s">
        <v>1503</v>
      </c>
      <c r="I333" s="17" t="s">
        <v>44</v>
      </c>
      <c r="J333" s="17" t="s">
        <v>45</v>
      </c>
      <c r="K333" s="17" t="s">
        <v>46</v>
      </c>
      <c r="L333" s="17" t="s">
        <v>47</v>
      </c>
      <c r="M333" s="17">
        <v>5</v>
      </c>
      <c r="N333" s="26">
        <v>12000</v>
      </c>
      <c r="O333" s="17">
        <v>10</v>
      </c>
      <c r="P333" s="26">
        <v>54000</v>
      </c>
      <c r="Q333" s="17">
        <v>3</v>
      </c>
      <c r="R333" s="17" t="s">
        <v>88</v>
      </c>
      <c r="S333" s="17" t="s">
        <v>49</v>
      </c>
      <c r="T333" s="17" t="s">
        <v>332</v>
      </c>
      <c r="U333" s="17">
        <v>9123961962</v>
      </c>
      <c r="V333" s="17" t="s">
        <v>38</v>
      </c>
      <c r="W333" s="29" t="str" cm="1">
        <f t="array" ref="W333">_xlfn.IFS(OR(V333="Cancelled", Q333&lt;=2), "Blacklisted", AND(P333&gt;=100000, Q333&gt;=4, O333&lt;=0.1, V333="Completed"), "Platinum", AND(P333&gt;=50000, P333&lt;=99999, Q333&gt;=3, V333="Completed"), "Gold", AND(Q333&lt;50000, V333="Completed"), "Silver", V333="Pending", "Pending")</f>
        <v>Gold</v>
      </c>
    </row>
    <row r="334" spans="1:23" x14ac:dyDescent="0.5">
      <c r="A334" s="15" t="s">
        <v>1505</v>
      </c>
      <c r="B334" s="15" t="s">
        <v>53</v>
      </c>
      <c r="C334" s="15" t="s">
        <v>259</v>
      </c>
      <c r="D334" s="15" t="s">
        <v>1506</v>
      </c>
      <c r="E334" s="15" t="s">
        <v>1507</v>
      </c>
      <c r="F334" s="15" t="s">
        <v>163</v>
      </c>
      <c r="G334" s="15" t="s">
        <v>28</v>
      </c>
      <c r="H334" s="15" t="s">
        <v>1508</v>
      </c>
      <c r="I334" s="15" t="s">
        <v>59</v>
      </c>
      <c r="J334" s="15" t="s">
        <v>31</v>
      </c>
      <c r="K334" s="15" t="s">
        <v>122</v>
      </c>
      <c r="L334" s="15" t="s">
        <v>263</v>
      </c>
      <c r="M334" s="15">
        <v>12</v>
      </c>
      <c r="N334" s="25">
        <v>45</v>
      </c>
      <c r="O334" s="15">
        <v>20</v>
      </c>
      <c r="P334" s="25">
        <v>432</v>
      </c>
      <c r="Q334" s="15">
        <v>3</v>
      </c>
      <c r="R334" s="15" t="s">
        <v>48</v>
      </c>
      <c r="S334" s="15" t="s">
        <v>61</v>
      </c>
      <c r="T334" s="15" t="s">
        <v>62</v>
      </c>
      <c r="U334" s="15">
        <v>9741953402</v>
      </c>
      <c r="V334" s="15" t="s">
        <v>38</v>
      </c>
      <c r="W334" s="29" t="str" cm="1">
        <f t="array" ref="W334">_xlfn.IFS(OR(V334="Cancelled", Q334&lt;=2), "Blacklisted", AND(P334&gt;=100000, Q334&gt;=4, O334&lt;=0.1, V334="Completed"), "Platinum", AND(P334&gt;=50000, P334&lt;=99999, Q334&gt;=3, V334="Completed"), "Gold", AND(Q334&lt;50000, V334="Completed"), "Silver", V334="Pending", "Pending")</f>
        <v>Silver</v>
      </c>
    </row>
    <row r="335" spans="1:23" x14ac:dyDescent="0.5">
      <c r="A335" s="17" t="s">
        <v>1510</v>
      </c>
      <c r="B335" s="17" t="s">
        <v>23</v>
      </c>
      <c r="C335" s="17" t="s">
        <v>92</v>
      </c>
      <c r="D335" s="17" t="s">
        <v>652</v>
      </c>
      <c r="E335" s="17" t="s">
        <v>666</v>
      </c>
      <c r="F335" s="15" t="s">
        <v>27</v>
      </c>
      <c r="G335" s="17" t="s">
        <v>28</v>
      </c>
      <c r="H335" s="17" t="s">
        <v>1511</v>
      </c>
      <c r="I335" s="17" t="s">
        <v>59</v>
      </c>
      <c r="J335" s="17" t="s">
        <v>31</v>
      </c>
      <c r="K335" s="17" t="s">
        <v>32</v>
      </c>
      <c r="L335" s="17" t="s">
        <v>97</v>
      </c>
      <c r="M335" s="17">
        <v>2</v>
      </c>
      <c r="N335" s="26">
        <v>3500</v>
      </c>
      <c r="O335" s="17">
        <v>0</v>
      </c>
      <c r="P335" s="26">
        <v>7000</v>
      </c>
      <c r="Q335" s="17">
        <v>1</v>
      </c>
      <c r="R335" s="17" t="s">
        <v>48</v>
      </c>
      <c r="S335" s="17" t="s">
        <v>115</v>
      </c>
      <c r="T335" s="17" t="s">
        <v>50</v>
      </c>
      <c r="U335" s="17">
        <v>9404733633</v>
      </c>
      <c r="V335" s="17" t="s">
        <v>64</v>
      </c>
      <c r="W335" s="29" t="str" cm="1">
        <f t="array" ref="W335">_xlfn.IFS(OR(V335="Cancelled", Q335&lt;=2), "Blacklisted", AND(P335&gt;=100000, Q335&gt;=4, O335&lt;=0.1, V335="Completed"), "Platinum", AND(P335&gt;=50000, P335&lt;=99999, Q335&gt;=3, V335="Completed"), "Gold", AND(Q335&lt;50000, V335="Completed"), "Silver", V335="Pending", "Pending")</f>
        <v>Blacklisted</v>
      </c>
    </row>
    <row r="336" spans="1:23" x14ac:dyDescent="0.5">
      <c r="A336" s="15" t="s">
        <v>1513</v>
      </c>
      <c r="B336" s="15" t="s">
        <v>23</v>
      </c>
      <c r="C336" s="15" t="s">
        <v>24</v>
      </c>
      <c r="D336" s="15" t="s">
        <v>426</v>
      </c>
      <c r="E336" s="15" t="s">
        <v>1180</v>
      </c>
      <c r="F336" s="15" t="s">
        <v>27</v>
      </c>
      <c r="G336" s="15" t="s">
        <v>28</v>
      </c>
      <c r="H336" s="15" t="s">
        <v>1514</v>
      </c>
      <c r="I336" s="15" t="s">
        <v>114</v>
      </c>
      <c r="J336" s="15" t="s">
        <v>106</v>
      </c>
      <c r="K336" s="15" t="s">
        <v>32</v>
      </c>
      <c r="L336" s="15" t="s">
        <v>33</v>
      </c>
      <c r="M336" s="15">
        <v>15</v>
      </c>
      <c r="N336" s="25">
        <v>2200</v>
      </c>
      <c r="O336" s="15">
        <v>15</v>
      </c>
      <c r="P336" s="25">
        <v>28050</v>
      </c>
      <c r="Q336" s="15">
        <v>2</v>
      </c>
      <c r="R336" s="15" t="s">
        <v>48</v>
      </c>
      <c r="S336" s="15" t="s">
        <v>49</v>
      </c>
      <c r="T336" s="15" t="s">
        <v>50</v>
      </c>
      <c r="U336" s="15">
        <v>9297492337</v>
      </c>
      <c r="V336" s="15" t="s">
        <v>64</v>
      </c>
      <c r="W336" s="29" t="str" cm="1">
        <f t="array" ref="W336">_xlfn.IFS(OR(V336="Cancelled", Q336&lt;=2), "Blacklisted", AND(P336&gt;=100000, Q336&gt;=4, O336&lt;=0.1, V336="Completed"), "Platinum", AND(P336&gt;=50000, P336&lt;=99999, Q336&gt;=3, V336="Completed"), "Gold", AND(Q336&lt;50000, V336="Completed"), "Silver", V336="Pending", "Pending")</f>
        <v>Blacklisted</v>
      </c>
    </row>
    <row r="337" spans="1:23" x14ac:dyDescent="0.5">
      <c r="A337" s="17" t="s">
        <v>1516</v>
      </c>
      <c r="B337" s="17" t="s">
        <v>100</v>
      </c>
      <c r="C337" s="17" t="s">
        <v>222</v>
      </c>
      <c r="D337" s="17" t="s">
        <v>186</v>
      </c>
      <c r="E337" s="17" t="s">
        <v>1253</v>
      </c>
      <c r="F337" s="15" t="s">
        <v>103</v>
      </c>
      <c r="G337" s="17" t="s">
        <v>28</v>
      </c>
      <c r="H337" s="17" t="s">
        <v>1517</v>
      </c>
      <c r="I337" s="17" t="s">
        <v>138</v>
      </c>
      <c r="J337" s="17" t="s">
        <v>106</v>
      </c>
      <c r="K337" s="17" t="s">
        <v>122</v>
      </c>
      <c r="L337" s="17" t="s">
        <v>227</v>
      </c>
      <c r="M337" s="17">
        <v>8</v>
      </c>
      <c r="N337" s="26">
        <v>20</v>
      </c>
      <c r="O337" s="17">
        <v>20</v>
      </c>
      <c r="P337" s="26">
        <v>128</v>
      </c>
      <c r="Q337" s="17">
        <v>5</v>
      </c>
      <c r="R337" s="17" t="s">
        <v>88</v>
      </c>
      <c r="S337" s="17" t="s">
        <v>49</v>
      </c>
      <c r="T337" s="17" t="s">
        <v>144</v>
      </c>
      <c r="U337" s="17">
        <v>9350338928</v>
      </c>
      <c r="V337" s="17" t="s">
        <v>38</v>
      </c>
      <c r="W337" s="29" t="str" cm="1">
        <f t="array" ref="W337">_xlfn.IFS(OR(V337="Cancelled", Q337&lt;=2), "Blacklisted", AND(P337&gt;=100000, Q337&gt;=4, O337&lt;=0.1, V337="Completed"), "Platinum", AND(P337&gt;=50000, P337&lt;=99999, Q337&gt;=3, V337="Completed"), "Gold", AND(Q337&lt;50000, V337="Completed"), "Silver", V337="Pending", "Pending")</f>
        <v>Silver</v>
      </c>
    </row>
    <row r="338" spans="1:23" x14ac:dyDescent="0.5">
      <c r="A338" s="15" t="s">
        <v>1519</v>
      </c>
      <c r="B338" s="15" t="s">
        <v>127</v>
      </c>
      <c r="C338" s="15" t="s">
        <v>222</v>
      </c>
      <c r="D338" s="15" t="s">
        <v>298</v>
      </c>
      <c r="E338" s="15" t="s">
        <v>798</v>
      </c>
      <c r="F338" s="15" t="s">
        <v>200</v>
      </c>
      <c r="G338" s="15" t="s">
        <v>76</v>
      </c>
      <c r="H338" s="15" t="s">
        <v>1520</v>
      </c>
      <c r="I338" s="15" t="s">
        <v>30</v>
      </c>
      <c r="J338" s="15" t="s">
        <v>31</v>
      </c>
      <c r="K338" s="15" t="s">
        <v>122</v>
      </c>
      <c r="L338" s="15" t="s">
        <v>227</v>
      </c>
      <c r="M338" s="15">
        <v>1</v>
      </c>
      <c r="N338" s="25">
        <v>20</v>
      </c>
      <c r="O338" s="15">
        <v>0</v>
      </c>
      <c r="P338" s="25">
        <v>20</v>
      </c>
      <c r="Q338" s="15">
        <v>3</v>
      </c>
      <c r="R338" s="15" t="s">
        <v>88</v>
      </c>
      <c r="S338" s="15" t="s">
        <v>35</v>
      </c>
      <c r="T338" s="15" t="s">
        <v>132</v>
      </c>
      <c r="U338" s="15">
        <v>9933894798</v>
      </c>
      <c r="V338" s="15" t="s">
        <v>38</v>
      </c>
      <c r="W338" s="29" t="str" cm="1">
        <f t="array" ref="W338">_xlfn.IFS(OR(V338="Cancelled", Q338&lt;=2), "Blacklisted", AND(P338&gt;=100000, Q338&gt;=4, O338&lt;=0.1, V338="Completed"), "Platinum", AND(P338&gt;=50000, P338&lt;=99999, Q338&gt;=3, V338="Completed"), "Gold", AND(Q338&lt;50000, V338="Completed"), "Silver", V338="Pending", "Pending")</f>
        <v>Silver</v>
      </c>
    </row>
    <row r="339" spans="1:23" x14ac:dyDescent="0.5">
      <c r="A339" s="17" t="s">
        <v>1522</v>
      </c>
      <c r="B339" s="17" t="s">
        <v>23</v>
      </c>
      <c r="C339" s="17" t="s">
        <v>184</v>
      </c>
      <c r="D339" s="17" t="s">
        <v>1199</v>
      </c>
      <c r="E339" s="17" t="s">
        <v>253</v>
      </c>
      <c r="F339" s="15" t="s">
        <v>27</v>
      </c>
      <c r="G339" s="17" t="s">
        <v>28</v>
      </c>
      <c r="H339" s="17" t="s">
        <v>1523</v>
      </c>
      <c r="I339" s="17" t="s">
        <v>212</v>
      </c>
      <c r="J339" s="17" t="s">
        <v>45</v>
      </c>
      <c r="K339" s="17" t="s">
        <v>46</v>
      </c>
      <c r="L339" s="17" t="s">
        <v>189</v>
      </c>
      <c r="M339" s="17">
        <v>15</v>
      </c>
      <c r="N339" s="26">
        <v>700</v>
      </c>
      <c r="O339" s="17">
        <v>0</v>
      </c>
      <c r="P339" s="26">
        <v>10500</v>
      </c>
      <c r="Q339" s="17">
        <v>2</v>
      </c>
      <c r="R339" s="17" t="s">
        <v>88</v>
      </c>
      <c r="S339" s="17" t="s">
        <v>49</v>
      </c>
      <c r="T339" s="17" t="s">
        <v>50</v>
      </c>
      <c r="U339" s="17">
        <v>9705218824</v>
      </c>
      <c r="V339" s="17" t="s">
        <v>38</v>
      </c>
      <c r="W339" s="29" t="str" cm="1">
        <f t="array" ref="W339">_xlfn.IFS(OR(V339="Cancelled", Q339&lt;=2), "Blacklisted", AND(P339&gt;=100000, Q339&gt;=4, O339&lt;=0.1, V339="Completed"), "Platinum", AND(P339&gt;=50000, P339&lt;=99999, Q339&gt;=3, V339="Completed"), "Gold", AND(Q339&lt;50000, V339="Completed"), "Silver", V339="Pending", "Pending")</f>
        <v>Blacklisted</v>
      </c>
    </row>
    <row r="340" spans="1:23" x14ac:dyDescent="0.5">
      <c r="A340" s="15" t="s">
        <v>1525</v>
      </c>
      <c r="B340" s="15" t="s">
        <v>327</v>
      </c>
      <c r="C340" s="15" t="s">
        <v>92</v>
      </c>
      <c r="D340" s="15" t="s">
        <v>932</v>
      </c>
      <c r="E340" s="15" t="s">
        <v>1526</v>
      </c>
      <c r="F340" s="15" t="s">
        <v>394</v>
      </c>
      <c r="G340" s="15" t="s">
        <v>76</v>
      </c>
      <c r="H340" s="15" t="s">
        <v>1527</v>
      </c>
      <c r="I340" s="15" t="s">
        <v>30</v>
      </c>
      <c r="J340" s="15" t="s">
        <v>31</v>
      </c>
      <c r="K340" s="15" t="s">
        <v>32</v>
      </c>
      <c r="L340" s="15" t="s">
        <v>97</v>
      </c>
      <c r="M340" s="15">
        <v>15</v>
      </c>
      <c r="N340" s="25">
        <v>3500</v>
      </c>
      <c r="O340" s="15">
        <v>10</v>
      </c>
      <c r="P340" s="25">
        <v>47250</v>
      </c>
      <c r="Q340" s="15">
        <v>3</v>
      </c>
      <c r="R340" s="15" t="s">
        <v>34</v>
      </c>
      <c r="S340" s="15" t="s">
        <v>151</v>
      </c>
      <c r="T340" s="15" t="s">
        <v>332</v>
      </c>
      <c r="U340" s="15">
        <v>9229164453</v>
      </c>
      <c r="V340" s="15" t="s">
        <v>64</v>
      </c>
      <c r="W340" s="29" t="str" cm="1">
        <f t="array" ref="W340">_xlfn.IFS(OR(V340="Cancelled", Q340&lt;=2), "Blacklisted", AND(P340&gt;=100000, Q340&gt;=4, O340&lt;=0.1, V340="Completed"), "Platinum", AND(P340&gt;=50000, P340&lt;=99999, Q340&gt;=3, V340="Completed"), "Gold", AND(Q340&lt;50000, V340="Completed"), "Silver", V340="Pending", "Pending")</f>
        <v>Pending</v>
      </c>
    </row>
    <row r="341" spans="1:23" x14ac:dyDescent="0.5">
      <c r="A341" s="17" t="s">
        <v>1529</v>
      </c>
      <c r="B341" s="17" t="s">
        <v>23</v>
      </c>
      <c r="C341" s="17" t="s">
        <v>118</v>
      </c>
      <c r="D341" s="17" t="s">
        <v>1530</v>
      </c>
      <c r="E341" s="17" t="s">
        <v>156</v>
      </c>
      <c r="F341" s="15" t="s">
        <v>27</v>
      </c>
      <c r="G341" s="17" t="s">
        <v>28</v>
      </c>
      <c r="H341" s="17" t="s">
        <v>1531</v>
      </c>
      <c r="I341" s="17" t="s">
        <v>294</v>
      </c>
      <c r="J341" s="17" t="s">
        <v>295</v>
      </c>
      <c r="K341" s="17" t="s">
        <v>122</v>
      </c>
      <c r="L341" s="17" t="s">
        <v>123</v>
      </c>
      <c r="M341" s="17">
        <v>16</v>
      </c>
      <c r="N341" s="26">
        <v>60</v>
      </c>
      <c r="O341" s="17">
        <v>10</v>
      </c>
      <c r="P341" s="26">
        <v>864</v>
      </c>
      <c r="Q341" s="17">
        <v>4</v>
      </c>
      <c r="R341" s="17" t="s">
        <v>79</v>
      </c>
      <c r="S341" s="17" t="s">
        <v>61</v>
      </c>
      <c r="T341" s="17" t="s">
        <v>50</v>
      </c>
      <c r="U341" s="17">
        <v>9219806176</v>
      </c>
      <c r="V341" s="17" t="s">
        <v>38</v>
      </c>
      <c r="W341" s="29" t="str" cm="1">
        <f t="array" ref="W341">_xlfn.IFS(OR(V341="Cancelled", Q341&lt;=2), "Blacklisted", AND(P341&gt;=100000, Q341&gt;=4, O341&lt;=0.1, V341="Completed"), "Platinum", AND(P341&gt;=50000, P341&lt;=99999, Q341&gt;=3, V341="Completed"), "Gold", AND(Q341&lt;50000, V341="Completed"), "Silver", V341="Pending", "Pending")</f>
        <v>Silver</v>
      </c>
    </row>
    <row r="342" spans="1:23" x14ac:dyDescent="0.5">
      <c r="A342" s="15" t="s">
        <v>1533</v>
      </c>
      <c r="B342" s="15" t="s">
        <v>127</v>
      </c>
      <c r="C342" s="15" t="s">
        <v>259</v>
      </c>
      <c r="D342" s="15" t="s">
        <v>309</v>
      </c>
      <c r="E342" s="15" t="s">
        <v>793</v>
      </c>
      <c r="F342" s="15" t="s">
        <v>200</v>
      </c>
      <c r="G342" s="15" t="s">
        <v>76</v>
      </c>
      <c r="H342" s="15" t="s">
        <v>1534</v>
      </c>
      <c r="I342" s="15" t="s">
        <v>44</v>
      </c>
      <c r="J342" s="15" t="s">
        <v>45</v>
      </c>
      <c r="K342" s="15" t="s">
        <v>122</v>
      </c>
      <c r="L342" s="15" t="s">
        <v>263</v>
      </c>
      <c r="M342" s="15">
        <v>2</v>
      </c>
      <c r="N342" s="25">
        <v>45</v>
      </c>
      <c r="O342" s="15">
        <v>15</v>
      </c>
      <c r="P342" s="25">
        <v>76.5</v>
      </c>
      <c r="Q342" s="15">
        <v>1</v>
      </c>
      <c r="R342" s="15" t="s">
        <v>88</v>
      </c>
      <c r="S342" s="15" t="s">
        <v>151</v>
      </c>
      <c r="T342" s="15" t="s">
        <v>132</v>
      </c>
      <c r="U342" s="15">
        <v>9630210250</v>
      </c>
      <c r="V342" s="15" t="s">
        <v>69</v>
      </c>
      <c r="W342" s="29" t="str" cm="1">
        <f t="array" ref="W342">_xlfn.IFS(OR(V342="Cancelled", Q342&lt;=2), "Blacklisted", AND(P342&gt;=100000, Q342&gt;=4, O342&lt;=0.1, V342="Completed"), "Platinum", AND(P342&gt;=50000, P342&lt;=99999, Q342&gt;=3, V342="Completed"), "Gold", AND(Q342&lt;50000, V342="Completed"), "Silver", V342="Pending", "Pending")</f>
        <v>Blacklisted</v>
      </c>
    </row>
    <row r="343" spans="1:23" x14ac:dyDescent="0.5">
      <c r="A343" s="17" t="s">
        <v>1536</v>
      </c>
      <c r="B343" s="17" t="s">
        <v>168</v>
      </c>
      <c r="C343" s="17" t="s">
        <v>118</v>
      </c>
      <c r="D343" s="17" t="s">
        <v>1537</v>
      </c>
      <c r="E343" s="17" t="s">
        <v>1214</v>
      </c>
      <c r="F343" s="15" t="s">
        <v>361</v>
      </c>
      <c r="G343" s="17" t="s">
        <v>28</v>
      </c>
      <c r="H343" s="17" t="s">
        <v>1538</v>
      </c>
      <c r="I343" s="17" t="s">
        <v>44</v>
      </c>
      <c r="J343" s="17" t="s">
        <v>45</v>
      </c>
      <c r="K343" s="17" t="s">
        <v>122</v>
      </c>
      <c r="L343" s="17" t="s">
        <v>123</v>
      </c>
      <c r="M343" s="17">
        <v>13</v>
      </c>
      <c r="N343" s="26">
        <v>60</v>
      </c>
      <c r="O343" s="17">
        <v>15</v>
      </c>
      <c r="P343" s="26">
        <v>663</v>
      </c>
      <c r="Q343" s="17">
        <v>2</v>
      </c>
      <c r="R343" s="17" t="s">
        <v>48</v>
      </c>
      <c r="S343" s="17" t="s">
        <v>61</v>
      </c>
      <c r="T343" s="17" t="s">
        <v>175</v>
      </c>
      <c r="U343" s="17">
        <v>9583354052</v>
      </c>
      <c r="V343" s="17" t="s">
        <v>69</v>
      </c>
      <c r="W343" s="29" t="str" cm="1">
        <f t="array" ref="W343">_xlfn.IFS(OR(V343="Cancelled", Q343&lt;=2), "Blacklisted", AND(P343&gt;=100000, Q343&gt;=4, O343&lt;=0.1, V343="Completed"), "Platinum", AND(P343&gt;=50000, P343&lt;=99999, Q343&gt;=3, V343="Completed"), "Gold", AND(Q343&lt;50000, V343="Completed"), "Silver", V343="Pending", "Pending")</f>
        <v>Blacklisted</v>
      </c>
    </row>
    <row r="344" spans="1:23" x14ac:dyDescent="0.5">
      <c r="A344" s="15" t="s">
        <v>1540</v>
      </c>
      <c r="B344" s="15" t="s">
        <v>83</v>
      </c>
      <c r="C344" s="15" t="s">
        <v>40</v>
      </c>
      <c r="D344" s="15" t="s">
        <v>1086</v>
      </c>
      <c r="E344" s="15" t="s">
        <v>236</v>
      </c>
      <c r="F344" s="15" t="s">
        <v>180</v>
      </c>
      <c r="G344" s="15" t="s">
        <v>76</v>
      </c>
      <c r="H344" s="15" t="s">
        <v>1541</v>
      </c>
      <c r="I344" s="15" t="s">
        <v>44</v>
      </c>
      <c r="J344" s="15" t="s">
        <v>45</v>
      </c>
      <c r="K344" s="15" t="s">
        <v>46</v>
      </c>
      <c r="L344" s="15" t="s">
        <v>47</v>
      </c>
      <c r="M344" s="15">
        <v>15</v>
      </c>
      <c r="N344" s="25">
        <v>12000</v>
      </c>
      <c r="O344" s="15">
        <v>20</v>
      </c>
      <c r="P344" s="25">
        <v>144000</v>
      </c>
      <c r="Q344" s="15">
        <v>3</v>
      </c>
      <c r="R344" s="15" t="s">
        <v>79</v>
      </c>
      <c r="S344" s="15" t="s">
        <v>35</v>
      </c>
      <c r="T344" s="15" t="s">
        <v>89</v>
      </c>
      <c r="U344" s="15">
        <v>9242534507</v>
      </c>
      <c r="V344" s="15" t="s">
        <v>69</v>
      </c>
      <c r="W344" s="29" t="str" cm="1">
        <f t="array" ref="W344">_xlfn.IFS(OR(V344="Cancelled", Q344&lt;=2), "Blacklisted", AND(P344&gt;=100000, Q344&gt;=4, O344&lt;=0.1, V344="Completed"), "Platinum", AND(P344&gt;=50000, P344&lt;=99999, Q344&gt;=3, V344="Completed"), "Gold", AND(Q344&lt;50000, V344="Completed"), "Silver", V344="Pending", "Pending")</f>
        <v>Blacklisted</v>
      </c>
    </row>
    <row r="345" spans="1:23" x14ac:dyDescent="0.5">
      <c r="A345" s="17" t="s">
        <v>1543</v>
      </c>
      <c r="B345" s="17" t="s">
        <v>327</v>
      </c>
      <c r="C345" s="17" t="s">
        <v>222</v>
      </c>
      <c r="D345" s="17" t="s">
        <v>755</v>
      </c>
      <c r="E345" s="17" t="s">
        <v>1544</v>
      </c>
      <c r="F345" s="15" t="s">
        <v>394</v>
      </c>
      <c r="G345" s="17" t="s">
        <v>76</v>
      </c>
      <c r="H345" s="17" t="s">
        <v>1545</v>
      </c>
      <c r="I345" s="17" t="s">
        <v>44</v>
      </c>
      <c r="J345" s="17" t="s">
        <v>45</v>
      </c>
      <c r="K345" s="17" t="s">
        <v>122</v>
      </c>
      <c r="L345" s="17" t="s">
        <v>227</v>
      </c>
      <c r="M345" s="17">
        <v>2</v>
      </c>
      <c r="N345" s="26">
        <v>20</v>
      </c>
      <c r="O345" s="17">
        <v>20</v>
      </c>
      <c r="P345" s="26">
        <v>32</v>
      </c>
      <c r="Q345" s="17">
        <v>4</v>
      </c>
      <c r="R345" s="17" t="s">
        <v>34</v>
      </c>
      <c r="S345" s="17" t="s">
        <v>35</v>
      </c>
      <c r="T345" s="17" t="s">
        <v>332</v>
      </c>
      <c r="U345" s="17">
        <v>9291239150</v>
      </c>
      <c r="V345" s="17" t="s">
        <v>64</v>
      </c>
      <c r="W345" s="29" t="str" cm="1">
        <f t="array" ref="W345">_xlfn.IFS(OR(V345="Cancelled", Q345&lt;=2), "Blacklisted", AND(P345&gt;=100000, Q345&gt;=4, O345&lt;=0.1, V345="Completed"), "Platinum", AND(P345&gt;=50000, P345&lt;=99999, Q345&gt;=3, V345="Completed"), "Gold", AND(Q345&lt;50000, V345="Completed"), "Silver", V345="Pending", "Pending")</f>
        <v>Pending</v>
      </c>
    </row>
    <row r="346" spans="1:23" x14ac:dyDescent="0.5">
      <c r="A346" s="15" t="s">
        <v>1547</v>
      </c>
      <c r="B346" s="15" t="s">
        <v>127</v>
      </c>
      <c r="C346" s="15" t="s">
        <v>92</v>
      </c>
      <c r="D346" s="15" t="s">
        <v>382</v>
      </c>
      <c r="E346" s="15" t="s">
        <v>1548</v>
      </c>
      <c r="F346" s="15" t="s">
        <v>200</v>
      </c>
      <c r="G346" s="15" t="s">
        <v>76</v>
      </c>
      <c r="H346" s="15" t="s">
        <v>1549</v>
      </c>
      <c r="I346" s="15" t="s">
        <v>59</v>
      </c>
      <c r="J346" s="15" t="s">
        <v>31</v>
      </c>
      <c r="K346" s="15" t="s">
        <v>32</v>
      </c>
      <c r="L346" s="15" t="s">
        <v>97</v>
      </c>
      <c r="M346" s="15">
        <v>16</v>
      </c>
      <c r="N346" s="25">
        <v>3500</v>
      </c>
      <c r="O346" s="15">
        <v>0</v>
      </c>
      <c r="P346" s="25">
        <v>56000</v>
      </c>
      <c r="Q346" s="15">
        <v>4</v>
      </c>
      <c r="R346" s="15" t="s">
        <v>34</v>
      </c>
      <c r="S346" s="15" t="s">
        <v>115</v>
      </c>
      <c r="T346" s="15" t="s">
        <v>132</v>
      </c>
      <c r="U346" s="15">
        <v>9550820904</v>
      </c>
      <c r="V346" s="15" t="s">
        <v>38</v>
      </c>
      <c r="W346" s="29" t="str" cm="1">
        <f t="array" ref="W346">_xlfn.IFS(OR(V346="Cancelled", Q346&lt;=2), "Blacklisted", AND(P346&gt;=100000, Q346&gt;=4, O346&lt;=0.1, V346="Completed"), "Platinum", AND(P346&gt;=50000, P346&lt;=99999, Q346&gt;=3, V346="Completed"), "Gold", AND(Q346&lt;50000, V346="Completed"), "Silver", V346="Pending", "Pending")</f>
        <v>Gold</v>
      </c>
    </row>
    <row r="347" spans="1:23" x14ac:dyDescent="0.5">
      <c r="A347" s="17" t="s">
        <v>1551</v>
      </c>
      <c r="B347" s="17" t="s">
        <v>53</v>
      </c>
      <c r="C347" s="17" t="s">
        <v>92</v>
      </c>
      <c r="D347" s="17" t="s">
        <v>1302</v>
      </c>
      <c r="E347" s="17" t="s">
        <v>94</v>
      </c>
      <c r="F347" s="15" t="s">
        <v>163</v>
      </c>
      <c r="G347" s="17" t="s">
        <v>28</v>
      </c>
      <c r="H347" s="17" t="s">
        <v>1552</v>
      </c>
      <c r="I347" s="17" t="s">
        <v>138</v>
      </c>
      <c r="J347" s="17" t="s">
        <v>106</v>
      </c>
      <c r="K347" s="17" t="s">
        <v>32</v>
      </c>
      <c r="L347" s="17" t="s">
        <v>97</v>
      </c>
      <c r="M347" s="17">
        <v>18</v>
      </c>
      <c r="N347" s="26">
        <v>3500</v>
      </c>
      <c r="O347" s="17">
        <v>15</v>
      </c>
      <c r="P347" s="26">
        <v>53550</v>
      </c>
      <c r="Q347" s="17">
        <v>5</v>
      </c>
      <c r="R347" s="17" t="s">
        <v>34</v>
      </c>
      <c r="S347" s="17" t="s">
        <v>151</v>
      </c>
      <c r="T347" s="17" t="s">
        <v>62</v>
      </c>
      <c r="U347" s="17">
        <v>9294486423</v>
      </c>
      <c r="V347" s="17" t="s">
        <v>69</v>
      </c>
      <c r="W347" s="29" t="str" cm="1">
        <f t="array" ref="W347">_xlfn.IFS(OR(V347="Cancelled", Q347&lt;=2), "Blacklisted", AND(P347&gt;=100000, Q347&gt;=4, O347&lt;=0.1, V347="Completed"), "Platinum", AND(P347&gt;=50000, P347&lt;=99999, Q347&gt;=3, V347="Completed"), "Gold", AND(Q347&lt;50000, V347="Completed"), "Silver", V347="Pending", "Pending")</f>
        <v>Blacklisted</v>
      </c>
    </row>
    <row r="348" spans="1:23" x14ac:dyDescent="0.5">
      <c r="A348" s="15" t="s">
        <v>1554</v>
      </c>
      <c r="B348" s="15" t="s">
        <v>23</v>
      </c>
      <c r="C348" s="15" t="s">
        <v>259</v>
      </c>
      <c r="D348" s="15" t="s">
        <v>65</v>
      </c>
      <c r="E348" s="15" t="s">
        <v>544</v>
      </c>
      <c r="F348" s="15" t="s">
        <v>27</v>
      </c>
      <c r="G348" s="15" t="s">
        <v>28</v>
      </c>
      <c r="H348" s="15" t="s">
        <v>1555</v>
      </c>
      <c r="I348" s="15" t="s">
        <v>138</v>
      </c>
      <c r="J348" s="15" t="s">
        <v>106</v>
      </c>
      <c r="K348" s="15" t="s">
        <v>122</v>
      </c>
      <c r="L348" s="15" t="s">
        <v>263</v>
      </c>
      <c r="M348" s="15">
        <v>20</v>
      </c>
      <c r="N348" s="25">
        <v>45</v>
      </c>
      <c r="O348" s="15">
        <v>15</v>
      </c>
      <c r="P348" s="25">
        <v>765</v>
      </c>
      <c r="Q348" s="15">
        <v>4</v>
      </c>
      <c r="R348" s="15" t="s">
        <v>34</v>
      </c>
      <c r="S348" s="15" t="s">
        <v>151</v>
      </c>
      <c r="T348" s="15" t="s">
        <v>50</v>
      </c>
      <c r="U348" s="15">
        <v>9260258621</v>
      </c>
      <c r="V348" s="15" t="s">
        <v>69</v>
      </c>
      <c r="W348" s="29" t="str" cm="1">
        <f t="array" ref="W348">_xlfn.IFS(OR(V348="Cancelled", Q348&lt;=2), "Blacklisted", AND(P348&gt;=100000, Q348&gt;=4, O348&lt;=0.1, V348="Completed"), "Platinum", AND(P348&gt;=50000, P348&lt;=99999, Q348&gt;=3, V348="Completed"), "Gold", AND(Q348&lt;50000, V348="Completed"), "Silver", V348="Pending", "Pending")</f>
        <v>Blacklisted</v>
      </c>
    </row>
    <row r="349" spans="1:23" x14ac:dyDescent="0.5">
      <c r="A349" s="17" t="s">
        <v>1557</v>
      </c>
      <c r="B349" s="17" t="s">
        <v>251</v>
      </c>
      <c r="C349" s="17" t="s">
        <v>24</v>
      </c>
      <c r="D349" s="17" t="s">
        <v>1286</v>
      </c>
      <c r="E349" s="17" t="s">
        <v>356</v>
      </c>
      <c r="F349" s="15" t="s">
        <v>254</v>
      </c>
      <c r="G349" s="17" t="s">
        <v>28</v>
      </c>
      <c r="H349" s="17" t="s">
        <v>1558</v>
      </c>
      <c r="I349" s="17" t="s">
        <v>44</v>
      </c>
      <c r="J349" s="17" t="s">
        <v>45</v>
      </c>
      <c r="K349" s="17" t="s">
        <v>32</v>
      </c>
      <c r="L349" s="17" t="s">
        <v>33</v>
      </c>
      <c r="M349" s="17">
        <v>13</v>
      </c>
      <c r="N349" s="26">
        <v>2200</v>
      </c>
      <c r="O349" s="17">
        <v>15</v>
      </c>
      <c r="P349" s="26">
        <v>24310</v>
      </c>
      <c r="Q349" s="17">
        <v>2</v>
      </c>
      <c r="R349" s="17" t="s">
        <v>48</v>
      </c>
      <c r="S349" s="17" t="s">
        <v>115</v>
      </c>
      <c r="T349" s="17" t="s">
        <v>256</v>
      </c>
      <c r="U349" s="17">
        <v>9697433584</v>
      </c>
      <c r="V349" s="17" t="s">
        <v>64</v>
      </c>
      <c r="W349" s="29" t="str" cm="1">
        <f t="array" ref="W349">_xlfn.IFS(OR(V349="Cancelled", Q349&lt;=2), "Blacklisted", AND(P349&gt;=100000, Q349&gt;=4, O349&lt;=0.1, V349="Completed"), "Platinum", AND(P349&gt;=50000, P349&lt;=99999, Q349&gt;=3, V349="Completed"), "Gold", AND(Q349&lt;50000, V349="Completed"), "Silver", V349="Pending", "Pending")</f>
        <v>Blacklisted</v>
      </c>
    </row>
    <row r="350" spans="1:23" x14ac:dyDescent="0.5">
      <c r="A350" s="15" t="s">
        <v>1560</v>
      </c>
      <c r="B350" s="15" t="s">
        <v>53</v>
      </c>
      <c r="C350" s="15" t="s">
        <v>1561</v>
      </c>
      <c r="D350" s="15" t="s">
        <v>340</v>
      </c>
      <c r="E350" s="15" t="s">
        <v>346</v>
      </c>
      <c r="F350" s="15" t="s">
        <v>163</v>
      </c>
      <c r="G350" s="15" t="s">
        <v>28</v>
      </c>
      <c r="H350" s="15" t="s">
        <v>1562</v>
      </c>
      <c r="I350" s="15" t="s">
        <v>294</v>
      </c>
      <c r="J350" s="15" t="s">
        <v>295</v>
      </c>
      <c r="K350" s="15" t="s">
        <v>32</v>
      </c>
      <c r="L350" s="15" t="s">
        <v>174</v>
      </c>
      <c r="M350" s="15">
        <v>11</v>
      </c>
      <c r="N350" s="25">
        <v>8500</v>
      </c>
      <c r="O350" s="15">
        <v>5</v>
      </c>
      <c r="P350" s="25">
        <v>88825</v>
      </c>
      <c r="Q350" s="15">
        <v>1</v>
      </c>
      <c r="R350" s="15" t="s">
        <v>88</v>
      </c>
      <c r="S350" s="15" t="s">
        <v>115</v>
      </c>
      <c r="T350" s="15" t="s">
        <v>62</v>
      </c>
      <c r="U350" s="15">
        <v>9837969758</v>
      </c>
      <c r="V350" s="15" t="s">
        <v>69</v>
      </c>
      <c r="W350" s="29" t="str" cm="1">
        <f t="array" ref="W350">_xlfn.IFS(OR(V350="Cancelled", Q350&lt;=2), "Blacklisted", AND(P350&gt;=100000, Q350&gt;=4, O350&lt;=0.1, V350="Completed"), "Platinum", AND(P350&gt;=50000, P350&lt;=99999, Q350&gt;=3, V350="Completed"), "Gold", AND(Q350&lt;50000, V350="Completed"), "Silver", V350="Pending", "Pending")</f>
        <v>Blacklisted</v>
      </c>
    </row>
    <row r="351" spans="1:23" x14ac:dyDescent="0.5">
      <c r="A351" s="17" t="s">
        <v>1564</v>
      </c>
      <c r="B351" s="17" t="s">
        <v>53</v>
      </c>
      <c r="C351" s="17" t="s">
        <v>24</v>
      </c>
      <c r="D351" s="17" t="s">
        <v>1565</v>
      </c>
      <c r="E351" s="17" t="s">
        <v>1475</v>
      </c>
      <c r="F351" s="15" t="s">
        <v>163</v>
      </c>
      <c r="G351" s="17" t="s">
        <v>28</v>
      </c>
      <c r="H351" s="17" t="s">
        <v>1566</v>
      </c>
      <c r="I351" s="17" t="s">
        <v>212</v>
      </c>
      <c r="J351" s="17" t="s">
        <v>45</v>
      </c>
      <c r="K351" s="17" t="s">
        <v>32</v>
      </c>
      <c r="L351" s="17" t="s">
        <v>33</v>
      </c>
      <c r="M351" s="17">
        <v>2</v>
      </c>
      <c r="N351" s="26">
        <v>2200</v>
      </c>
      <c r="O351" s="17">
        <v>0</v>
      </c>
      <c r="P351" s="26">
        <v>4400</v>
      </c>
      <c r="Q351" s="17">
        <v>4</v>
      </c>
      <c r="R351" s="17" t="s">
        <v>88</v>
      </c>
      <c r="S351" s="17" t="s">
        <v>151</v>
      </c>
      <c r="T351" s="17" t="s">
        <v>62</v>
      </c>
      <c r="U351" s="17">
        <v>9209736419</v>
      </c>
      <c r="V351" s="17" t="s">
        <v>64</v>
      </c>
      <c r="W351" s="29" t="str" cm="1">
        <f t="array" ref="W351">_xlfn.IFS(OR(V351="Cancelled", Q351&lt;=2), "Blacklisted", AND(P351&gt;=100000, Q351&gt;=4, O351&lt;=0.1, V351="Completed"), "Platinum", AND(P351&gt;=50000, P351&lt;=99999, Q351&gt;=3, V351="Completed"), "Gold", AND(Q351&lt;50000, V351="Completed"), "Silver", V351="Pending", "Pending")</f>
        <v>Pending</v>
      </c>
    </row>
    <row r="352" spans="1:23" x14ac:dyDescent="0.5">
      <c r="A352" s="15" t="s">
        <v>1568</v>
      </c>
      <c r="B352" s="15" t="s">
        <v>83</v>
      </c>
      <c r="C352" s="15" t="s">
        <v>184</v>
      </c>
      <c r="D352" s="15" t="s">
        <v>1242</v>
      </c>
      <c r="E352" s="15" t="s">
        <v>720</v>
      </c>
      <c r="F352" s="15" t="s">
        <v>180</v>
      </c>
      <c r="G352" s="15" t="s">
        <v>76</v>
      </c>
      <c r="H352" s="15" t="s">
        <v>1569</v>
      </c>
      <c r="I352" s="15" t="s">
        <v>105</v>
      </c>
      <c r="J352" s="15" t="s">
        <v>106</v>
      </c>
      <c r="K352" s="15" t="s">
        <v>46</v>
      </c>
      <c r="L352" s="15" t="s">
        <v>189</v>
      </c>
      <c r="M352" s="15">
        <v>15</v>
      </c>
      <c r="N352" s="25">
        <v>700</v>
      </c>
      <c r="O352" s="15">
        <v>15</v>
      </c>
      <c r="P352" s="25">
        <v>8925</v>
      </c>
      <c r="Q352" s="15">
        <v>3</v>
      </c>
      <c r="R352" s="15" t="s">
        <v>48</v>
      </c>
      <c r="S352" s="15" t="s">
        <v>115</v>
      </c>
      <c r="T352" s="15" t="s">
        <v>89</v>
      </c>
      <c r="U352" s="15">
        <v>9645907237</v>
      </c>
      <c r="V352" s="15" t="s">
        <v>38</v>
      </c>
      <c r="W352" s="29" t="str" cm="1">
        <f t="array" ref="W352">_xlfn.IFS(OR(V352="Cancelled", Q352&lt;=2), "Blacklisted", AND(P352&gt;=100000, Q352&gt;=4, O352&lt;=0.1, V352="Completed"), "Platinum", AND(P352&gt;=50000, P352&lt;=99999, Q352&gt;=3, V352="Completed"), "Gold", AND(Q352&lt;50000, V352="Completed"), "Silver", V352="Pending", "Pending")</f>
        <v>Silver</v>
      </c>
    </row>
    <row r="353" spans="1:23" x14ac:dyDescent="0.5">
      <c r="A353" s="17" t="s">
        <v>1571</v>
      </c>
      <c r="B353" s="17" t="s">
        <v>127</v>
      </c>
      <c r="C353" s="17" t="s">
        <v>24</v>
      </c>
      <c r="D353" s="17" t="s">
        <v>1572</v>
      </c>
      <c r="E353" s="17" t="s">
        <v>835</v>
      </c>
      <c r="F353" s="15" t="s">
        <v>200</v>
      </c>
      <c r="G353" s="17" t="s">
        <v>76</v>
      </c>
      <c r="H353" s="17" t="s">
        <v>1573</v>
      </c>
      <c r="I353" s="17" t="s">
        <v>138</v>
      </c>
      <c r="J353" s="17" t="s">
        <v>106</v>
      </c>
      <c r="K353" s="17" t="s">
        <v>32</v>
      </c>
      <c r="L353" s="17" t="s">
        <v>33</v>
      </c>
      <c r="M353" s="17">
        <v>5</v>
      </c>
      <c r="N353" s="26">
        <v>2200</v>
      </c>
      <c r="O353" s="17">
        <v>15</v>
      </c>
      <c r="P353" s="26">
        <v>9350</v>
      </c>
      <c r="Q353" s="17">
        <v>1</v>
      </c>
      <c r="R353" s="17" t="s">
        <v>48</v>
      </c>
      <c r="S353" s="17" t="s">
        <v>115</v>
      </c>
      <c r="T353" s="17" t="s">
        <v>132</v>
      </c>
      <c r="U353" s="17">
        <v>9566149945</v>
      </c>
      <c r="V353" s="17" t="s">
        <v>64</v>
      </c>
      <c r="W353" s="29" t="str" cm="1">
        <f t="array" ref="W353">_xlfn.IFS(OR(V353="Cancelled", Q353&lt;=2), "Blacklisted", AND(P353&gt;=100000, Q353&gt;=4, O353&lt;=0.1, V353="Completed"), "Platinum", AND(P353&gt;=50000, P353&lt;=99999, Q353&gt;=3, V353="Completed"), "Gold", AND(Q353&lt;50000, V353="Completed"), "Silver", V353="Pending", "Pending")</f>
        <v>Blacklisted</v>
      </c>
    </row>
    <row r="354" spans="1:23" x14ac:dyDescent="0.5">
      <c r="A354" s="15" t="s">
        <v>1575</v>
      </c>
      <c r="B354" s="15" t="s">
        <v>83</v>
      </c>
      <c r="C354" s="15" t="s">
        <v>72</v>
      </c>
      <c r="D354" s="15" t="s">
        <v>554</v>
      </c>
      <c r="E354" s="15" t="s">
        <v>1480</v>
      </c>
      <c r="F354" s="15" t="s">
        <v>180</v>
      </c>
      <c r="G354" s="15" t="s">
        <v>76</v>
      </c>
      <c r="H354" s="15" t="s">
        <v>1576</v>
      </c>
      <c r="I354" s="15" t="s">
        <v>138</v>
      </c>
      <c r="J354" s="15" t="s">
        <v>106</v>
      </c>
      <c r="K354" s="15" t="s">
        <v>46</v>
      </c>
      <c r="L354" s="15" t="s">
        <v>78</v>
      </c>
      <c r="M354" s="15">
        <v>15</v>
      </c>
      <c r="N354" s="25">
        <v>1200</v>
      </c>
      <c r="O354" s="15">
        <v>0</v>
      </c>
      <c r="P354" s="25">
        <v>18000</v>
      </c>
      <c r="Q354" s="15">
        <v>3</v>
      </c>
      <c r="R354" s="15" t="s">
        <v>48</v>
      </c>
      <c r="S354" s="15" t="s">
        <v>61</v>
      </c>
      <c r="T354" s="15" t="s">
        <v>89</v>
      </c>
      <c r="U354" s="15">
        <v>9935018068</v>
      </c>
      <c r="V354" s="15" t="s">
        <v>69</v>
      </c>
      <c r="W354" s="29" t="str" cm="1">
        <f t="array" ref="W354">_xlfn.IFS(OR(V354="Cancelled", Q354&lt;=2), "Blacklisted", AND(P354&gt;=100000, Q354&gt;=4, O354&lt;=0.1, V354="Completed"), "Platinum", AND(P354&gt;=50000, P354&lt;=99999, Q354&gt;=3, V354="Completed"), "Gold", AND(Q354&lt;50000, V354="Completed"), "Silver", V354="Pending", "Pending")</f>
        <v>Blacklisted</v>
      </c>
    </row>
    <row r="355" spans="1:23" x14ac:dyDescent="0.5">
      <c r="A355" s="17" t="s">
        <v>1578</v>
      </c>
      <c r="B355" s="17" t="s">
        <v>251</v>
      </c>
      <c r="C355" s="17" t="s">
        <v>72</v>
      </c>
      <c r="D355" s="17" t="s">
        <v>161</v>
      </c>
      <c r="E355" s="17" t="s">
        <v>657</v>
      </c>
      <c r="F355" s="15" t="s">
        <v>254</v>
      </c>
      <c r="G355" s="17" t="s">
        <v>28</v>
      </c>
      <c r="H355" s="17" t="s">
        <v>1579</v>
      </c>
      <c r="I355" s="17" t="s">
        <v>105</v>
      </c>
      <c r="J355" s="17" t="s">
        <v>106</v>
      </c>
      <c r="K355" s="17" t="s">
        <v>46</v>
      </c>
      <c r="L355" s="17" t="s">
        <v>78</v>
      </c>
      <c r="M355" s="17">
        <v>19</v>
      </c>
      <c r="N355" s="26">
        <v>1200</v>
      </c>
      <c r="O355" s="17">
        <v>0</v>
      </c>
      <c r="P355" s="26">
        <v>22800</v>
      </c>
      <c r="Q355" s="17">
        <v>1</v>
      </c>
      <c r="R355" s="17" t="s">
        <v>34</v>
      </c>
      <c r="S355" s="17" t="s">
        <v>49</v>
      </c>
      <c r="T355" s="17" t="s">
        <v>256</v>
      </c>
      <c r="U355" s="17">
        <v>9171794652</v>
      </c>
      <c r="V355" s="17" t="s">
        <v>69</v>
      </c>
      <c r="W355" s="29" t="str" cm="1">
        <f t="array" ref="W355">_xlfn.IFS(OR(V355="Cancelled", Q355&lt;=2), "Blacklisted", AND(P355&gt;=100000, Q355&gt;=4, O355&lt;=0.1, V355="Completed"), "Platinum", AND(P355&gt;=50000, P355&lt;=99999, Q355&gt;=3, V355="Completed"), "Gold", AND(Q355&lt;50000, V355="Completed"), "Silver", V355="Pending", "Pending")</f>
        <v>Blacklisted</v>
      </c>
    </row>
    <row r="356" spans="1:23" x14ac:dyDescent="0.5">
      <c r="A356" s="15" t="s">
        <v>1581</v>
      </c>
      <c r="B356" s="15" t="s">
        <v>168</v>
      </c>
      <c r="C356" s="15" t="s">
        <v>40</v>
      </c>
      <c r="D356" s="15" t="s">
        <v>25</v>
      </c>
      <c r="E356" s="15" t="s">
        <v>1582</v>
      </c>
      <c r="F356" s="15" t="s">
        <v>361</v>
      </c>
      <c r="G356" s="15" t="s">
        <v>28</v>
      </c>
      <c r="H356" s="15" t="s">
        <v>1583</v>
      </c>
      <c r="I356" s="15" t="s">
        <v>105</v>
      </c>
      <c r="J356" s="15" t="s">
        <v>106</v>
      </c>
      <c r="K356" s="15" t="s">
        <v>46</v>
      </c>
      <c r="L356" s="15" t="s">
        <v>47</v>
      </c>
      <c r="M356" s="15">
        <v>9</v>
      </c>
      <c r="N356" s="25">
        <v>12000</v>
      </c>
      <c r="O356" s="15">
        <v>15</v>
      </c>
      <c r="P356" s="25">
        <v>91800</v>
      </c>
      <c r="Q356" s="15">
        <v>3</v>
      </c>
      <c r="R356" s="15" t="s">
        <v>88</v>
      </c>
      <c r="S356" s="15" t="s">
        <v>49</v>
      </c>
      <c r="T356" s="15" t="s">
        <v>175</v>
      </c>
      <c r="U356" s="15">
        <v>9671497416</v>
      </c>
      <c r="V356" s="15" t="s">
        <v>69</v>
      </c>
      <c r="W356" s="29" t="str" cm="1">
        <f t="array" ref="W356">_xlfn.IFS(OR(V356="Cancelled", Q356&lt;=2), "Blacklisted", AND(P356&gt;=100000, Q356&gt;=4, O356&lt;=0.1, V356="Completed"), "Platinum", AND(P356&gt;=50000, P356&lt;=99999, Q356&gt;=3, V356="Completed"), "Gold", AND(Q356&lt;50000, V356="Completed"), "Silver", V356="Pending", "Pending")</f>
        <v>Blacklisted</v>
      </c>
    </row>
    <row r="357" spans="1:23" x14ac:dyDescent="0.5">
      <c r="A357" s="17" t="s">
        <v>1585</v>
      </c>
      <c r="B357" s="17" t="s">
        <v>23</v>
      </c>
      <c r="C357" s="17" t="s">
        <v>259</v>
      </c>
      <c r="D357" s="17" t="s">
        <v>345</v>
      </c>
      <c r="E357" s="17" t="s">
        <v>793</v>
      </c>
      <c r="F357" s="15" t="s">
        <v>27</v>
      </c>
      <c r="G357" s="17" t="s">
        <v>28</v>
      </c>
      <c r="H357" s="17" t="s">
        <v>1586</v>
      </c>
      <c r="I357" s="17" t="s">
        <v>212</v>
      </c>
      <c r="J357" s="17" t="s">
        <v>45</v>
      </c>
      <c r="K357" s="17" t="s">
        <v>122</v>
      </c>
      <c r="L357" s="17" t="s">
        <v>263</v>
      </c>
      <c r="M357" s="17">
        <v>5</v>
      </c>
      <c r="N357" s="26">
        <v>45</v>
      </c>
      <c r="O357" s="17">
        <v>5</v>
      </c>
      <c r="P357" s="26">
        <v>213.75</v>
      </c>
      <c r="Q357" s="17">
        <v>1</v>
      </c>
      <c r="R357" s="17" t="s">
        <v>79</v>
      </c>
      <c r="S357" s="17" t="s">
        <v>115</v>
      </c>
      <c r="T357" s="17" t="s">
        <v>50</v>
      </c>
      <c r="U357" s="17">
        <v>9810433484</v>
      </c>
      <c r="V357" s="17" t="s">
        <v>38</v>
      </c>
      <c r="W357" s="29" t="str" cm="1">
        <f t="array" ref="W357">_xlfn.IFS(OR(V357="Cancelled", Q357&lt;=2), "Blacklisted", AND(P357&gt;=100000, Q357&gt;=4, O357&lt;=0.1, V357="Completed"), "Platinum", AND(P357&gt;=50000, P357&lt;=99999, Q357&gt;=3, V357="Completed"), "Gold", AND(Q357&lt;50000, V357="Completed"), "Silver", V357="Pending", "Pending")</f>
        <v>Blacklisted</v>
      </c>
    </row>
    <row r="358" spans="1:23" x14ac:dyDescent="0.5">
      <c r="A358" s="15" t="s">
        <v>1588</v>
      </c>
      <c r="B358" s="15" t="s">
        <v>251</v>
      </c>
      <c r="C358" s="15" t="s">
        <v>184</v>
      </c>
      <c r="D358" s="19" t="s">
        <v>2109</v>
      </c>
      <c r="E358" s="15" t="s">
        <v>1373</v>
      </c>
      <c r="F358" s="15" t="s">
        <v>254</v>
      </c>
      <c r="G358" s="15" t="s">
        <v>28</v>
      </c>
      <c r="H358" s="15" t="s">
        <v>1590</v>
      </c>
      <c r="I358" s="15" t="s">
        <v>105</v>
      </c>
      <c r="J358" s="15" t="s">
        <v>106</v>
      </c>
      <c r="K358" s="15" t="s">
        <v>46</v>
      </c>
      <c r="L358" s="15" t="s">
        <v>189</v>
      </c>
      <c r="M358" s="15">
        <v>3</v>
      </c>
      <c r="N358" s="25">
        <v>700</v>
      </c>
      <c r="O358" s="15">
        <v>15</v>
      </c>
      <c r="P358" s="25">
        <v>1785</v>
      </c>
      <c r="Q358" s="15">
        <v>4</v>
      </c>
      <c r="R358" s="15" t="s">
        <v>34</v>
      </c>
      <c r="S358" s="15" t="s">
        <v>151</v>
      </c>
      <c r="T358" s="15" t="s">
        <v>256</v>
      </c>
      <c r="U358" s="15">
        <v>9990243436</v>
      </c>
      <c r="V358" s="15" t="s">
        <v>38</v>
      </c>
      <c r="W358" s="29" t="str" cm="1">
        <f t="array" ref="W358">_xlfn.IFS(OR(V358="Cancelled", Q358&lt;=2), "Blacklisted", AND(P358&gt;=100000, Q358&gt;=4, O358&lt;=0.1, V358="Completed"), "Platinum", AND(P358&gt;=50000, P358&lt;=99999, Q358&gt;=3, V358="Completed"), "Gold", AND(Q358&lt;50000, V358="Completed"), "Silver", V358="Pending", "Pending")</f>
        <v>Silver</v>
      </c>
    </row>
    <row r="359" spans="1:23" x14ac:dyDescent="0.5">
      <c r="A359" s="17" t="s">
        <v>1592</v>
      </c>
      <c r="B359" s="17" t="s">
        <v>71</v>
      </c>
      <c r="C359" s="17" t="s">
        <v>169</v>
      </c>
      <c r="D359" s="17" t="s">
        <v>454</v>
      </c>
      <c r="E359" s="17" t="s">
        <v>961</v>
      </c>
      <c r="F359" s="15" t="s">
        <v>217</v>
      </c>
      <c r="G359" s="17" t="s">
        <v>76</v>
      </c>
      <c r="H359" s="17" t="s">
        <v>1593</v>
      </c>
      <c r="I359" s="17" t="s">
        <v>212</v>
      </c>
      <c r="J359" s="17" t="s">
        <v>45</v>
      </c>
      <c r="K359" s="17" t="s">
        <v>32</v>
      </c>
      <c r="L359" s="17" t="s">
        <v>174</v>
      </c>
      <c r="M359" s="17">
        <v>12</v>
      </c>
      <c r="N359" s="26">
        <v>8500</v>
      </c>
      <c r="O359" s="17">
        <v>5</v>
      </c>
      <c r="P359" s="26">
        <v>96900</v>
      </c>
      <c r="Q359" s="17">
        <v>3</v>
      </c>
      <c r="R359" s="17" t="s">
        <v>79</v>
      </c>
      <c r="S359" s="17" t="s">
        <v>61</v>
      </c>
      <c r="T359" s="17" t="s">
        <v>80</v>
      </c>
      <c r="U359" s="17">
        <v>9396678031</v>
      </c>
      <c r="V359" s="17" t="s">
        <v>64</v>
      </c>
      <c r="W359" s="29" t="str" cm="1">
        <f t="array" ref="W359">_xlfn.IFS(OR(V359="Cancelled", Q359&lt;=2), "Blacklisted", AND(P359&gt;=100000, Q359&gt;=4, O359&lt;=0.1, V359="Completed"), "Platinum", AND(P359&gt;=50000, P359&lt;=99999, Q359&gt;=3, V359="Completed"), "Gold", AND(Q359&lt;50000, V359="Completed"), "Silver", V359="Pending", "Pending")</f>
        <v>Pending</v>
      </c>
    </row>
    <row r="360" spans="1:23" x14ac:dyDescent="0.5">
      <c r="A360" s="15" t="s">
        <v>1595</v>
      </c>
      <c r="B360" s="15" t="s">
        <v>251</v>
      </c>
      <c r="C360" s="15" t="s">
        <v>169</v>
      </c>
      <c r="D360" s="15" t="s">
        <v>162</v>
      </c>
      <c r="E360" s="15" t="s">
        <v>356</v>
      </c>
      <c r="F360" s="15" t="s">
        <v>254</v>
      </c>
      <c r="G360" s="15" t="s">
        <v>28</v>
      </c>
      <c r="H360" s="15" t="s">
        <v>1596</v>
      </c>
      <c r="I360" s="15" t="s">
        <v>114</v>
      </c>
      <c r="J360" s="15" t="s">
        <v>106</v>
      </c>
      <c r="K360" s="15" t="s">
        <v>32</v>
      </c>
      <c r="L360" s="15" t="s">
        <v>174</v>
      </c>
      <c r="M360" s="15">
        <v>4</v>
      </c>
      <c r="N360" s="25">
        <v>8500</v>
      </c>
      <c r="O360" s="15">
        <v>15</v>
      </c>
      <c r="P360" s="25">
        <v>28900</v>
      </c>
      <c r="Q360" s="15">
        <v>4</v>
      </c>
      <c r="R360" s="15" t="s">
        <v>48</v>
      </c>
      <c r="S360" s="15" t="s">
        <v>61</v>
      </c>
      <c r="T360" s="15" t="s">
        <v>256</v>
      </c>
      <c r="U360" s="15">
        <v>9818591245</v>
      </c>
      <c r="V360" s="15" t="s">
        <v>64</v>
      </c>
      <c r="W360" s="29" t="str" cm="1">
        <f t="array" ref="W360">_xlfn.IFS(OR(V360="Cancelled", Q360&lt;=2), "Blacklisted", AND(P360&gt;=100000, Q360&gt;=4, O360&lt;=0.1, V360="Completed"), "Platinum", AND(P360&gt;=50000, P360&lt;=99999, Q360&gt;=3, V360="Completed"), "Gold", AND(Q360&lt;50000, V360="Completed"), "Silver", V360="Pending", "Pending")</f>
        <v>Pending</v>
      </c>
    </row>
    <row r="361" spans="1:23" x14ac:dyDescent="0.5">
      <c r="A361" s="17" t="s">
        <v>1598</v>
      </c>
      <c r="B361" s="17" t="s">
        <v>127</v>
      </c>
      <c r="C361" s="17" t="s">
        <v>222</v>
      </c>
      <c r="D361" s="17" t="s">
        <v>102</v>
      </c>
      <c r="E361" s="17" t="s">
        <v>953</v>
      </c>
      <c r="F361" s="15" t="s">
        <v>200</v>
      </c>
      <c r="G361" s="17" t="s">
        <v>76</v>
      </c>
      <c r="H361" s="17" t="s">
        <v>1599</v>
      </c>
      <c r="I361" s="17" t="s">
        <v>212</v>
      </c>
      <c r="J361" s="17" t="s">
        <v>45</v>
      </c>
      <c r="K361" s="17" t="s">
        <v>122</v>
      </c>
      <c r="L361" s="17" t="s">
        <v>227</v>
      </c>
      <c r="M361" s="17">
        <v>16</v>
      </c>
      <c r="N361" s="26">
        <v>20</v>
      </c>
      <c r="O361" s="17">
        <v>10</v>
      </c>
      <c r="P361" s="26">
        <v>288</v>
      </c>
      <c r="Q361" s="17">
        <v>4</v>
      </c>
      <c r="R361" s="17" t="s">
        <v>34</v>
      </c>
      <c r="S361" s="17" t="s">
        <v>115</v>
      </c>
      <c r="T361" s="17" t="s">
        <v>132</v>
      </c>
      <c r="U361" s="17">
        <v>9505550047</v>
      </c>
      <c r="V361" s="17" t="s">
        <v>69</v>
      </c>
      <c r="W361" s="29" t="str" cm="1">
        <f t="array" ref="W361">_xlfn.IFS(OR(V361="Cancelled", Q361&lt;=2), "Blacklisted", AND(P361&gt;=100000, Q361&gt;=4, O361&lt;=0.1, V361="Completed"), "Platinum", AND(P361&gt;=50000, P361&lt;=99999, Q361&gt;=3, V361="Completed"), "Gold", AND(Q361&lt;50000, V361="Completed"), "Silver", V361="Pending", "Pending")</f>
        <v>Blacklisted</v>
      </c>
    </row>
    <row r="362" spans="1:23" x14ac:dyDescent="0.5">
      <c r="A362" s="15" t="s">
        <v>1601</v>
      </c>
      <c r="B362" s="15" t="s">
        <v>127</v>
      </c>
      <c r="C362" s="15" t="s">
        <v>118</v>
      </c>
      <c r="D362" s="15" t="s">
        <v>601</v>
      </c>
      <c r="E362" s="15" t="s">
        <v>1602</v>
      </c>
      <c r="F362" s="15" t="s">
        <v>200</v>
      </c>
      <c r="G362" s="15" t="s">
        <v>76</v>
      </c>
      <c r="H362" s="15" t="s">
        <v>1603</v>
      </c>
      <c r="I362" s="15" t="s">
        <v>105</v>
      </c>
      <c r="J362" s="15" t="s">
        <v>106</v>
      </c>
      <c r="K362" s="15" t="s">
        <v>122</v>
      </c>
      <c r="L362" s="15" t="s">
        <v>123</v>
      </c>
      <c r="M362" s="15">
        <v>3</v>
      </c>
      <c r="N362" s="25">
        <v>60</v>
      </c>
      <c r="O362" s="15">
        <v>20</v>
      </c>
      <c r="P362" s="25">
        <v>144</v>
      </c>
      <c r="Q362" s="15">
        <v>4</v>
      </c>
      <c r="R362" s="15" t="s">
        <v>88</v>
      </c>
      <c r="S362" s="15" t="s">
        <v>151</v>
      </c>
      <c r="T362" s="15" t="s">
        <v>132</v>
      </c>
      <c r="U362" s="15">
        <v>9469828772</v>
      </c>
      <c r="V362" s="15" t="s">
        <v>64</v>
      </c>
      <c r="W362" s="29" t="str" cm="1">
        <f t="array" ref="W362">_xlfn.IFS(OR(V362="Cancelled", Q362&lt;=2), "Blacklisted", AND(P362&gt;=100000, Q362&gt;=4, O362&lt;=0.1, V362="Completed"), "Platinum", AND(P362&gt;=50000, P362&lt;=99999, Q362&gt;=3, V362="Completed"), "Gold", AND(Q362&lt;50000, V362="Completed"), "Silver", V362="Pending", "Pending")</f>
        <v>Pending</v>
      </c>
    </row>
    <row r="363" spans="1:23" x14ac:dyDescent="0.5">
      <c r="A363" s="17" t="s">
        <v>1605</v>
      </c>
      <c r="B363" s="17" t="s">
        <v>71</v>
      </c>
      <c r="C363" s="17" t="s">
        <v>24</v>
      </c>
      <c r="D363" s="17" t="s">
        <v>1106</v>
      </c>
      <c r="E363" s="17" t="s">
        <v>155</v>
      </c>
      <c r="F363" s="15" t="s">
        <v>217</v>
      </c>
      <c r="G363" s="17" t="s">
        <v>76</v>
      </c>
      <c r="H363" s="17" t="s">
        <v>1606</v>
      </c>
      <c r="I363" s="17" t="s">
        <v>105</v>
      </c>
      <c r="J363" s="17" t="s">
        <v>106</v>
      </c>
      <c r="K363" s="17" t="s">
        <v>32</v>
      </c>
      <c r="L363" s="17" t="s">
        <v>33</v>
      </c>
      <c r="M363" s="17">
        <v>19</v>
      </c>
      <c r="N363" s="26">
        <v>2200</v>
      </c>
      <c r="O363" s="17">
        <v>10</v>
      </c>
      <c r="P363" s="26">
        <v>37620</v>
      </c>
      <c r="Q363" s="17">
        <v>2</v>
      </c>
      <c r="R363" s="17" t="s">
        <v>34</v>
      </c>
      <c r="S363" s="17" t="s">
        <v>151</v>
      </c>
      <c r="T363" s="17" t="s">
        <v>80</v>
      </c>
      <c r="U363" s="17">
        <v>9885092680</v>
      </c>
      <c r="V363" s="17" t="s">
        <v>64</v>
      </c>
      <c r="W363" s="29" t="str" cm="1">
        <f t="array" ref="W363">_xlfn.IFS(OR(V363="Cancelled", Q363&lt;=2), "Blacklisted", AND(P363&gt;=100000, Q363&gt;=4, O363&lt;=0.1, V363="Completed"), "Platinum", AND(P363&gt;=50000, P363&lt;=99999, Q363&gt;=3, V363="Completed"), "Gold", AND(Q363&lt;50000, V363="Completed"), "Silver", V363="Pending", "Pending")</f>
        <v>Blacklisted</v>
      </c>
    </row>
    <row r="364" spans="1:23" x14ac:dyDescent="0.5">
      <c r="A364" s="15" t="s">
        <v>1608</v>
      </c>
      <c r="B364" s="15" t="s">
        <v>71</v>
      </c>
      <c r="C364" s="15" t="s">
        <v>72</v>
      </c>
      <c r="D364" s="15" t="s">
        <v>1609</v>
      </c>
      <c r="E364" s="15" t="s">
        <v>588</v>
      </c>
      <c r="F364" s="15" t="s">
        <v>217</v>
      </c>
      <c r="G364" s="15" t="s">
        <v>76</v>
      </c>
      <c r="H364" s="15" t="s">
        <v>1610</v>
      </c>
      <c r="I364" s="15" t="s">
        <v>30</v>
      </c>
      <c r="J364" s="15" t="s">
        <v>31</v>
      </c>
      <c r="K364" s="15" t="s">
        <v>46</v>
      </c>
      <c r="L364" s="15" t="s">
        <v>78</v>
      </c>
      <c r="M364" s="15">
        <v>7</v>
      </c>
      <c r="N364" s="25">
        <v>1200</v>
      </c>
      <c r="O364" s="15">
        <v>20</v>
      </c>
      <c r="P364" s="25">
        <v>6720</v>
      </c>
      <c r="Q364" s="15">
        <v>3</v>
      </c>
      <c r="R364" s="15" t="s">
        <v>79</v>
      </c>
      <c r="S364" s="15" t="s">
        <v>115</v>
      </c>
      <c r="T364" s="15" t="s">
        <v>80</v>
      </c>
      <c r="U364" s="15">
        <v>9362319457</v>
      </c>
      <c r="V364" s="15" t="s">
        <v>69</v>
      </c>
      <c r="W364" s="29" t="str" cm="1">
        <f t="array" ref="W364">_xlfn.IFS(OR(V364="Cancelled", Q364&lt;=2), "Blacklisted", AND(P364&gt;=100000, Q364&gt;=4, O364&lt;=0.1, V364="Completed"), "Platinum", AND(P364&gt;=50000, P364&lt;=99999, Q364&gt;=3, V364="Completed"), "Gold", AND(Q364&lt;50000, V364="Completed"), "Silver", V364="Pending", "Pending")</f>
        <v>Blacklisted</v>
      </c>
    </row>
    <row r="365" spans="1:23" x14ac:dyDescent="0.5">
      <c r="A365" s="17" t="s">
        <v>1612</v>
      </c>
      <c r="B365" s="17" t="s">
        <v>53</v>
      </c>
      <c r="C365" s="17" t="s">
        <v>222</v>
      </c>
      <c r="D365" s="17" t="s">
        <v>543</v>
      </c>
      <c r="E365" s="17" t="s">
        <v>65</v>
      </c>
      <c r="F365" s="15" t="s">
        <v>163</v>
      </c>
      <c r="G365" s="17" t="s">
        <v>28</v>
      </c>
      <c r="H365" s="17" t="s">
        <v>1613</v>
      </c>
      <c r="I365" s="17" t="s">
        <v>59</v>
      </c>
      <c r="J365" s="17" t="s">
        <v>31</v>
      </c>
      <c r="K365" s="17" t="s">
        <v>122</v>
      </c>
      <c r="L365" s="17" t="s">
        <v>227</v>
      </c>
      <c r="M365" s="17">
        <v>20</v>
      </c>
      <c r="N365" s="26">
        <v>20</v>
      </c>
      <c r="O365" s="17">
        <v>20</v>
      </c>
      <c r="P365" s="26">
        <v>320</v>
      </c>
      <c r="Q365" s="17">
        <v>5</v>
      </c>
      <c r="R365" s="17" t="s">
        <v>79</v>
      </c>
      <c r="S365" s="17" t="s">
        <v>115</v>
      </c>
      <c r="T365" s="17" t="s">
        <v>62</v>
      </c>
      <c r="U365" s="17">
        <v>9223945130</v>
      </c>
      <c r="V365" s="17" t="s">
        <v>64</v>
      </c>
      <c r="W365" s="29" t="str" cm="1">
        <f t="array" ref="W365">_xlfn.IFS(OR(V365="Cancelled", Q365&lt;=2), "Blacklisted", AND(P365&gt;=100000, Q365&gt;=4, O365&lt;=0.1, V365="Completed"), "Platinum", AND(P365&gt;=50000, P365&lt;=99999, Q365&gt;=3, V365="Completed"), "Gold", AND(Q365&lt;50000, V365="Completed"), "Silver", V365="Pending", "Pending")</f>
        <v>Pending</v>
      </c>
    </row>
    <row r="366" spans="1:23" x14ac:dyDescent="0.5">
      <c r="A366" s="15" t="s">
        <v>1615</v>
      </c>
      <c r="B366" s="15" t="s">
        <v>100</v>
      </c>
      <c r="C366" s="15" t="s">
        <v>72</v>
      </c>
      <c r="D366" s="15" t="s">
        <v>210</v>
      </c>
      <c r="E366" s="15" t="s">
        <v>1616</v>
      </c>
      <c r="F366" s="15" t="s">
        <v>103</v>
      </c>
      <c r="G366" s="15" t="s">
        <v>28</v>
      </c>
      <c r="H366" s="15" t="s">
        <v>1617</v>
      </c>
      <c r="I366" s="15" t="s">
        <v>30</v>
      </c>
      <c r="J366" s="15" t="s">
        <v>31</v>
      </c>
      <c r="K366" s="15" t="s">
        <v>46</v>
      </c>
      <c r="L366" s="15" t="s">
        <v>78</v>
      </c>
      <c r="M366" s="15">
        <v>19</v>
      </c>
      <c r="N366" s="25">
        <v>1200</v>
      </c>
      <c r="O366" s="15">
        <v>5</v>
      </c>
      <c r="P366" s="25">
        <v>21660</v>
      </c>
      <c r="Q366" s="15">
        <v>3</v>
      </c>
      <c r="R366" s="15" t="s">
        <v>79</v>
      </c>
      <c r="S366" s="15" t="s">
        <v>35</v>
      </c>
      <c r="T366" s="15" t="s">
        <v>144</v>
      </c>
      <c r="U366" s="15">
        <v>9910804926</v>
      </c>
      <c r="V366" s="15" t="s">
        <v>64</v>
      </c>
      <c r="W366" s="29" t="str" cm="1">
        <f t="array" ref="W366">_xlfn.IFS(OR(V366="Cancelled", Q366&lt;=2), "Blacklisted", AND(P366&gt;=100000, Q366&gt;=4, O366&lt;=0.1, V366="Completed"), "Platinum", AND(P366&gt;=50000, P366&lt;=99999, Q366&gt;=3, V366="Completed"), "Gold", AND(Q366&lt;50000, V366="Completed"), "Silver", V366="Pending", "Pending")</f>
        <v>Pending</v>
      </c>
    </row>
    <row r="367" spans="1:23" x14ac:dyDescent="0.5">
      <c r="A367" s="17" t="s">
        <v>1619</v>
      </c>
      <c r="B367" s="17" t="s">
        <v>53</v>
      </c>
      <c r="C367" s="17" t="s">
        <v>222</v>
      </c>
      <c r="D367" s="17" t="s">
        <v>1620</v>
      </c>
      <c r="E367" s="17" t="s">
        <v>302</v>
      </c>
      <c r="F367" s="15" t="s">
        <v>163</v>
      </c>
      <c r="G367" s="17" t="s">
        <v>28</v>
      </c>
      <c r="H367" s="17" t="s">
        <v>1621</v>
      </c>
      <c r="I367" s="17" t="s">
        <v>30</v>
      </c>
      <c r="J367" s="17" t="s">
        <v>31</v>
      </c>
      <c r="K367" s="17" t="s">
        <v>122</v>
      </c>
      <c r="L367" s="17" t="s">
        <v>227</v>
      </c>
      <c r="M367" s="17">
        <v>5</v>
      </c>
      <c r="N367" s="26">
        <v>20</v>
      </c>
      <c r="O367" s="17">
        <v>0</v>
      </c>
      <c r="P367" s="26">
        <v>100</v>
      </c>
      <c r="Q367" s="17">
        <v>2</v>
      </c>
      <c r="R367" s="17" t="s">
        <v>88</v>
      </c>
      <c r="S367" s="17" t="s">
        <v>49</v>
      </c>
      <c r="T367" s="17" t="s">
        <v>62</v>
      </c>
      <c r="U367" s="17">
        <v>9274269744</v>
      </c>
      <c r="V367" s="17" t="s">
        <v>64</v>
      </c>
      <c r="W367" s="29" t="str" cm="1">
        <f t="array" ref="W367">_xlfn.IFS(OR(V367="Cancelled", Q367&lt;=2), "Blacklisted", AND(P367&gt;=100000, Q367&gt;=4, O367&lt;=0.1, V367="Completed"), "Platinum", AND(P367&gt;=50000, P367&lt;=99999, Q367&gt;=3, V367="Completed"), "Gold", AND(Q367&lt;50000, V367="Completed"), "Silver", V367="Pending", "Pending")</f>
        <v>Blacklisted</v>
      </c>
    </row>
    <row r="368" spans="1:23" x14ac:dyDescent="0.5">
      <c r="A368" s="15" t="s">
        <v>1623</v>
      </c>
      <c r="B368" s="15" t="s">
        <v>100</v>
      </c>
      <c r="C368" s="15" t="s">
        <v>259</v>
      </c>
      <c r="D368" s="15" t="s">
        <v>797</v>
      </c>
      <c r="E368" s="15" t="s">
        <v>543</v>
      </c>
      <c r="F368" s="15" t="s">
        <v>103</v>
      </c>
      <c r="G368" s="15" t="s">
        <v>28</v>
      </c>
      <c r="H368" s="15" t="s">
        <v>1624</v>
      </c>
      <c r="I368" s="15" t="s">
        <v>212</v>
      </c>
      <c r="J368" s="15" t="s">
        <v>45</v>
      </c>
      <c r="K368" s="15" t="s">
        <v>122</v>
      </c>
      <c r="L368" s="15" t="s">
        <v>263</v>
      </c>
      <c r="M368" s="15">
        <v>16</v>
      </c>
      <c r="N368" s="25">
        <v>45</v>
      </c>
      <c r="O368" s="15">
        <v>15</v>
      </c>
      <c r="P368" s="25">
        <v>612</v>
      </c>
      <c r="Q368" s="15">
        <v>5</v>
      </c>
      <c r="R368" s="15" t="s">
        <v>34</v>
      </c>
      <c r="S368" s="15" t="s">
        <v>61</v>
      </c>
      <c r="T368" s="15" t="s">
        <v>144</v>
      </c>
      <c r="U368" s="15">
        <v>9223196101</v>
      </c>
      <c r="V368" s="15" t="s">
        <v>69</v>
      </c>
      <c r="W368" s="29" t="str" cm="1">
        <f t="array" ref="W368">_xlfn.IFS(OR(V368="Cancelled", Q368&lt;=2), "Blacklisted", AND(P368&gt;=100000, Q368&gt;=4, O368&lt;=0.1, V368="Completed"), "Platinum", AND(P368&gt;=50000, P368&lt;=99999, Q368&gt;=3, V368="Completed"), "Gold", AND(Q368&lt;50000, V368="Completed"), "Silver", V368="Pending", "Pending")</f>
        <v>Blacklisted</v>
      </c>
    </row>
    <row r="369" spans="1:23" x14ac:dyDescent="0.5">
      <c r="A369" s="17" t="s">
        <v>1626</v>
      </c>
      <c r="B369" s="17" t="s">
        <v>23</v>
      </c>
      <c r="C369" s="17" t="s">
        <v>24</v>
      </c>
      <c r="D369" s="17" t="s">
        <v>1263</v>
      </c>
      <c r="E369" s="17" t="s">
        <v>944</v>
      </c>
      <c r="F369" s="15" t="s">
        <v>27</v>
      </c>
      <c r="G369" s="17" t="s">
        <v>28</v>
      </c>
      <c r="H369" s="17" t="s">
        <v>1627</v>
      </c>
      <c r="I369" s="17" t="s">
        <v>212</v>
      </c>
      <c r="J369" s="17" t="s">
        <v>45</v>
      </c>
      <c r="K369" s="17" t="s">
        <v>32</v>
      </c>
      <c r="L369" s="17" t="s">
        <v>33</v>
      </c>
      <c r="M369" s="17">
        <v>1</v>
      </c>
      <c r="N369" s="26">
        <v>2200</v>
      </c>
      <c r="O369" s="17">
        <v>10</v>
      </c>
      <c r="P369" s="26">
        <v>1980</v>
      </c>
      <c r="Q369" s="17">
        <v>5</v>
      </c>
      <c r="R369" s="17" t="s">
        <v>79</v>
      </c>
      <c r="S369" s="17" t="s">
        <v>49</v>
      </c>
      <c r="T369" s="17" t="s">
        <v>50</v>
      </c>
      <c r="U369" s="17">
        <v>9888477457</v>
      </c>
      <c r="V369" s="17" t="s">
        <v>38</v>
      </c>
      <c r="W369" s="29" t="str" cm="1">
        <f t="array" ref="W369">_xlfn.IFS(OR(V369="Cancelled", Q369&lt;=2), "Blacklisted", AND(P369&gt;=100000, Q369&gt;=4, O369&lt;=0.1, V369="Completed"), "Platinum", AND(P369&gt;=50000, P369&lt;=99999, Q369&gt;=3, V369="Completed"), "Gold", AND(Q369&lt;50000, V369="Completed"), "Silver", V369="Pending", "Pending")</f>
        <v>Silver</v>
      </c>
    </row>
    <row r="370" spans="1:23" x14ac:dyDescent="0.5">
      <c r="A370" s="15" t="s">
        <v>1629</v>
      </c>
      <c r="B370" s="15" t="s">
        <v>53</v>
      </c>
      <c r="C370" s="15" t="s">
        <v>118</v>
      </c>
      <c r="D370" s="15" t="s">
        <v>891</v>
      </c>
      <c r="E370" s="15" t="s">
        <v>1630</v>
      </c>
      <c r="F370" s="15" t="s">
        <v>163</v>
      </c>
      <c r="G370" s="15" t="s">
        <v>28</v>
      </c>
      <c r="H370" s="15" t="s">
        <v>1631</v>
      </c>
      <c r="I370" s="15" t="s">
        <v>30</v>
      </c>
      <c r="J370" s="15" t="s">
        <v>31</v>
      </c>
      <c r="K370" s="15" t="s">
        <v>122</v>
      </c>
      <c r="L370" s="15" t="s">
        <v>123</v>
      </c>
      <c r="M370" s="15">
        <v>19</v>
      </c>
      <c r="N370" s="25">
        <v>60</v>
      </c>
      <c r="O370" s="15">
        <v>15</v>
      </c>
      <c r="P370" s="25">
        <v>969</v>
      </c>
      <c r="Q370" s="15">
        <v>4</v>
      </c>
      <c r="R370" s="15" t="s">
        <v>48</v>
      </c>
      <c r="S370" s="15" t="s">
        <v>115</v>
      </c>
      <c r="T370" s="15" t="s">
        <v>62</v>
      </c>
      <c r="U370" s="15">
        <v>9435947486</v>
      </c>
      <c r="V370" s="15" t="s">
        <v>69</v>
      </c>
      <c r="W370" s="29" t="str" cm="1">
        <f t="array" ref="W370">_xlfn.IFS(OR(V370="Cancelled", Q370&lt;=2), "Blacklisted", AND(P370&gt;=100000, Q370&gt;=4, O370&lt;=0.1, V370="Completed"), "Platinum", AND(P370&gt;=50000, P370&lt;=99999, Q370&gt;=3, V370="Completed"), "Gold", AND(Q370&lt;50000, V370="Completed"), "Silver", V370="Pending", "Pending")</f>
        <v>Blacklisted</v>
      </c>
    </row>
    <row r="371" spans="1:23" x14ac:dyDescent="0.5">
      <c r="A371" s="17" t="s">
        <v>1633</v>
      </c>
      <c r="B371" s="17" t="s">
        <v>327</v>
      </c>
      <c r="C371" s="17" t="s">
        <v>54</v>
      </c>
      <c r="D371" s="17" t="s">
        <v>2109</v>
      </c>
      <c r="E371" s="17" t="s">
        <v>1634</v>
      </c>
      <c r="F371" s="15" t="s">
        <v>394</v>
      </c>
      <c r="G371" s="17" t="s">
        <v>76</v>
      </c>
      <c r="H371" s="17" t="s">
        <v>1635</v>
      </c>
      <c r="I371" s="17" t="s">
        <v>44</v>
      </c>
      <c r="J371" s="17" t="s">
        <v>45</v>
      </c>
      <c r="K371" s="17" t="s">
        <v>46</v>
      </c>
      <c r="L371" s="17" t="s">
        <v>60</v>
      </c>
      <c r="M371" s="17">
        <v>15</v>
      </c>
      <c r="N371" s="26">
        <v>55000</v>
      </c>
      <c r="O371" s="17">
        <v>0</v>
      </c>
      <c r="P371" s="26">
        <v>825000</v>
      </c>
      <c r="Q371" s="17">
        <v>5</v>
      </c>
      <c r="R371" s="17" t="s">
        <v>79</v>
      </c>
      <c r="S371" s="17" t="s">
        <v>115</v>
      </c>
      <c r="T371" s="17" t="s">
        <v>332</v>
      </c>
      <c r="U371" s="17">
        <v>9411668831</v>
      </c>
      <c r="V371" s="17" t="s">
        <v>69</v>
      </c>
      <c r="W371" s="29" t="str" cm="1">
        <f t="array" ref="W371">_xlfn.IFS(OR(V371="Cancelled", Q371&lt;=2), "Blacklisted", AND(P371&gt;=100000, Q371&gt;=4, O371&lt;=0.1, V371="Completed"), "Platinum", AND(P371&gt;=50000, P371&lt;=99999, Q371&gt;=3, V371="Completed"), "Gold", AND(Q371&lt;50000, V371="Completed"), "Silver", V371="Pending", "Pending")</f>
        <v>Blacklisted</v>
      </c>
    </row>
    <row r="372" spans="1:23" x14ac:dyDescent="0.5">
      <c r="A372" s="15" t="s">
        <v>1637</v>
      </c>
      <c r="B372" s="15" t="s">
        <v>71</v>
      </c>
      <c r="C372" s="15" t="s">
        <v>259</v>
      </c>
      <c r="D372" s="15" t="s">
        <v>941</v>
      </c>
      <c r="E372" s="15" t="s">
        <v>1638</v>
      </c>
      <c r="F372" s="15" t="s">
        <v>217</v>
      </c>
      <c r="G372" s="15" t="s">
        <v>76</v>
      </c>
      <c r="H372" s="15" t="s">
        <v>1639</v>
      </c>
      <c r="I372" s="15" t="s">
        <v>59</v>
      </c>
      <c r="J372" s="15" t="s">
        <v>31</v>
      </c>
      <c r="K372" s="15" t="s">
        <v>122</v>
      </c>
      <c r="L372" s="15" t="s">
        <v>263</v>
      </c>
      <c r="M372" s="15">
        <v>11</v>
      </c>
      <c r="N372" s="25">
        <v>45</v>
      </c>
      <c r="O372" s="15">
        <v>5</v>
      </c>
      <c r="P372" s="25">
        <v>470.25</v>
      </c>
      <c r="Q372" s="15">
        <v>5</v>
      </c>
      <c r="R372" s="15" t="s">
        <v>48</v>
      </c>
      <c r="S372" s="15" t="s">
        <v>151</v>
      </c>
      <c r="T372" s="15" t="s">
        <v>80</v>
      </c>
      <c r="U372" s="15">
        <v>9523682403</v>
      </c>
      <c r="V372" s="15" t="s">
        <v>38</v>
      </c>
      <c r="W372" s="29" t="str" cm="1">
        <f t="array" ref="W372">_xlfn.IFS(OR(V372="Cancelled", Q372&lt;=2), "Blacklisted", AND(P372&gt;=100000, Q372&gt;=4, O372&lt;=0.1, V372="Completed"), "Platinum", AND(P372&gt;=50000, P372&lt;=99999, Q372&gt;=3, V372="Completed"), "Gold", AND(Q372&lt;50000, V372="Completed"), "Silver", V372="Pending", "Pending")</f>
        <v>Silver</v>
      </c>
    </row>
    <row r="373" spans="1:23" x14ac:dyDescent="0.5">
      <c r="A373" s="17" t="s">
        <v>1641</v>
      </c>
      <c r="B373" s="17" t="s">
        <v>251</v>
      </c>
      <c r="C373" s="17" t="s">
        <v>222</v>
      </c>
      <c r="D373" s="17" t="s">
        <v>1642</v>
      </c>
      <c r="E373" s="17" t="s">
        <v>1643</v>
      </c>
      <c r="F373" s="15" t="s">
        <v>254</v>
      </c>
      <c r="G373" s="17" t="s">
        <v>28</v>
      </c>
      <c r="H373" s="17" t="s">
        <v>1644</v>
      </c>
      <c r="I373" s="17" t="s">
        <v>212</v>
      </c>
      <c r="J373" s="17" t="s">
        <v>45</v>
      </c>
      <c r="K373" s="17" t="s">
        <v>122</v>
      </c>
      <c r="L373" s="17" t="s">
        <v>227</v>
      </c>
      <c r="M373" s="17">
        <v>9</v>
      </c>
      <c r="N373" s="26">
        <v>20</v>
      </c>
      <c r="O373" s="17">
        <v>10</v>
      </c>
      <c r="P373" s="26">
        <v>162</v>
      </c>
      <c r="Q373" s="17">
        <v>1</v>
      </c>
      <c r="R373" s="17" t="s">
        <v>79</v>
      </c>
      <c r="S373" s="17" t="s">
        <v>49</v>
      </c>
      <c r="T373" s="17" t="s">
        <v>256</v>
      </c>
      <c r="U373" s="17">
        <v>9652936744</v>
      </c>
      <c r="V373" s="17" t="s">
        <v>69</v>
      </c>
      <c r="W373" s="29" t="str" cm="1">
        <f t="array" ref="W373">_xlfn.IFS(OR(V373="Cancelled", Q373&lt;=2), "Blacklisted", AND(P373&gt;=100000, Q373&gt;=4, O373&lt;=0.1, V373="Completed"), "Platinum", AND(P373&gt;=50000, P373&lt;=99999, Q373&gt;=3, V373="Completed"), "Gold", AND(Q373&lt;50000, V373="Completed"), "Silver", V373="Pending", "Pending")</f>
        <v>Blacklisted</v>
      </c>
    </row>
    <row r="374" spans="1:23" x14ac:dyDescent="0.5">
      <c r="A374" s="15" t="s">
        <v>1646</v>
      </c>
      <c r="B374" s="15" t="s">
        <v>168</v>
      </c>
      <c r="C374" s="15" t="s">
        <v>259</v>
      </c>
      <c r="D374" s="15" t="s">
        <v>645</v>
      </c>
      <c r="E374" s="15" t="s">
        <v>980</v>
      </c>
      <c r="F374" s="15" t="s">
        <v>361</v>
      </c>
      <c r="G374" s="15" t="s">
        <v>28</v>
      </c>
      <c r="H374" s="15" t="s">
        <v>1647</v>
      </c>
      <c r="I374" s="15" t="s">
        <v>59</v>
      </c>
      <c r="J374" s="15" t="s">
        <v>31</v>
      </c>
      <c r="K374" s="15" t="s">
        <v>122</v>
      </c>
      <c r="L374" s="15" t="s">
        <v>263</v>
      </c>
      <c r="M374" s="15">
        <v>5</v>
      </c>
      <c r="N374" s="25">
        <v>45</v>
      </c>
      <c r="O374" s="15">
        <v>5</v>
      </c>
      <c r="P374" s="25">
        <v>213.75</v>
      </c>
      <c r="Q374" s="15">
        <v>3</v>
      </c>
      <c r="R374" s="15" t="s">
        <v>79</v>
      </c>
      <c r="S374" s="15" t="s">
        <v>115</v>
      </c>
      <c r="T374" s="15" t="s">
        <v>175</v>
      </c>
      <c r="U374" s="15">
        <v>9726464733</v>
      </c>
      <c r="V374" s="15" t="s">
        <v>64</v>
      </c>
      <c r="W374" s="29" t="str" cm="1">
        <f t="array" ref="W374">_xlfn.IFS(OR(V374="Cancelled", Q374&lt;=2), "Blacklisted", AND(P374&gt;=100000, Q374&gt;=4, O374&lt;=0.1, V374="Completed"), "Platinum", AND(P374&gt;=50000, P374&lt;=99999, Q374&gt;=3, V374="Completed"), "Gold", AND(Q374&lt;50000, V374="Completed"), "Silver", V374="Pending", "Pending")</f>
        <v>Pending</v>
      </c>
    </row>
    <row r="375" spans="1:23" x14ac:dyDescent="0.5">
      <c r="A375" s="17" t="s">
        <v>1649</v>
      </c>
      <c r="B375" s="17" t="s">
        <v>83</v>
      </c>
      <c r="C375" s="17" t="s">
        <v>184</v>
      </c>
      <c r="D375" s="17" t="s">
        <v>1650</v>
      </c>
      <c r="E375" s="17" t="s">
        <v>1102</v>
      </c>
      <c r="F375" s="15" t="s">
        <v>180</v>
      </c>
      <c r="G375" s="17" t="s">
        <v>76</v>
      </c>
      <c r="H375" s="17" t="s">
        <v>1651</v>
      </c>
      <c r="I375" s="17" t="s">
        <v>30</v>
      </c>
      <c r="J375" s="17" t="s">
        <v>31</v>
      </c>
      <c r="K375" s="17" t="s">
        <v>46</v>
      </c>
      <c r="L375" s="17" t="s">
        <v>189</v>
      </c>
      <c r="M375" s="17">
        <v>5</v>
      </c>
      <c r="N375" s="26">
        <v>700</v>
      </c>
      <c r="O375" s="17">
        <v>10</v>
      </c>
      <c r="P375" s="26">
        <v>3150</v>
      </c>
      <c r="Q375" s="17">
        <v>2</v>
      </c>
      <c r="R375" s="17" t="s">
        <v>88</v>
      </c>
      <c r="S375" s="17" t="s">
        <v>49</v>
      </c>
      <c r="T375" s="17" t="s">
        <v>89</v>
      </c>
      <c r="U375" s="17">
        <v>9273520544</v>
      </c>
      <c r="V375" s="17" t="s">
        <v>38</v>
      </c>
      <c r="W375" s="29" t="str" cm="1">
        <f t="array" ref="W375">_xlfn.IFS(OR(V375="Cancelled", Q375&lt;=2), "Blacklisted", AND(P375&gt;=100000, Q375&gt;=4, O375&lt;=0.1, V375="Completed"), "Platinum", AND(P375&gt;=50000, P375&lt;=99999, Q375&gt;=3, V375="Completed"), "Gold", AND(Q375&lt;50000, V375="Completed"), "Silver", V375="Pending", "Pending")</f>
        <v>Blacklisted</v>
      </c>
    </row>
    <row r="376" spans="1:23" x14ac:dyDescent="0.5">
      <c r="A376" s="15" t="s">
        <v>1653</v>
      </c>
      <c r="B376" s="15" t="s">
        <v>221</v>
      </c>
      <c r="C376" s="15" t="s">
        <v>184</v>
      </c>
      <c r="D376" s="15" t="s">
        <v>957</v>
      </c>
      <c r="E376" s="15" t="s">
        <v>1654</v>
      </c>
      <c r="F376" s="15" t="s">
        <v>225</v>
      </c>
      <c r="G376" s="15" t="s">
        <v>76</v>
      </c>
      <c r="H376" s="15" t="s">
        <v>1655</v>
      </c>
      <c r="I376" s="15" t="s">
        <v>294</v>
      </c>
      <c r="J376" s="15" t="s">
        <v>295</v>
      </c>
      <c r="K376" s="15" t="s">
        <v>46</v>
      </c>
      <c r="L376" s="15" t="s">
        <v>189</v>
      </c>
      <c r="M376" s="15">
        <v>1</v>
      </c>
      <c r="N376" s="25">
        <v>700</v>
      </c>
      <c r="O376" s="15">
        <v>0</v>
      </c>
      <c r="P376" s="25">
        <v>700</v>
      </c>
      <c r="Q376" s="15">
        <v>1</v>
      </c>
      <c r="R376" s="15" t="s">
        <v>88</v>
      </c>
      <c r="S376" s="15" t="s">
        <v>151</v>
      </c>
      <c r="T376" s="15" t="s">
        <v>228</v>
      </c>
      <c r="U376" s="15">
        <v>9374259988</v>
      </c>
      <c r="V376" s="15" t="s">
        <v>38</v>
      </c>
      <c r="W376" s="29" t="str" cm="1">
        <f t="array" ref="W376">_xlfn.IFS(OR(V376="Cancelled", Q376&lt;=2), "Blacklisted", AND(P376&gt;=100000, Q376&gt;=4, O376&lt;=0.1, V376="Completed"), "Platinum", AND(P376&gt;=50000, P376&lt;=99999, Q376&gt;=3, V376="Completed"), "Gold", AND(Q376&lt;50000, V376="Completed"), "Silver", V376="Pending", "Pending")</f>
        <v>Blacklisted</v>
      </c>
    </row>
    <row r="377" spans="1:23" x14ac:dyDescent="0.5">
      <c r="A377" s="17" t="s">
        <v>1657</v>
      </c>
      <c r="B377" s="17" t="s">
        <v>23</v>
      </c>
      <c r="C377" s="17" t="s">
        <v>184</v>
      </c>
      <c r="D377" s="17" t="s">
        <v>1368</v>
      </c>
      <c r="E377" s="17" t="s">
        <v>923</v>
      </c>
      <c r="F377" s="15" t="s">
        <v>27</v>
      </c>
      <c r="G377" s="17" t="s">
        <v>28</v>
      </c>
      <c r="H377" s="17" t="s">
        <v>1658</v>
      </c>
      <c r="I377" s="17" t="s">
        <v>105</v>
      </c>
      <c r="J377" s="17" t="s">
        <v>106</v>
      </c>
      <c r="K377" s="17" t="s">
        <v>46</v>
      </c>
      <c r="L377" s="17" t="s">
        <v>189</v>
      </c>
      <c r="M377" s="17">
        <v>13</v>
      </c>
      <c r="N377" s="26">
        <v>700</v>
      </c>
      <c r="O377" s="17">
        <v>20</v>
      </c>
      <c r="P377" s="26">
        <v>7280</v>
      </c>
      <c r="Q377" s="17">
        <v>2</v>
      </c>
      <c r="R377" s="17" t="s">
        <v>79</v>
      </c>
      <c r="S377" s="17" t="s">
        <v>35</v>
      </c>
      <c r="T377" s="17" t="s">
        <v>50</v>
      </c>
      <c r="U377" s="17">
        <v>9538129419</v>
      </c>
      <c r="V377" s="17" t="s">
        <v>38</v>
      </c>
      <c r="W377" s="29" t="str" cm="1">
        <f t="array" ref="W377">_xlfn.IFS(OR(V377="Cancelled", Q377&lt;=2), "Blacklisted", AND(P377&gt;=100000, Q377&gt;=4, O377&lt;=0.1, V377="Completed"), "Platinum", AND(P377&gt;=50000, P377&lt;=99999, Q377&gt;=3, V377="Completed"), "Gold", AND(Q377&lt;50000, V377="Completed"), "Silver", V377="Pending", "Pending")</f>
        <v>Blacklisted</v>
      </c>
    </row>
    <row r="378" spans="1:23" x14ac:dyDescent="0.5">
      <c r="A378" s="15" t="s">
        <v>1660</v>
      </c>
      <c r="B378" s="15" t="s">
        <v>71</v>
      </c>
      <c r="C378" s="15" t="s">
        <v>40</v>
      </c>
      <c r="D378" s="15" t="s">
        <v>1153</v>
      </c>
      <c r="E378" s="15" t="s">
        <v>303</v>
      </c>
      <c r="F378" s="15" t="s">
        <v>217</v>
      </c>
      <c r="G378" s="15" t="s">
        <v>76</v>
      </c>
      <c r="H378" s="15" t="s">
        <v>1661</v>
      </c>
      <c r="I378" s="15" t="s">
        <v>114</v>
      </c>
      <c r="J378" s="15" t="s">
        <v>106</v>
      </c>
      <c r="K378" s="15" t="s">
        <v>46</v>
      </c>
      <c r="L378" s="15" t="s">
        <v>47</v>
      </c>
      <c r="M378" s="15">
        <v>20</v>
      </c>
      <c r="N378" s="25">
        <v>12000</v>
      </c>
      <c r="O378" s="15">
        <v>0</v>
      </c>
      <c r="P378" s="25">
        <v>240000</v>
      </c>
      <c r="Q378" s="15">
        <v>2</v>
      </c>
      <c r="R378" s="15" t="s">
        <v>79</v>
      </c>
      <c r="S378" s="15" t="s">
        <v>115</v>
      </c>
      <c r="T378" s="15" t="s">
        <v>80</v>
      </c>
      <c r="U378" s="15">
        <v>9382815686</v>
      </c>
      <c r="V378" s="15" t="s">
        <v>38</v>
      </c>
      <c r="W378" s="29" t="str" cm="1">
        <f t="array" ref="W378">_xlfn.IFS(OR(V378="Cancelled", Q378&lt;=2), "Blacklisted", AND(P378&gt;=100000, Q378&gt;=4, O378&lt;=0.1, V378="Completed"), "Platinum", AND(P378&gt;=50000, P378&lt;=99999, Q378&gt;=3, V378="Completed"), "Gold", AND(Q378&lt;50000, V378="Completed"), "Silver", V378="Pending", "Pending")</f>
        <v>Blacklisted</v>
      </c>
    </row>
    <row r="379" spans="1:23" x14ac:dyDescent="0.5">
      <c r="A379" s="17" t="s">
        <v>1663</v>
      </c>
      <c r="B379" s="17" t="s">
        <v>83</v>
      </c>
      <c r="C379" s="17" t="s">
        <v>72</v>
      </c>
      <c r="D379" s="17" t="s">
        <v>1198</v>
      </c>
      <c r="E379" s="17" t="s">
        <v>712</v>
      </c>
      <c r="F379" s="15" t="s">
        <v>180</v>
      </c>
      <c r="G379" s="17" t="s">
        <v>76</v>
      </c>
      <c r="H379" s="17" t="s">
        <v>1664</v>
      </c>
      <c r="I379" s="17" t="s">
        <v>294</v>
      </c>
      <c r="J379" s="17" t="s">
        <v>295</v>
      </c>
      <c r="K379" s="17" t="s">
        <v>46</v>
      </c>
      <c r="L379" s="17" t="s">
        <v>78</v>
      </c>
      <c r="M379" s="17">
        <v>9</v>
      </c>
      <c r="N379" s="26">
        <v>1200</v>
      </c>
      <c r="O379" s="17">
        <v>15</v>
      </c>
      <c r="P379" s="26">
        <v>9180</v>
      </c>
      <c r="Q379" s="17">
        <v>1</v>
      </c>
      <c r="R379" s="17" t="s">
        <v>88</v>
      </c>
      <c r="S379" s="17" t="s">
        <v>35</v>
      </c>
      <c r="T379" s="17" t="s">
        <v>89</v>
      </c>
      <c r="U379" s="17">
        <v>9450746157</v>
      </c>
      <c r="V379" s="17" t="s">
        <v>64</v>
      </c>
      <c r="W379" s="29" t="str" cm="1">
        <f t="array" ref="W379">_xlfn.IFS(OR(V379="Cancelled", Q379&lt;=2), "Blacklisted", AND(P379&gt;=100000, Q379&gt;=4, O379&lt;=0.1, V379="Completed"), "Platinum", AND(P379&gt;=50000, P379&lt;=99999, Q379&gt;=3, V379="Completed"), "Gold", AND(Q379&lt;50000, V379="Completed"), "Silver", V379="Pending", "Pending")</f>
        <v>Blacklisted</v>
      </c>
    </row>
    <row r="380" spans="1:23" x14ac:dyDescent="0.5">
      <c r="A380" s="15" t="s">
        <v>1666</v>
      </c>
      <c r="B380" s="15" t="s">
        <v>83</v>
      </c>
      <c r="C380" s="15" t="s">
        <v>222</v>
      </c>
      <c r="D380" s="15" t="s">
        <v>1221</v>
      </c>
      <c r="E380" s="15" t="s">
        <v>1667</v>
      </c>
      <c r="F380" s="15" t="s">
        <v>180</v>
      </c>
      <c r="G380" s="15" t="s">
        <v>76</v>
      </c>
      <c r="H380" s="15" t="s">
        <v>1668</v>
      </c>
      <c r="I380" s="15" t="s">
        <v>212</v>
      </c>
      <c r="J380" s="15" t="s">
        <v>45</v>
      </c>
      <c r="K380" s="15" t="s">
        <v>122</v>
      </c>
      <c r="L380" s="15" t="s">
        <v>227</v>
      </c>
      <c r="M380" s="15">
        <v>3</v>
      </c>
      <c r="N380" s="25">
        <v>20</v>
      </c>
      <c r="O380" s="15">
        <v>15</v>
      </c>
      <c r="P380" s="25">
        <v>51</v>
      </c>
      <c r="Q380" s="15">
        <v>3</v>
      </c>
      <c r="R380" s="15" t="s">
        <v>34</v>
      </c>
      <c r="S380" s="15" t="s">
        <v>115</v>
      </c>
      <c r="T380" s="15" t="s">
        <v>89</v>
      </c>
      <c r="U380" s="15">
        <v>9349012570</v>
      </c>
      <c r="V380" s="15" t="s">
        <v>64</v>
      </c>
      <c r="W380" s="29" t="str" cm="1">
        <f t="array" ref="W380">_xlfn.IFS(OR(V380="Cancelled", Q380&lt;=2), "Blacklisted", AND(P380&gt;=100000, Q380&gt;=4, O380&lt;=0.1, V380="Completed"), "Platinum", AND(P380&gt;=50000, P380&lt;=99999, Q380&gt;=3, V380="Completed"), "Gold", AND(Q380&lt;50000, V380="Completed"), "Silver", V380="Pending", "Pending")</f>
        <v>Pending</v>
      </c>
    </row>
    <row r="381" spans="1:23" x14ac:dyDescent="0.5">
      <c r="A381" s="17" t="s">
        <v>1670</v>
      </c>
      <c r="B381" s="17" t="s">
        <v>251</v>
      </c>
      <c r="C381" s="17" t="s">
        <v>54</v>
      </c>
      <c r="D381" s="17" t="s">
        <v>788</v>
      </c>
      <c r="E381" s="17" t="s">
        <v>455</v>
      </c>
      <c r="F381" s="15" t="s">
        <v>254</v>
      </c>
      <c r="G381" s="17" t="s">
        <v>28</v>
      </c>
      <c r="H381" s="17" t="s">
        <v>1671</v>
      </c>
      <c r="I381" s="17" t="s">
        <v>44</v>
      </c>
      <c r="J381" s="17" t="s">
        <v>45</v>
      </c>
      <c r="K381" s="17" t="s">
        <v>46</v>
      </c>
      <c r="L381" s="17" t="s">
        <v>60</v>
      </c>
      <c r="M381" s="17">
        <v>8</v>
      </c>
      <c r="N381" s="26">
        <v>55000</v>
      </c>
      <c r="O381" s="17">
        <v>20</v>
      </c>
      <c r="P381" s="26">
        <v>352000</v>
      </c>
      <c r="Q381" s="17">
        <v>5</v>
      </c>
      <c r="R381" s="17" t="s">
        <v>79</v>
      </c>
      <c r="S381" s="17" t="s">
        <v>151</v>
      </c>
      <c r="T381" s="17" t="s">
        <v>256</v>
      </c>
      <c r="U381" s="17">
        <v>9442163790</v>
      </c>
      <c r="V381" s="17" t="s">
        <v>64</v>
      </c>
      <c r="W381" s="29" t="str" cm="1">
        <f t="array" ref="W381">_xlfn.IFS(OR(V381="Cancelled", Q381&lt;=2), "Blacklisted", AND(P381&gt;=100000, Q381&gt;=4, O381&lt;=0.1, V381="Completed"), "Platinum", AND(P381&gt;=50000, P381&lt;=99999, Q381&gt;=3, V381="Completed"), "Gold", AND(Q381&lt;50000, V381="Completed"), "Silver", V381="Pending", "Pending")</f>
        <v>Pending</v>
      </c>
    </row>
    <row r="382" spans="1:23" x14ac:dyDescent="0.5">
      <c r="A382" s="15" t="s">
        <v>1673</v>
      </c>
      <c r="B382" s="15" t="s">
        <v>251</v>
      </c>
      <c r="C382" s="15" t="s">
        <v>118</v>
      </c>
      <c r="D382" s="15" t="s">
        <v>1311</v>
      </c>
      <c r="E382" s="15" t="s">
        <v>74</v>
      </c>
      <c r="F382" s="15" t="s">
        <v>254</v>
      </c>
      <c r="G382" s="15" t="s">
        <v>28</v>
      </c>
      <c r="H382" s="15" t="s">
        <v>1674</v>
      </c>
      <c r="I382" s="15" t="s">
        <v>44</v>
      </c>
      <c r="J382" s="15" t="s">
        <v>45</v>
      </c>
      <c r="K382" s="15" t="s">
        <v>122</v>
      </c>
      <c r="L382" s="15" t="s">
        <v>123</v>
      </c>
      <c r="M382" s="15">
        <v>17</v>
      </c>
      <c r="N382" s="25">
        <v>60</v>
      </c>
      <c r="O382" s="15">
        <v>20</v>
      </c>
      <c r="P382" s="25">
        <v>816</v>
      </c>
      <c r="Q382" s="15">
        <v>1</v>
      </c>
      <c r="R382" s="15" t="s">
        <v>88</v>
      </c>
      <c r="S382" s="15" t="s">
        <v>35</v>
      </c>
      <c r="T382" s="15" t="s">
        <v>256</v>
      </c>
      <c r="U382" s="15">
        <v>9953329223</v>
      </c>
      <c r="V382" s="15" t="s">
        <v>64</v>
      </c>
      <c r="W382" s="29" t="str" cm="1">
        <f t="array" ref="W382">_xlfn.IFS(OR(V382="Cancelled", Q382&lt;=2), "Blacklisted", AND(P382&gt;=100000, Q382&gt;=4, O382&lt;=0.1, V382="Completed"), "Platinum", AND(P382&gt;=50000, P382&lt;=99999, Q382&gt;=3, V382="Completed"), "Gold", AND(Q382&lt;50000, V382="Completed"), "Silver", V382="Pending", "Pending")</f>
        <v>Blacklisted</v>
      </c>
    </row>
    <row r="383" spans="1:23" x14ac:dyDescent="0.5">
      <c r="A383" s="17" t="s">
        <v>1676</v>
      </c>
      <c r="B383" s="17" t="s">
        <v>127</v>
      </c>
      <c r="C383" s="17" t="s">
        <v>222</v>
      </c>
      <c r="D383" s="17" t="s">
        <v>1677</v>
      </c>
      <c r="E383" s="17" t="s">
        <v>236</v>
      </c>
      <c r="F383" s="15" t="s">
        <v>200</v>
      </c>
      <c r="G383" s="17" t="s">
        <v>76</v>
      </c>
      <c r="H383" s="17" t="s">
        <v>1678</v>
      </c>
      <c r="I383" s="17" t="s">
        <v>59</v>
      </c>
      <c r="J383" s="17" t="s">
        <v>31</v>
      </c>
      <c r="K383" s="17" t="s">
        <v>122</v>
      </c>
      <c r="L383" s="17" t="s">
        <v>227</v>
      </c>
      <c r="M383" s="17">
        <v>4</v>
      </c>
      <c r="N383" s="26">
        <v>20</v>
      </c>
      <c r="O383" s="17">
        <v>15</v>
      </c>
      <c r="P383" s="26">
        <v>68</v>
      </c>
      <c r="Q383" s="17">
        <v>3</v>
      </c>
      <c r="R383" s="17" t="s">
        <v>48</v>
      </c>
      <c r="S383" s="17" t="s">
        <v>61</v>
      </c>
      <c r="T383" s="17" t="s">
        <v>132</v>
      </c>
      <c r="U383" s="17">
        <v>9202321359</v>
      </c>
      <c r="V383" s="17" t="s">
        <v>64</v>
      </c>
      <c r="W383" s="29" t="str" cm="1">
        <f t="array" ref="W383">_xlfn.IFS(OR(V383="Cancelled", Q383&lt;=2), "Blacklisted", AND(P383&gt;=100000, Q383&gt;=4, O383&lt;=0.1, V383="Completed"), "Platinum", AND(P383&gt;=50000, P383&lt;=99999, Q383&gt;=3, V383="Completed"), "Gold", AND(Q383&lt;50000, V383="Completed"), "Silver", V383="Pending", "Pending")</f>
        <v>Pending</v>
      </c>
    </row>
    <row r="384" spans="1:23" x14ac:dyDescent="0.5">
      <c r="A384" s="15" t="s">
        <v>1680</v>
      </c>
      <c r="B384" s="15" t="s">
        <v>127</v>
      </c>
      <c r="C384" s="15" t="s">
        <v>24</v>
      </c>
      <c r="D384" s="15" t="s">
        <v>1360</v>
      </c>
      <c r="E384" s="15" t="s">
        <v>775</v>
      </c>
      <c r="F384" s="15" t="s">
        <v>200</v>
      </c>
      <c r="G384" s="15" t="s">
        <v>76</v>
      </c>
      <c r="H384" s="15" t="s">
        <v>1682</v>
      </c>
      <c r="I384" s="15" t="s">
        <v>294</v>
      </c>
      <c r="J384" s="15" t="s">
        <v>295</v>
      </c>
      <c r="K384" s="15" t="s">
        <v>32</v>
      </c>
      <c r="L384" s="15" t="s">
        <v>33</v>
      </c>
      <c r="M384" s="15">
        <v>2</v>
      </c>
      <c r="N384" s="25">
        <v>2200</v>
      </c>
      <c r="O384" s="15">
        <v>10</v>
      </c>
      <c r="P384" s="25">
        <v>3960</v>
      </c>
      <c r="Q384" s="15">
        <v>2</v>
      </c>
      <c r="R384" s="15" t="s">
        <v>88</v>
      </c>
      <c r="S384" s="15" t="s">
        <v>49</v>
      </c>
      <c r="T384" s="15" t="s">
        <v>132</v>
      </c>
      <c r="U384" s="15">
        <v>9812564160</v>
      </c>
      <c r="V384" s="15" t="s">
        <v>64</v>
      </c>
      <c r="W384" s="29" t="str" cm="1">
        <f t="array" ref="W384">_xlfn.IFS(OR(V384="Cancelled", Q384&lt;=2), "Blacklisted", AND(P384&gt;=100000, Q384&gt;=4, O384&lt;=0.1, V384="Completed"), "Platinum", AND(P384&gt;=50000, P384&lt;=99999, Q384&gt;=3, V384="Completed"), "Gold", AND(Q384&lt;50000, V384="Completed"), "Silver", V384="Pending", "Pending")</f>
        <v>Blacklisted</v>
      </c>
    </row>
    <row r="385" spans="1:23" x14ac:dyDescent="0.5">
      <c r="A385" s="17" t="s">
        <v>1684</v>
      </c>
      <c r="B385" s="17" t="s">
        <v>221</v>
      </c>
      <c r="C385" s="17" t="s">
        <v>118</v>
      </c>
      <c r="D385" s="17" t="s">
        <v>366</v>
      </c>
      <c r="E385" s="17" t="s">
        <v>539</v>
      </c>
      <c r="F385" s="15" t="s">
        <v>225</v>
      </c>
      <c r="G385" s="17" t="s">
        <v>76</v>
      </c>
      <c r="H385" s="17" t="s">
        <v>1685</v>
      </c>
      <c r="I385" s="17" t="s">
        <v>59</v>
      </c>
      <c r="J385" s="17" t="s">
        <v>31</v>
      </c>
      <c r="K385" s="17" t="s">
        <v>122</v>
      </c>
      <c r="L385" s="17" t="s">
        <v>123</v>
      </c>
      <c r="M385" s="17">
        <v>5</v>
      </c>
      <c r="N385" s="26">
        <v>60</v>
      </c>
      <c r="O385" s="17">
        <v>5</v>
      </c>
      <c r="P385" s="26">
        <v>285</v>
      </c>
      <c r="Q385" s="17">
        <v>1</v>
      </c>
      <c r="R385" s="17" t="s">
        <v>88</v>
      </c>
      <c r="S385" s="17" t="s">
        <v>35</v>
      </c>
      <c r="T385" s="17" t="s">
        <v>228</v>
      </c>
      <c r="U385" s="17">
        <v>9688458222</v>
      </c>
      <c r="V385" s="17" t="s">
        <v>69</v>
      </c>
      <c r="W385" s="29" t="str" cm="1">
        <f t="array" ref="W385">_xlfn.IFS(OR(V385="Cancelled", Q385&lt;=2), "Blacklisted", AND(P385&gt;=100000, Q385&gt;=4, O385&lt;=0.1, V385="Completed"), "Platinum", AND(P385&gt;=50000, P385&lt;=99999, Q385&gt;=3, V385="Completed"), "Gold", AND(Q385&lt;50000, V385="Completed"), "Silver", V385="Pending", "Pending")</f>
        <v>Blacklisted</v>
      </c>
    </row>
    <row r="386" spans="1:23" x14ac:dyDescent="0.5">
      <c r="A386" s="15" t="s">
        <v>1687</v>
      </c>
      <c r="B386" s="15" t="s">
        <v>127</v>
      </c>
      <c r="C386" s="15" t="s">
        <v>24</v>
      </c>
      <c r="D386" s="15" t="s">
        <v>1688</v>
      </c>
      <c r="E386" s="15" t="s">
        <v>1689</v>
      </c>
      <c r="F386" s="15" t="s">
        <v>200</v>
      </c>
      <c r="G386" s="15" t="s">
        <v>76</v>
      </c>
      <c r="H386" s="15" t="s">
        <v>1690</v>
      </c>
      <c r="I386" s="15" t="s">
        <v>44</v>
      </c>
      <c r="J386" s="15" t="s">
        <v>45</v>
      </c>
      <c r="K386" s="15" t="s">
        <v>32</v>
      </c>
      <c r="L386" s="15" t="s">
        <v>33</v>
      </c>
      <c r="M386" s="15">
        <v>17</v>
      </c>
      <c r="N386" s="25">
        <v>2200</v>
      </c>
      <c r="O386" s="15">
        <v>0</v>
      </c>
      <c r="P386" s="25">
        <v>37400</v>
      </c>
      <c r="Q386" s="15">
        <v>2</v>
      </c>
      <c r="R386" s="15" t="s">
        <v>88</v>
      </c>
      <c r="S386" s="15" t="s">
        <v>151</v>
      </c>
      <c r="T386" s="15" t="s">
        <v>132</v>
      </c>
      <c r="U386" s="15">
        <v>9634473337</v>
      </c>
      <c r="V386" s="15" t="s">
        <v>69</v>
      </c>
      <c r="W386" s="29" t="str" cm="1">
        <f t="array" ref="W386">_xlfn.IFS(OR(V386="Cancelled", Q386&lt;=2), "Blacklisted", AND(P386&gt;=100000, Q386&gt;=4, O386&lt;=0.1, V386="Completed"), "Platinum", AND(P386&gt;=50000, P386&lt;=99999, Q386&gt;=3, V386="Completed"), "Gold", AND(Q386&lt;50000, V386="Completed"), "Silver", V386="Pending", "Pending")</f>
        <v>Blacklisted</v>
      </c>
    </row>
    <row r="387" spans="1:23" x14ac:dyDescent="0.5">
      <c r="A387" s="17" t="s">
        <v>1692</v>
      </c>
      <c r="B387" s="17" t="s">
        <v>168</v>
      </c>
      <c r="C387" s="17" t="s">
        <v>118</v>
      </c>
      <c r="D387" s="17" t="s">
        <v>186</v>
      </c>
      <c r="E387" s="17" t="s">
        <v>610</v>
      </c>
      <c r="F387" s="15" t="s">
        <v>361</v>
      </c>
      <c r="G387" s="17" t="s">
        <v>28</v>
      </c>
      <c r="H387" s="17" t="s">
        <v>1693</v>
      </c>
      <c r="I387" s="17" t="s">
        <v>138</v>
      </c>
      <c r="J387" s="17" t="s">
        <v>106</v>
      </c>
      <c r="K387" s="17" t="s">
        <v>122</v>
      </c>
      <c r="L387" s="17" t="s">
        <v>123</v>
      </c>
      <c r="M387" s="17">
        <v>7</v>
      </c>
      <c r="N387" s="26">
        <v>60</v>
      </c>
      <c r="O387" s="17">
        <v>0</v>
      </c>
      <c r="P387" s="26">
        <v>420</v>
      </c>
      <c r="Q387" s="17">
        <v>2</v>
      </c>
      <c r="R387" s="17" t="s">
        <v>88</v>
      </c>
      <c r="S387" s="17" t="s">
        <v>61</v>
      </c>
      <c r="T387" s="17" t="s">
        <v>175</v>
      </c>
      <c r="U387" s="17">
        <v>9608737026</v>
      </c>
      <c r="V387" s="17" t="s">
        <v>64</v>
      </c>
      <c r="W387" s="29" t="str" cm="1">
        <f t="array" ref="W387">_xlfn.IFS(OR(V387="Cancelled", Q387&lt;=2), "Blacklisted", AND(P387&gt;=100000, Q387&gt;=4, O387&lt;=0.1, V387="Completed"), "Platinum", AND(P387&gt;=50000, P387&lt;=99999, Q387&gt;=3, V387="Completed"), "Gold", AND(Q387&lt;50000, V387="Completed"), "Silver", V387="Pending", "Pending")</f>
        <v>Blacklisted</v>
      </c>
    </row>
    <row r="388" spans="1:23" x14ac:dyDescent="0.5">
      <c r="A388" s="15" t="s">
        <v>1695</v>
      </c>
      <c r="B388" s="15" t="s">
        <v>221</v>
      </c>
      <c r="C388" s="15" t="s">
        <v>54</v>
      </c>
      <c r="D388" s="15" t="s">
        <v>702</v>
      </c>
      <c r="E388" s="15" t="s">
        <v>1696</v>
      </c>
      <c r="F388" s="15" t="s">
        <v>225</v>
      </c>
      <c r="G388" s="15" t="s">
        <v>76</v>
      </c>
      <c r="H388" s="15" t="s">
        <v>1697</v>
      </c>
      <c r="I388" s="15" t="s">
        <v>30</v>
      </c>
      <c r="J388" s="15" t="s">
        <v>31</v>
      </c>
      <c r="K388" s="15" t="s">
        <v>46</v>
      </c>
      <c r="L388" s="15" t="s">
        <v>60</v>
      </c>
      <c r="M388" s="15">
        <v>6</v>
      </c>
      <c r="N388" s="25">
        <v>55000</v>
      </c>
      <c r="O388" s="15">
        <v>5</v>
      </c>
      <c r="P388" s="25">
        <v>313500</v>
      </c>
      <c r="Q388" s="15">
        <v>4</v>
      </c>
      <c r="R388" s="15" t="s">
        <v>79</v>
      </c>
      <c r="S388" s="15" t="s">
        <v>61</v>
      </c>
      <c r="T388" s="15" t="s">
        <v>228</v>
      </c>
      <c r="U388" s="15">
        <v>9804498139</v>
      </c>
      <c r="V388" s="15" t="s">
        <v>38</v>
      </c>
      <c r="W388" s="29" t="str" cm="1">
        <f t="array" ref="W388">_xlfn.IFS(OR(V388="Cancelled", Q388&lt;=2), "Blacklisted", AND(P388&gt;=100000, Q388&gt;=4, O388&lt;=0.1, V388="Completed"), "Platinum", AND(P388&gt;=50000, P388&lt;=99999, Q388&gt;=3, V388="Completed"), "Gold", AND(Q388&lt;50000, V388="Completed"), "Silver", V388="Pending", "Pending")</f>
        <v>Silver</v>
      </c>
    </row>
    <row r="389" spans="1:23" x14ac:dyDescent="0.5">
      <c r="A389" s="17" t="s">
        <v>1699</v>
      </c>
      <c r="B389" s="17" t="s">
        <v>71</v>
      </c>
      <c r="C389" s="17" t="s">
        <v>222</v>
      </c>
      <c r="D389" s="17" t="s">
        <v>1306</v>
      </c>
      <c r="E389" s="17" t="s">
        <v>1700</v>
      </c>
      <c r="F389" s="15" t="s">
        <v>217</v>
      </c>
      <c r="G389" s="17" t="s">
        <v>76</v>
      </c>
      <c r="H389" s="17" t="s">
        <v>1701</v>
      </c>
      <c r="I389" s="17" t="s">
        <v>30</v>
      </c>
      <c r="J389" s="17" t="s">
        <v>31</v>
      </c>
      <c r="K389" s="17" t="s">
        <v>122</v>
      </c>
      <c r="L389" s="17" t="s">
        <v>227</v>
      </c>
      <c r="M389" s="17">
        <v>16</v>
      </c>
      <c r="N389" s="26">
        <v>20</v>
      </c>
      <c r="O389" s="17">
        <v>5</v>
      </c>
      <c r="P389" s="26">
        <v>304</v>
      </c>
      <c r="Q389" s="17">
        <v>1</v>
      </c>
      <c r="R389" s="17" t="s">
        <v>79</v>
      </c>
      <c r="S389" s="17" t="s">
        <v>49</v>
      </c>
      <c r="T389" s="17" t="s">
        <v>80</v>
      </c>
      <c r="U389" s="17">
        <v>9798643580</v>
      </c>
      <c r="V389" s="17" t="s">
        <v>38</v>
      </c>
      <c r="W389" s="29" t="str" cm="1">
        <f t="array" ref="W389">_xlfn.IFS(OR(V389="Cancelled", Q389&lt;=2), "Blacklisted", AND(P389&gt;=100000, Q389&gt;=4, O389&lt;=0.1, V389="Completed"), "Platinum", AND(P389&gt;=50000, P389&lt;=99999, Q389&gt;=3, V389="Completed"), "Gold", AND(Q389&lt;50000, V389="Completed"), "Silver", V389="Pending", "Pending")</f>
        <v>Blacklisted</v>
      </c>
    </row>
    <row r="390" spans="1:23" x14ac:dyDescent="0.5">
      <c r="A390" s="15" t="s">
        <v>1703</v>
      </c>
      <c r="B390" s="15" t="s">
        <v>23</v>
      </c>
      <c r="C390" s="15" t="s">
        <v>24</v>
      </c>
      <c r="D390" s="15" t="s">
        <v>1704</v>
      </c>
      <c r="E390" s="15" t="s">
        <v>1705</v>
      </c>
      <c r="F390" s="15" t="s">
        <v>27</v>
      </c>
      <c r="G390" s="15" t="s">
        <v>28</v>
      </c>
      <c r="H390" s="15" t="s">
        <v>1706</v>
      </c>
      <c r="I390" s="15" t="s">
        <v>294</v>
      </c>
      <c r="J390" s="15" t="s">
        <v>295</v>
      </c>
      <c r="K390" s="15" t="s">
        <v>32</v>
      </c>
      <c r="L390" s="15" t="s">
        <v>33</v>
      </c>
      <c r="M390" s="15">
        <v>11</v>
      </c>
      <c r="N390" s="25">
        <v>2200</v>
      </c>
      <c r="O390" s="15">
        <v>15</v>
      </c>
      <c r="P390" s="25">
        <v>20570</v>
      </c>
      <c r="Q390" s="15">
        <v>1</v>
      </c>
      <c r="R390" s="15" t="s">
        <v>48</v>
      </c>
      <c r="S390" s="15" t="s">
        <v>115</v>
      </c>
      <c r="T390" s="15" t="s">
        <v>50</v>
      </c>
      <c r="U390" s="15">
        <v>9809823278</v>
      </c>
      <c r="V390" s="15" t="s">
        <v>69</v>
      </c>
      <c r="W390" s="29" t="str" cm="1">
        <f t="array" ref="W390">_xlfn.IFS(OR(V390="Cancelled", Q390&lt;=2), "Blacklisted", AND(P390&gt;=100000, Q390&gt;=4, O390&lt;=0.1, V390="Completed"), "Platinum", AND(P390&gt;=50000, P390&lt;=99999, Q390&gt;=3, V390="Completed"), "Gold", AND(Q390&lt;50000, V390="Completed"), "Silver", V390="Pending", "Pending")</f>
        <v>Blacklisted</v>
      </c>
    </row>
    <row r="391" spans="1:23" x14ac:dyDescent="0.5">
      <c r="A391" s="17" t="s">
        <v>1708</v>
      </c>
      <c r="B391" s="17" t="s">
        <v>100</v>
      </c>
      <c r="C391" s="17" t="s">
        <v>222</v>
      </c>
      <c r="D391" s="17" t="s">
        <v>1069</v>
      </c>
      <c r="E391" s="17" t="s">
        <v>1409</v>
      </c>
      <c r="F391" s="15" t="s">
        <v>103</v>
      </c>
      <c r="G391" s="17" t="s">
        <v>28</v>
      </c>
      <c r="H391" s="17" t="s">
        <v>1709</v>
      </c>
      <c r="I391" s="17" t="s">
        <v>114</v>
      </c>
      <c r="J391" s="17" t="s">
        <v>106</v>
      </c>
      <c r="K391" s="17" t="s">
        <v>122</v>
      </c>
      <c r="L391" s="17" t="s">
        <v>227</v>
      </c>
      <c r="M391" s="17">
        <v>19</v>
      </c>
      <c r="N391" s="26">
        <v>20</v>
      </c>
      <c r="O391" s="17">
        <v>5</v>
      </c>
      <c r="P391" s="26">
        <v>361</v>
      </c>
      <c r="Q391" s="17">
        <v>4</v>
      </c>
      <c r="R391" s="17" t="s">
        <v>88</v>
      </c>
      <c r="S391" s="17" t="s">
        <v>35</v>
      </c>
      <c r="T391" s="17" t="s">
        <v>144</v>
      </c>
      <c r="U391" s="17">
        <v>9177767854</v>
      </c>
      <c r="V391" s="17" t="s">
        <v>64</v>
      </c>
      <c r="W391" s="29" t="str" cm="1">
        <f t="array" ref="W391">_xlfn.IFS(OR(V391="Cancelled", Q391&lt;=2), "Blacklisted", AND(P391&gt;=100000, Q391&gt;=4, O391&lt;=0.1, V391="Completed"), "Platinum", AND(P391&gt;=50000, P391&lt;=99999, Q391&gt;=3, V391="Completed"), "Gold", AND(Q391&lt;50000, V391="Completed"), "Silver", V391="Pending", "Pending")</f>
        <v>Pending</v>
      </c>
    </row>
    <row r="392" spans="1:23" x14ac:dyDescent="0.5">
      <c r="A392" s="15" t="s">
        <v>1711</v>
      </c>
      <c r="B392" s="15" t="s">
        <v>100</v>
      </c>
      <c r="C392" s="15" t="s">
        <v>72</v>
      </c>
      <c r="D392" s="15" t="s">
        <v>1712</v>
      </c>
      <c r="E392" s="15" t="s">
        <v>1713</v>
      </c>
      <c r="F392" s="15" t="s">
        <v>103</v>
      </c>
      <c r="G392" s="15" t="s">
        <v>28</v>
      </c>
      <c r="H392" s="15" t="s">
        <v>1714</v>
      </c>
      <c r="I392" s="15" t="s">
        <v>114</v>
      </c>
      <c r="J392" s="15" t="s">
        <v>106</v>
      </c>
      <c r="K392" s="15" t="s">
        <v>46</v>
      </c>
      <c r="L392" s="15" t="s">
        <v>78</v>
      </c>
      <c r="M392" s="15">
        <v>20</v>
      </c>
      <c r="N392" s="25">
        <v>1200</v>
      </c>
      <c r="O392" s="15">
        <v>15</v>
      </c>
      <c r="P392" s="25">
        <v>20400</v>
      </c>
      <c r="Q392" s="15">
        <v>4</v>
      </c>
      <c r="R392" s="15" t="s">
        <v>79</v>
      </c>
      <c r="S392" s="15" t="s">
        <v>35</v>
      </c>
      <c r="T392" s="15" t="s">
        <v>144</v>
      </c>
      <c r="U392" s="15">
        <v>9643440006</v>
      </c>
      <c r="V392" s="15" t="s">
        <v>64</v>
      </c>
      <c r="W392" s="29" t="str" cm="1">
        <f t="array" ref="W392">_xlfn.IFS(OR(V392="Cancelled", Q392&lt;=2), "Blacklisted", AND(P392&gt;=100000, Q392&gt;=4, O392&lt;=0.1, V392="Completed"), "Platinum", AND(P392&gt;=50000, P392&lt;=99999, Q392&gt;=3, V392="Completed"), "Gold", AND(Q392&lt;50000, V392="Completed"), "Silver", V392="Pending", "Pending")</f>
        <v>Pending</v>
      </c>
    </row>
    <row r="393" spans="1:23" x14ac:dyDescent="0.5">
      <c r="A393" s="17" t="s">
        <v>1716</v>
      </c>
      <c r="B393" s="17" t="s">
        <v>53</v>
      </c>
      <c r="C393" s="17" t="s">
        <v>222</v>
      </c>
      <c r="D393" s="17" t="s">
        <v>1717</v>
      </c>
      <c r="E393" s="17" t="s">
        <v>1718</v>
      </c>
      <c r="F393" s="15" t="s">
        <v>163</v>
      </c>
      <c r="G393" s="17" t="s">
        <v>28</v>
      </c>
      <c r="H393" s="17" t="s">
        <v>1719</v>
      </c>
      <c r="I393" s="17" t="s">
        <v>30</v>
      </c>
      <c r="J393" s="17" t="s">
        <v>31</v>
      </c>
      <c r="K393" s="17" t="s">
        <v>122</v>
      </c>
      <c r="L393" s="17" t="s">
        <v>227</v>
      </c>
      <c r="M393" s="17">
        <v>13</v>
      </c>
      <c r="N393" s="26">
        <v>20</v>
      </c>
      <c r="O393" s="17">
        <v>15</v>
      </c>
      <c r="P393" s="26">
        <v>221</v>
      </c>
      <c r="Q393" s="17">
        <v>4</v>
      </c>
      <c r="R393" s="17" t="s">
        <v>34</v>
      </c>
      <c r="S393" s="17" t="s">
        <v>35</v>
      </c>
      <c r="T393" s="17" t="s">
        <v>62</v>
      </c>
      <c r="U393" s="17">
        <v>9673698825</v>
      </c>
      <c r="V393" s="17" t="s">
        <v>64</v>
      </c>
      <c r="W393" s="29" t="str" cm="1">
        <f t="array" ref="W393">_xlfn.IFS(OR(V393="Cancelled", Q393&lt;=2), "Blacklisted", AND(P393&gt;=100000, Q393&gt;=4, O393&lt;=0.1, V393="Completed"), "Platinum", AND(P393&gt;=50000, P393&lt;=99999, Q393&gt;=3, V393="Completed"), "Gold", AND(Q393&lt;50000, V393="Completed"), "Silver", V393="Pending", "Pending")</f>
        <v>Pending</v>
      </c>
    </row>
    <row r="394" spans="1:23" x14ac:dyDescent="0.5">
      <c r="A394" s="15" t="s">
        <v>1721</v>
      </c>
      <c r="B394" s="15" t="s">
        <v>251</v>
      </c>
      <c r="C394" s="15" t="s">
        <v>72</v>
      </c>
      <c r="D394" s="15" t="s">
        <v>205</v>
      </c>
      <c r="E394" s="15" t="s">
        <v>206</v>
      </c>
      <c r="F394" s="15" t="s">
        <v>254</v>
      </c>
      <c r="G394" s="15" t="s">
        <v>28</v>
      </c>
      <c r="H394" s="15" t="s">
        <v>1722</v>
      </c>
      <c r="I394" s="15" t="s">
        <v>44</v>
      </c>
      <c r="J394" s="15" t="s">
        <v>45</v>
      </c>
      <c r="K394" s="15" t="s">
        <v>46</v>
      </c>
      <c r="L394" s="15" t="s">
        <v>78</v>
      </c>
      <c r="M394" s="15">
        <v>12</v>
      </c>
      <c r="N394" s="25">
        <v>1200</v>
      </c>
      <c r="O394" s="15">
        <v>10</v>
      </c>
      <c r="P394" s="25">
        <v>12960</v>
      </c>
      <c r="Q394" s="15">
        <v>3</v>
      </c>
      <c r="R394" s="15" t="s">
        <v>48</v>
      </c>
      <c r="S394" s="15" t="s">
        <v>35</v>
      </c>
      <c r="T394" s="15" t="s">
        <v>256</v>
      </c>
      <c r="U394" s="15">
        <v>9706238784</v>
      </c>
      <c r="V394" s="15" t="s">
        <v>64</v>
      </c>
      <c r="W394" s="29" t="str" cm="1">
        <f t="array" ref="W394">_xlfn.IFS(OR(V394="Cancelled", Q394&lt;=2), "Blacklisted", AND(P394&gt;=100000, Q394&gt;=4, O394&lt;=0.1, V394="Completed"), "Platinum", AND(P394&gt;=50000, P394&lt;=99999, Q394&gt;=3, V394="Completed"), "Gold", AND(Q394&lt;50000, V394="Completed"), "Silver", V394="Pending", "Pending")</f>
        <v>Pending</v>
      </c>
    </row>
    <row r="395" spans="1:23" x14ac:dyDescent="0.5">
      <c r="A395" s="17" t="s">
        <v>1724</v>
      </c>
      <c r="B395" s="17" t="s">
        <v>100</v>
      </c>
      <c r="C395" s="17" t="s">
        <v>169</v>
      </c>
      <c r="D395" s="17" t="s">
        <v>1705</v>
      </c>
      <c r="E395" s="17" t="s">
        <v>783</v>
      </c>
      <c r="F395" s="15" t="s">
        <v>103</v>
      </c>
      <c r="G395" s="17" t="s">
        <v>28</v>
      </c>
      <c r="H395" s="17" t="s">
        <v>1725</v>
      </c>
      <c r="I395" s="17" t="s">
        <v>294</v>
      </c>
      <c r="J395" s="17" t="s">
        <v>295</v>
      </c>
      <c r="K395" s="17" t="s">
        <v>32</v>
      </c>
      <c r="L395" s="17" t="s">
        <v>174</v>
      </c>
      <c r="M395" s="17">
        <v>6</v>
      </c>
      <c r="N395" s="26">
        <v>8500</v>
      </c>
      <c r="O395" s="17">
        <v>5</v>
      </c>
      <c r="P395" s="26">
        <v>48450</v>
      </c>
      <c r="Q395" s="17">
        <v>5</v>
      </c>
      <c r="R395" s="17" t="s">
        <v>34</v>
      </c>
      <c r="S395" s="17" t="s">
        <v>115</v>
      </c>
      <c r="T395" s="17" t="s">
        <v>144</v>
      </c>
      <c r="U395" s="17">
        <v>9132959877</v>
      </c>
      <c r="V395" s="17" t="s">
        <v>69</v>
      </c>
      <c r="W395" s="29" t="str" cm="1">
        <f t="array" ref="W395">_xlfn.IFS(OR(V395="Cancelled", Q395&lt;=2), "Blacklisted", AND(P395&gt;=100000, Q395&gt;=4, O395&lt;=0.1, V395="Completed"), "Platinum", AND(P395&gt;=50000, P395&lt;=99999, Q395&gt;=3, V395="Completed"), "Gold", AND(Q395&lt;50000, V395="Completed"), "Silver", V395="Pending", "Pending")</f>
        <v>Blacklisted</v>
      </c>
    </row>
    <row r="396" spans="1:23" x14ac:dyDescent="0.5">
      <c r="A396" s="15" t="s">
        <v>1727</v>
      </c>
      <c r="B396" s="15" t="s">
        <v>23</v>
      </c>
      <c r="C396" s="15" t="s">
        <v>169</v>
      </c>
      <c r="D396" s="15" t="s">
        <v>1302</v>
      </c>
      <c r="E396" s="15" t="s">
        <v>1728</v>
      </c>
      <c r="F396" s="15" t="s">
        <v>27</v>
      </c>
      <c r="G396" s="15" t="s">
        <v>28</v>
      </c>
      <c r="H396" s="15" t="s">
        <v>1729</v>
      </c>
      <c r="I396" s="15" t="s">
        <v>138</v>
      </c>
      <c r="J396" s="15" t="s">
        <v>106</v>
      </c>
      <c r="K396" s="15" t="s">
        <v>32</v>
      </c>
      <c r="L396" s="15" t="s">
        <v>174</v>
      </c>
      <c r="M396" s="15">
        <v>15</v>
      </c>
      <c r="N396" s="25">
        <v>8500</v>
      </c>
      <c r="O396" s="15">
        <v>10</v>
      </c>
      <c r="P396" s="25">
        <v>114750</v>
      </c>
      <c r="Q396" s="15">
        <v>1</v>
      </c>
      <c r="R396" s="15" t="s">
        <v>34</v>
      </c>
      <c r="S396" s="15" t="s">
        <v>115</v>
      </c>
      <c r="T396" s="15" t="s">
        <v>50</v>
      </c>
      <c r="U396" s="15">
        <v>9295011645</v>
      </c>
      <c r="V396" s="15" t="s">
        <v>38</v>
      </c>
      <c r="W396" s="29" t="str" cm="1">
        <f t="array" ref="W396">_xlfn.IFS(OR(V396="Cancelled", Q396&lt;=2), "Blacklisted", AND(P396&gt;=100000, Q396&gt;=4, O396&lt;=0.1, V396="Completed"), "Platinum", AND(P396&gt;=50000, P396&lt;=99999, Q396&gt;=3, V396="Completed"), "Gold", AND(Q396&lt;50000, V396="Completed"), "Silver", V396="Pending", "Pending")</f>
        <v>Blacklisted</v>
      </c>
    </row>
    <row r="397" spans="1:23" x14ac:dyDescent="0.5">
      <c r="A397" s="17" t="s">
        <v>1731</v>
      </c>
      <c r="B397" s="17" t="s">
        <v>127</v>
      </c>
      <c r="C397" s="17" t="s">
        <v>40</v>
      </c>
      <c r="D397" s="17" t="s">
        <v>1732</v>
      </c>
      <c r="E397" s="17" t="s">
        <v>1733</v>
      </c>
      <c r="F397" s="15" t="s">
        <v>200</v>
      </c>
      <c r="G397" s="17" t="s">
        <v>76</v>
      </c>
      <c r="H397" s="17" t="s">
        <v>1734</v>
      </c>
      <c r="I397" s="17" t="s">
        <v>30</v>
      </c>
      <c r="J397" s="17" t="s">
        <v>31</v>
      </c>
      <c r="K397" s="17" t="s">
        <v>46</v>
      </c>
      <c r="L397" s="17" t="s">
        <v>47</v>
      </c>
      <c r="M397" s="17">
        <v>19</v>
      </c>
      <c r="N397" s="26">
        <v>12000</v>
      </c>
      <c r="O397" s="17">
        <v>20</v>
      </c>
      <c r="P397" s="26">
        <v>182400</v>
      </c>
      <c r="Q397" s="17">
        <v>5</v>
      </c>
      <c r="R397" s="17" t="s">
        <v>34</v>
      </c>
      <c r="S397" s="17" t="s">
        <v>115</v>
      </c>
      <c r="T397" s="17" t="s">
        <v>132</v>
      </c>
      <c r="U397" s="17">
        <v>9677606427</v>
      </c>
      <c r="V397" s="17" t="s">
        <v>38</v>
      </c>
      <c r="W397" s="29" t="str" cm="1">
        <f t="array" ref="W397">_xlfn.IFS(OR(V397="Cancelled", Q397&lt;=2), "Blacklisted", AND(P397&gt;=100000, Q397&gt;=4, O397&lt;=0.1, V397="Completed"), "Platinum", AND(P397&gt;=50000, P397&lt;=99999, Q397&gt;=3, V397="Completed"), "Gold", AND(Q397&lt;50000, V397="Completed"), "Silver", V397="Pending", "Pending")</f>
        <v>Silver</v>
      </c>
    </row>
    <row r="398" spans="1:23" x14ac:dyDescent="0.5">
      <c r="A398" s="15" t="s">
        <v>1736</v>
      </c>
      <c r="B398" s="15" t="s">
        <v>83</v>
      </c>
      <c r="C398" s="15" t="s">
        <v>184</v>
      </c>
      <c r="D398" s="15" t="s">
        <v>142</v>
      </c>
      <c r="E398" s="15" t="s">
        <v>1737</v>
      </c>
      <c r="F398" s="15" t="s">
        <v>180</v>
      </c>
      <c r="G398" s="15" t="s">
        <v>76</v>
      </c>
      <c r="H398" s="15" t="s">
        <v>1738</v>
      </c>
      <c r="I398" s="15" t="s">
        <v>44</v>
      </c>
      <c r="J398" s="15" t="s">
        <v>45</v>
      </c>
      <c r="K398" s="15" t="s">
        <v>46</v>
      </c>
      <c r="L398" s="15" t="s">
        <v>189</v>
      </c>
      <c r="M398" s="15">
        <v>5</v>
      </c>
      <c r="N398" s="25">
        <v>700</v>
      </c>
      <c r="O398" s="15">
        <v>0</v>
      </c>
      <c r="P398" s="25">
        <v>3500</v>
      </c>
      <c r="Q398" s="15">
        <v>2</v>
      </c>
      <c r="R398" s="15" t="s">
        <v>79</v>
      </c>
      <c r="S398" s="15" t="s">
        <v>61</v>
      </c>
      <c r="T398" s="15" t="s">
        <v>89</v>
      </c>
      <c r="U398" s="15">
        <v>9161631566</v>
      </c>
      <c r="V398" s="15" t="s">
        <v>69</v>
      </c>
      <c r="W398" s="29" t="str" cm="1">
        <f t="array" ref="W398">_xlfn.IFS(OR(V398="Cancelled", Q398&lt;=2), "Blacklisted", AND(P398&gt;=100000, Q398&gt;=4, O398&lt;=0.1, V398="Completed"), "Platinum", AND(P398&gt;=50000, P398&lt;=99999, Q398&gt;=3, V398="Completed"), "Gold", AND(Q398&lt;50000, V398="Completed"), "Silver", V398="Pending", "Pending")</f>
        <v>Blacklisted</v>
      </c>
    </row>
    <row r="399" spans="1:23" x14ac:dyDescent="0.5">
      <c r="A399" s="17" t="s">
        <v>1740</v>
      </c>
      <c r="B399" s="17" t="s">
        <v>83</v>
      </c>
      <c r="C399" s="17" t="s">
        <v>40</v>
      </c>
      <c r="D399" s="17" t="s">
        <v>1654</v>
      </c>
      <c r="E399" s="17" t="s">
        <v>765</v>
      </c>
      <c r="F399" s="15" t="s">
        <v>180</v>
      </c>
      <c r="G399" s="17" t="s">
        <v>76</v>
      </c>
      <c r="H399" s="17" t="s">
        <v>1741</v>
      </c>
      <c r="I399" s="17" t="s">
        <v>294</v>
      </c>
      <c r="J399" s="17" t="s">
        <v>295</v>
      </c>
      <c r="K399" s="17" t="s">
        <v>46</v>
      </c>
      <c r="L399" s="17" t="s">
        <v>47</v>
      </c>
      <c r="M399" s="17">
        <v>19</v>
      </c>
      <c r="N399" s="26">
        <v>12000</v>
      </c>
      <c r="O399" s="17">
        <v>0</v>
      </c>
      <c r="P399" s="26">
        <v>228000</v>
      </c>
      <c r="Q399" s="17">
        <v>4</v>
      </c>
      <c r="R399" s="17" t="s">
        <v>88</v>
      </c>
      <c r="S399" s="17" t="s">
        <v>61</v>
      </c>
      <c r="T399" s="17" t="s">
        <v>89</v>
      </c>
      <c r="U399" s="17">
        <v>9136906750</v>
      </c>
      <c r="V399" s="17" t="s">
        <v>64</v>
      </c>
      <c r="W399" s="29" t="str" cm="1">
        <f t="array" ref="W399">_xlfn.IFS(OR(V399="Cancelled", Q399&lt;=2), "Blacklisted", AND(P399&gt;=100000, Q399&gt;=4, O399&lt;=0.1, V399="Completed"), "Platinum", AND(P399&gt;=50000, P399&lt;=99999, Q399&gt;=3, V399="Completed"), "Gold", AND(Q399&lt;50000, V399="Completed"), "Silver", V399="Pending", "Pending")</f>
        <v>Pending</v>
      </c>
    </row>
    <row r="400" spans="1:23" x14ac:dyDescent="0.5">
      <c r="A400" s="15" t="s">
        <v>1743</v>
      </c>
      <c r="B400" s="15" t="s">
        <v>327</v>
      </c>
      <c r="C400" s="15" t="s">
        <v>184</v>
      </c>
      <c r="D400" s="15" t="s">
        <v>2109</v>
      </c>
      <c r="E400" s="15" t="s">
        <v>1225</v>
      </c>
      <c r="F400" s="15" t="s">
        <v>394</v>
      </c>
      <c r="G400" s="15" t="s">
        <v>76</v>
      </c>
      <c r="H400" s="15" t="s">
        <v>1744</v>
      </c>
      <c r="I400" s="15" t="s">
        <v>59</v>
      </c>
      <c r="J400" s="15" t="s">
        <v>31</v>
      </c>
      <c r="K400" s="15" t="s">
        <v>46</v>
      </c>
      <c r="L400" s="15" t="s">
        <v>189</v>
      </c>
      <c r="M400" s="15">
        <v>12</v>
      </c>
      <c r="N400" s="25">
        <v>700</v>
      </c>
      <c r="O400" s="15">
        <v>15</v>
      </c>
      <c r="P400" s="25">
        <v>7140</v>
      </c>
      <c r="Q400" s="15">
        <v>3</v>
      </c>
      <c r="R400" s="15" t="s">
        <v>79</v>
      </c>
      <c r="S400" s="15" t="s">
        <v>35</v>
      </c>
      <c r="T400" s="15" t="s">
        <v>332</v>
      </c>
      <c r="U400" s="15">
        <v>9485286324</v>
      </c>
      <c r="V400" s="15" t="s">
        <v>38</v>
      </c>
      <c r="W400" s="29" t="str" cm="1">
        <f t="array" ref="W400">_xlfn.IFS(OR(V400="Cancelled", Q400&lt;=2), "Blacklisted", AND(P400&gt;=100000, Q400&gt;=4, O400&lt;=0.1, V400="Completed"), "Platinum", AND(P400&gt;=50000, P400&lt;=99999, Q400&gt;=3, V400="Completed"), "Gold", AND(Q400&lt;50000, V400="Completed"), "Silver", V400="Pending", "Pending")</f>
        <v>Silver</v>
      </c>
    </row>
    <row r="401" spans="1:23" x14ac:dyDescent="0.5">
      <c r="A401" s="17" t="s">
        <v>1746</v>
      </c>
      <c r="B401" s="17" t="s">
        <v>23</v>
      </c>
      <c r="C401" s="17" t="s">
        <v>72</v>
      </c>
      <c r="D401" s="17" t="s">
        <v>1747</v>
      </c>
      <c r="E401" s="17" t="s">
        <v>707</v>
      </c>
      <c r="F401" s="15" t="s">
        <v>27</v>
      </c>
      <c r="G401" s="17" t="s">
        <v>28</v>
      </c>
      <c r="H401" s="17" t="s">
        <v>1748</v>
      </c>
      <c r="I401" s="17" t="s">
        <v>44</v>
      </c>
      <c r="J401" s="17" t="s">
        <v>45</v>
      </c>
      <c r="K401" s="17" t="s">
        <v>46</v>
      </c>
      <c r="L401" s="17" t="s">
        <v>78</v>
      </c>
      <c r="M401" s="17">
        <v>16</v>
      </c>
      <c r="N401" s="26">
        <v>1200</v>
      </c>
      <c r="O401" s="17">
        <v>20</v>
      </c>
      <c r="P401" s="26">
        <v>15360</v>
      </c>
      <c r="Q401" s="17">
        <v>1</v>
      </c>
      <c r="R401" s="17" t="s">
        <v>34</v>
      </c>
      <c r="S401" s="17" t="s">
        <v>49</v>
      </c>
      <c r="T401" s="17" t="s">
        <v>50</v>
      </c>
      <c r="U401" s="17">
        <v>9414633966</v>
      </c>
      <c r="V401" s="17" t="s">
        <v>64</v>
      </c>
      <c r="W401" s="29" t="str" cm="1">
        <f t="array" ref="W401">_xlfn.IFS(OR(V401="Cancelled", Q401&lt;=2), "Blacklisted", AND(P401&gt;=100000, Q401&gt;=4, O401&lt;=0.1, V401="Completed"), "Platinum", AND(P401&gt;=50000, P401&lt;=99999, Q401&gt;=3, V401="Completed"), "Gold", AND(Q401&lt;50000, V401="Completed"), "Silver", V401="Pending", "Pending")</f>
        <v>Blacklisted</v>
      </c>
    </row>
    <row r="402" spans="1:23" x14ac:dyDescent="0.5">
      <c r="A402" s="15" t="s">
        <v>1750</v>
      </c>
      <c r="B402" s="15" t="s">
        <v>71</v>
      </c>
      <c r="C402" s="15" t="s">
        <v>169</v>
      </c>
      <c r="D402" s="15" t="s">
        <v>1052</v>
      </c>
      <c r="E402" s="15" t="s">
        <v>84</v>
      </c>
      <c r="F402" s="15" t="s">
        <v>217</v>
      </c>
      <c r="G402" s="15" t="s">
        <v>76</v>
      </c>
      <c r="H402" s="15" t="s">
        <v>1751</v>
      </c>
      <c r="I402" s="15" t="s">
        <v>30</v>
      </c>
      <c r="J402" s="15" t="s">
        <v>31</v>
      </c>
      <c r="K402" s="15" t="s">
        <v>32</v>
      </c>
      <c r="L402" s="15" t="s">
        <v>174</v>
      </c>
      <c r="M402" s="15">
        <v>10</v>
      </c>
      <c r="N402" s="25">
        <v>8500</v>
      </c>
      <c r="O402" s="15">
        <v>5</v>
      </c>
      <c r="P402" s="25">
        <v>80750</v>
      </c>
      <c r="Q402" s="15">
        <v>5</v>
      </c>
      <c r="R402" s="15" t="s">
        <v>48</v>
      </c>
      <c r="S402" s="15" t="s">
        <v>35</v>
      </c>
      <c r="T402" s="15" t="s">
        <v>80</v>
      </c>
      <c r="U402" s="15">
        <v>9833735234</v>
      </c>
      <c r="V402" s="15" t="s">
        <v>38</v>
      </c>
      <c r="W402" s="29" t="str" cm="1">
        <f t="array" ref="W402">_xlfn.IFS(OR(V402="Cancelled", Q402&lt;=2), "Blacklisted", AND(P402&gt;=100000, Q402&gt;=4, O402&lt;=0.1, V402="Completed"), "Platinum", AND(P402&gt;=50000, P402&lt;=99999, Q402&gt;=3, V402="Completed"), "Gold", AND(Q402&lt;50000, V402="Completed"), "Silver", V402="Pending", "Pending")</f>
        <v>Gold</v>
      </c>
    </row>
    <row r="403" spans="1:23" x14ac:dyDescent="0.5">
      <c r="A403" s="17" t="s">
        <v>1753</v>
      </c>
      <c r="B403" s="17" t="s">
        <v>23</v>
      </c>
      <c r="C403" s="17" t="s">
        <v>222</v>
      </c>
      <c r="D403" s="17" t="s">
        <v>1373</v>
      </c>
      <c r="E403" s="17" t="s">
        <v>386</v>
      </c>
      <c r="F403" s="15" t="s">
        <v>27</v>
      </c>
      <c r="G403" s="17" t="s">
        <v>28</v>
      </c>
      <c r="H403" s="17" t="s">
        <v>1754</v>
      </c>
      <c r="I403" s="17" t="s">
        <v>138</v>
      </c>
      <c r="J403" s="17" t="s">
        <v>106</v>
      </c>
      <c r="K403" s="17" t="s">
        <v>122</v>
      </c>
      <c r="L403" s="17" t="s">
        <v>227</v>
      </c>
      <c r="M403" s="17">
        <v>18</v>
      </c>
      <c r="N403" s="26">
        <v>20</v>
      </c>
      <c r="O403" s="17">
        <v>20</v>
      </c>
      <c r="P403" s="26">
        <v>288</v>
      </c>
      <c r="Q403" s="17">
        <v>1</v>
      </c>
      <c r="R403" s="17" t="s">
        <v>88</v>
      </c>
      <c r="S403" s="17" t="s">
        <v>35</v>
      </c>
      <c r="T403" s="17" t="s">
        <v>50</v>
      </c>
      <c r="U403" s="17">
        <v>9523689108</v>
      </c>
      <c r="V403" s="17" t="s">
        <v>64</v>
      </c>
      <c r="W403" s="29" t="str" cm="1">
        <f t="array" ref="W403">_xlfn.IFS(OR(V403="Cancelled", Q403&lt;=2), "Blacklisted", AND(P403&gt;=100000, Q403&gt;=4, O403&lt;=0.1, V403="Completed"), "Platinum", AND(P403&gt;=50000, P403&lt;=99999, Q403&gt;=3, V403="Completed"), "Gold", AND(Q403&lt;50000, V403="Completed"), "Silver", V403="Pending", "Pending")</f>
        <v>Blacklisted</v>
      </c>
    </row>
    <row r="404" spans="1:23" x14ac:dyDescent="0.5">
      <c r="A404" s="15" t="s">
        <v>1756</v>
      </c>
      <c r="B404" s="15" t="s">
        <v>71</v>
      </c>
      <c r="C404" s="15" t="s">
        <v>169</v>
      </c>
      <c r="D404" s="15" t="s">
        <v>241</v>
      </c>
      <c r="E404" s="15" t="s">
        <v>404</v>
      </c>
      <c r="F404" s="15" t="s">
        <v>217</v>
      </c>
      <c r="G404" s="15" t="s">
        <v>76</v>
      </c>
      <c r="H404" s="15" t="s">
        <v>1757</v>
      </c>
      <c r="I404" s="15" t="s">
        <v>105</v>
      </c>
      <c r="J404" s="15" t="s">
        <v>106</v>
      </c>
      <c r="K404" s="15" t="s">
        <v>32</v>
      </c>
      <c r="L404" s="15" t="s">
        <v>174</v>
      </c>
      <c r="M404" s="15">
        <v>9</v>
      </c>
      <c r="N404" s="25">
        <v>8500</v>
      </c>
      <c r="O404" s="15">
        <v>0</v>
      </c>
      <c r="P404" s="25">
        <v>76500</v>
      </c>
      <c r="Q404" s="15">
        <v>2</v>
      </c>
      <c r="R404" s="15" t="s">
        <v>79</v>
      </c>
      <c r="S404" s="15" t="s">
        <v>35</v>
      </c>
      <c r="T404" s="15" t="s">
        <v>80</v>
      </c>
      <c r="U404" s="15">
        <v>9812909831</v>
      </c>
      <c r="V404" s="15" t="s">
        <v>64</v>
      </c>
      <c r="W404" s="29" t="str" cm="1">
        <f t="array" ref="W404">_xlfn.IFS(OR(V404="Cancelled", Q404&lt;=2), "Blacklisted", AND(P404&gt;=100000, Q404&gt;=4, O404&lt;=0.1, V404="Completed"), "Platinum", AND(P404&gt;=50000, P404&lt;=99999, Q404&gt;=3, V404="Completed"), "Gold", AND(Q404&lt;50000, V404="Completed"), "Silver", V404="Pending", "Pending")</f>
        <v>Blacklisted</v>
      </c>
    </row>
    <row r="405" spans="1:23" x14ac:dyDescent="0.5">
      <c r="A405" s="17" t="s">
        <v>1759</v>
      </c>
      <c r="B405" s="17" t="s">
        <v>23</v>
      </c>
      <c r="C405" s="17" t="s">
        <v>169</v>
      </c>
      <c r="D405" s="17" t="s">
        <v>1221</v>
      </c>
      <c r="E405" s="17" t="s">
        <v>1760</v>
      </c>
      <c r="F405" s="15" t="s">
        <v>27</v>
      </c>
      <c r="G405" s="17" t="s">
        <v>28</v>
      </c>
      <c r="H405" s="17" t="s">
        <v>1761</v>
      </c>
      <c r="I405" s="17" t="s">
        <v>105</v>
      </c>
      <c r="J405" s="17" t="s">
        <v>106</v>
      </c>
      <c r="K405" s="17" t="s">
        <v>32</v>
      </c>
      <c r="L405" s="17" t="s">
        <v>174</v>
      </c>
      <c r="M405" s="17">
        <v>8</v>
      </c>
      <c r="N405" s="26">
        <v>8500</v>
      </c>
      <c r="O405" s="17">
        <v>10</v>
      </c>
      <c r="P405" s="26">
        <v>61200</v>
      </c>
      <c r="Q405" s="17">
        <v>4</v>
      </c>
      <c r="R405" s="17" t="s">
        <v>34</v>
      </c>
      <c r="S405" s="17" t="s">
        <v>115</v>
      </c>
      <c r="T405" s="17" t="s">
        <v>50</v>
      </c>
      <c r="U405" s="17">
        <v>9106290987</v>
      </c>
      <c r="V405" s="17" t="s">
        <v>69</v>
      </c>
      <c r="W405" s="29" t="str" cm="1">
        <f t="array" ref="W405">_xlfn.IFS(OR(V405="Cancelled", Q405&lt;=2), "Blacklisted", AND(P405&gt;=100000, Q405&gt;=4, O405&lt;=0.1, V405="Completed"), "Platinum", AND(P405&gt;=50000, P405&lt;=99999, Q405&gt;=3, V405="Completed"), "Gold", AND(Q405&lt;50000, V405="Completed"), "Silver", V405="Pending", "Pending")</f>
        <v>Blacklisted</v>
      </c>
    </row>
    <row r="406" spans="1:23" x14ac:dyDescent="0.5">
      <c r="A406" s="15" t="s">
        <v>1763</v>
      </c>
      <c r="B406" s="15" t="s">
        <v>53</v>
      </c>
      <c r="C406" s="15" t="s">
        <v>222</v>
      </c>
      <c r="D406" s="15" t="s">
        <v>483</v>
      </c>
      <c r="E406" s="15" t="s">
        <v>1764</v>
      </c>
      <c r="F406" s="15" t="s">
        <v>163</v>
      </c>
      <c r="G406" s="15" t="s">
        <v>28</v>
      </c>
      <c r="H406" s="15" t="s">
        <v>1765</v>
      </c>
      <c r="I406" s="15" t="s">
        <v>114</v>
      </c>
      <c r="J406" s="15" t="s">
        <v>106</v>
      </c>
      <c r="K406" s="15" t="s">
        <v>122</v>
      </c>
      <c r="L406" s="15" t="s">
        <v>227</v>
      </c>
      <c r="M406" s="15">
        <v>3</v>
      </c>
      <c r="N406" s="25">
        <v>20</v>
      </c>
      <c r="O406" s="15">
        <v>10</v>
      </c>
      <c r="P406" s="25">
        <v>54</v>
      </c>
      <c r="Q406" s="15">
        <v>3</v>
      </c>
      <c r="R406" s="15" t="s">
        <v>79</v>
      </c>
      <c r="S406" s="15" t="s">
        <v>151</v>
      </c>
      <c r="T406" s="15" t="s">
        <v>62</v>
      </c>
      <c r="U406" s="15">
        <v>9767727724</v>
      </c>
      <c r="V406" s="15" t="s">
        <v>64</v>
      </c>
      <c r="W406" s="29" t="str" cm="1">
        <f t="array" ref="W406">_xlfn.IFS(OR(V406="Cancelled", Q406&lt;=2), "Blacklisted", AND(P406&gt;=100000, Q406&gt;=4, O406&lt;=0.1, V406="Completed"), "Platinum", AND(P406&gt;=50000, P406&lt;=99999, Q406&gt;=3, V406="Completed"), "Gold", AND(Q406&lt;50000, V406="Completed"), "Silver", V406="Pending", "Pending")</f>
        <v>Pending</v>
      </c>
    </row>
    <row r="407" spans="1:23" x14ac:dyDescent="0.5">
      <c r="A407" s="17" t="s">
        <v>1767</v>
      </c>
      <c r="B407" s="17" t="s">
        <v>168</v>
      </c>
      <c r="C407" s="17" t="s">
        <v>169</v>
      </c>
      <c r="D407" s="17" t="s">
        <v>232</v>
      </c>
      <c r="E407" s="17" t="s">
        <v>641</v>
      </c>
      <c r="F407" s="15" t="s">
        <v>361</v>
      </c>
      <c r="G407" s="17" t="s">
        <v>28</v>
      </c>
      <c r="H407" s="17" t="s">
        <v>1768</v>
      </c>
      <c r="I407" s="17" t="s">
        <v>294</v>
      </c>
      <c r="J407" s="17" t="s">
        <v>295</v>
      </c>
      <c r="K407" s="17" t="s">
        <v>32</v>
      </c>
      <c r="L407" s="17" t="s">
        <v>174</v>
      </c>
      <c r="M407" s="17">
        <v>18</v>
      </c>
      <c r="N407" s="26">
        <v>8500</v>
      </c>
      <c r="O407" s="17">
        <v>10</v>
      </c>
      <c r="P407" s="26">
        <v>137700</v>
      </c>
      <c r="Q407" s="17">
        <v>4</v>
      </c>
      <c r="R407" s="17" t="s">
        <v>34</v>
      </c>
      <c r="S407" s="17" t="s">
        <v>49</v>
      </c>
      <c r="T407" s="17" t="s">
        <v>175</v>
      </c>
      <c r="U407" s="17">
        <v>9865401727</v>
      </c>
      <c r="V407" s="17" t="s">
        <v>69</v>
      </c>
      <c r="W407" s="29" t="str" cm="1">
        <f t="array" ref="W407">_xlfn.IFS(OR(V407="Cancelled", Q407&lt;=2), "Blacklisted", AND(P407&gt;=100000, Q407&gt;=4, O407&lt;=0.1, V407="Completed"), "Platinum", AND(P407&gt;=50000, P407&lt;=99999, Q407&gt;=3, V407="Completed"), "Gold", AND(Q407&lt;50000, V407="Completed"), "Silver", V407="Pending", "Pending")</f>
        <v>Blacklisted</v>
      </c>
    </row>
    <row r="408" spans="1:23" x14ac:dyDescent="0.5">
      <c r="A408" s="15" t="s">
        <v>1770</v>
      </c>
      <c r="B408" s="15" t="s">
        <v>53</v>
      </c>
      <c r="C408" s="15" t="s">
        <v>259</v>
      </c>
      <c r="D408" s="15" t="s">
        <v>308</v>
      </c>
      <c r="E408" s="15" t="s">
        <v>281</v>
      </c>
      <c r="F408" s="15" t="s">
        <v>163</v>
      </c>
      <c r="G408" s="15" t="s">
        <v>28</v>
      </c>
      <c r="H408" s="15" t="s">
        <v>1771</v>
      </c>
      <c r="I408" s="15" t="s">
        <v>114</v>
      </c>
      <c r="J408" s="15" t="s">
        <v>106</v>
      </c>
      <c r="K408" s="15" t="s">
        <v>122</v>
      </c>
      <c r="L408" s="15" t="s">
        <v>263</v>
      </c>
      <c r="M408" s="15">
        <v>5</v>
      </c>
      <c r="N408" s="25">
        <v>45</v>
      </c>
      <c r="O408" s="15">
        <v>10</v>
      </c>
      <c r="P408" s="25">
        <v>202.5</v>
      </c>
      <c r="Q408" s="15">
        <v>3</v>
      </c>
      <c r="R408" s="15" t="s">
        <v>34</v>
      </c>
      <c r="S408" s="15" t="s">
        <v>115</v>
      </c>
      <c r="T408" s="15" t="s">
        <v>62</v>
      </c>
      <c r="U408" s="15">
        <v>9603848571</v>
      </c>
      <c r="V408" s="15" t="s">
        <v>64</v>
      </c>
      <c r="W408" s="29" t="str" cm="1">
        <f t="array" ref="W408">_xlfn.IFS(OR(V408="Cancelled", Q408&lt;=2), "Blacklisted", AND(P408&gt;=100000, Q408&gt;=4, O408&lt;=0.1, V408="Completed"), "Platinum", AND(P408&gt;=50000, P408&lt;=99999, Q408&gt;=3, V408="Completed"), "Gold", AND(Q408&lt;50000, V408="Completed"), "Silver", V408="Pending", "Pending")</f>
        <v>Pending</v>
      </c>
    </row>
    <row r="409" spans="1:23" x14ac:dyDescent="0.5">
      <c r="A409" s="17" t="s">
        <v>1773</v>
      </c>
      <c r="B409" s="17" t="s">
        <v>71</v>
      </c>
      <c r="C409" s="17" t="s">
        <v>259</v>
      </c>
      <c r="D409" s="17" t="s">
        <v>683</v>
      </c>
      <c r="E409" s="17" t="s">
        <v>684</v>
      </c>
      <c r="F409" s="15" t="s">
        <v>217</v>
      </c>
      <c r="G409" s="17" t="s">
        <v>76</v>
      </c>
      <c r="H409" s="17" t="s">
        <v>1774</v>
      </c>
      <c r="I409" s="17" t="s">
        <v>105</v>
      </c>
      <c r="J409" s="17" t="s">
        <v>106</v>
      </c>
      <c r="K409" s="17" t="s">
        <v>122</v>
      </c>
      <c r="L409" s="17" t="s">
        <v>263</v>
      </c>
      <c r="M409" s="17">
        <v>2</v>
      </c>
      <c r="N409" s="26">
        <v>45</v>
      </c>
      <c r="O409" s="17">
        <v>20</v>
      </c>
      <c r="P409" s="26">
        <v>72</v>
      </c>
      <c r="Q409" s="17">
        <v>5</v>
      </c>
      <c r="R409" s="17" t="s">
        <v>88</v>
      </c>
      <c r="S409" s="17" t="s">
        <v>61</v>
      </c>
      <c r="T409" s="17" t="s">
        <v>80</v>
      </c>
      <c r="U409" s="17">
        <v>9101231789</v>
      </c>
      <c r="V409" s="17" t="s">
        <v>69</v>
      </c>
      <c r="W409" s="29" t="str" cm="1">
        <f t="array" ref="W409">_xlfn.IFS(OR(V409="Cancelled", Q409&lt;=2), "Blacklisted", AND(P409&gt;=100000, Q409&gt;=4, O409&lt;=0.1, V409="Completed"), "Platinum", AND(P409&gt;=50000, P409&lt;=99999, Q409&gt;=3, V409="Completed"), "Gold", AND(Q409&lt;50000, V409="Completed"), "Silver", V409="Pending", "Pending")</f>
        <v>Blacklisted</v>
      </c>
    </row>
    <row r="410" spans="1:23" x14ac:dyDescent="0.5">
      <c r="A410" s="15" t="s">
        <v>1776</v>
      </c>
      <c r="B410" s="15" t="s">
        <v>100</v>
      </c>
      <c r="C410" s="15" t="s">
        <v>259</v>
      </c>
      <c r="D410" s="15" t="s">
        <v>1379</v>
      </c>
      <c r="E410" s="15" t="s">
        <v>900</v>
      </c>
      <c r="F410" s="15" t="s">
        <v>103</v>
      </c>
      <c r="G410" s="15" t="s">
        <v>28</v>
      </c>
      <c r="H410" s="15" t="s">
        <v>1777</v>
      </c>
      <c r="I410" s="15" t="s">
        <v>30</v>
      </c>
      <c r="J410" s="15" t="s">
        <v>31</v>
      </c>
      <c r="K410" s="15" t="s">
        <v>122</v>
      </c>
      <c r="L410" s="15" t="s">
        <v>263</v>
      </c>
      <c r="M410" s="15">
        <v>18</v>
      </c>
      <c r="N410" s="25">
        <v>45</v>
      </c>
      <c r="O410" s="15">
        <v>10</v>
      </c>
      <c r="P410" s="25">
        <v>729</v>
      </c>
      <c r="Q410" s="15">
        <v>2</v>
      </c>
      <c r="R410" s="15" t="s">
        <v>48</v>
      </c>
      <c r="S410" s="15" t="s">
        <v>115</v>
      </c>
      <c r="T410" s="15" t="s">
        <v>144</v>
      </c>
      <c r="U410" s="15">
        <v>9485017802</v>
      </c>
      <c r="V410" s="15" t="s">
        <v>64</v>
      </c>
      <c r="W410" s="29" t="str" cm="1">
        <f t="array" ref="W410">_xlfn.IFS(OR(V410="Cancelled", Q410&lt;=2), "Blacklisted", AND(P410&gt;=100000, Q410&gt;=4, O410&lt;=0.1, V410="Completed"), "Platinum", AND(P410&gt;=50000, P410&lt;=99999, Q410&gt;=3, V410="Completed"), "Gold", AND(Q410&lt;50000, V410="Completed"), "Silver", V410="Pending", "Pending")</f>
        <v>Blacklisted</v>
      </c>
    </row>
    <row r="411" spans="1:23" x14ac:dyDescent="0.5">
      <c r="A411" s="17" t="s">
        <v>1779</v>
      </c>
      <c r="B411" s="17" t="s">
        <v>127</v>
      </c>
      <c r="C411" s="17" t="s">
        <v>72</v>
      </c>
      <c r="D411" s="17" t="s">
        <v>463</v>
      </c>
      <c r="E411" s="17" t="s">
        <v>216</v>
      </c>
      <c r="F411" s="15" t="s">
        <v>200</v>
      </c>
      <c r="G411" s="17" t="s">
        <v>76</v>
      </c>
      <c r="H411" s="17" t="s">
        <v>1780</v>
      </c>
      <c r="I411" s="17" t="s">
        <v>294</v>
      </c>
      <c r="J411" s="17" t="s">
        <v>295</v>
      </c>
      <c r="K411" s="17" t="s">
        <v>46</v>
      </c>
      <c r="L411" s="17" t="s">
        <v>78</v>
      </c>
      <c r="M411" s="17">
        <v>13</v>
      </c>
      <c r="N411" s="26">
        <v>1200</v>
      </c>
      <c r="O411" s="17">
        <v>5</v>
      </c>
      <c r="P411" s="26">
        <v>14820</v>
      </c>
      <c r="Q411" s="17">
        <v>4</v>
      </c>
      <c r="R411" s="17" t="s">
        <v>79</v>
      </c>
      <c r="S411" s="17" t="s">
        <v>115</v>
      </c>
      <c r="T411" s="17" t="s">
        <v>132</v>
      </c>
      <c r="U411" s="17">
        <v>9815464650</v>
      </c>
      <c r="V411" s="17" t="s">
        <v>38</v>
      </c>
      <c r="W411" s="29" t="str" cm="1">
        <f t="array" ref="W411">_xlfn.IFS(OR(V411="Cancelled", Q411&lt;=2), "Blacklisted", AND(P411&gt;=100000, Q411&gt;=4, O411&lt;=0.1, V411="Completed"), "Platinum", AND(P411&gt;=50000, P411&lt;=99999, Q411&gt;=3, V411="Completed"), "Gold", AND(Q411&lt;50000, V411="Completed"), "Silver", V411="Pending", "Pending")</f>
        <v>Silver</v>
      </c>
    </row>
    <row r="412" spans="1:23" x14ac:dyDescent="0.5">
      <c r="A412" s="15" t="s">
        <v>1782</v>
      </c>
      <c r="B412" s="15" t="s">
        <v>23</v>
      </c>
      <c r="C412" s="15" t="s">
        <v>222</v>
      </c>
      <c r="D412" s="15" t="s">
        <v>1344</v>
      </c>
      <c r="E412" s="15" t="s">
        <v>1783</v>
      </c>
      <c r="F412" s="15" t="s">
        <v>27</v>
      </c>
      <c r="G412" s="15" t="s">
        <v>28</v>
      </c>
      <c r="H412" s="15" t="s">
        <v>1784</v>
      </c>
      <c r="I412" s="15" t="s">
        <v>30</v>
      </c>
      <c r="J412" s="15" t="s">
        <v>31</v>
      </c>
      <c r="K412" s="15" t="s">
        <v>122</v>
      </c>
      <c r="L412" s="15" t="s">
        <v>227</v>
      </c>
      <c r="M412" s="15">
        <v>14</v>
      </c>
      <c r="N412" s="25">
        <v>20</v>
      </c>
      <c r="O412" s="15">
        <v>20</v>
      </c>
      <c r="P412" s="25">
        <v>224</v>
      </c>
      <c r="Q412" s="15">
        <v>5</v>
      </c>
      <c r="R412" s="15" t="s">
        <v>88</v>
      </c>
      <c r="S412" s="15" t="s">
        <v>49</v>
      </c>
      <c r="T412" s="15" t="s">
        <v>50</v>
      </c>
      <c r="U412" s="15">
        <v>9860715839</v>
      </c>
      <c r="V412" s="15" t="s">
        <v>64</v>
      </c>
      <c r="W412" s="29" t="str" cm="1">
        <f t="array" ref="W412">_xlfn.IFS(OR(V412="Cancelled", Q412&lt;=2), "Blacklisted", AND(P412&gt;=100000, Q412&gt;=4, O412&lt;=0.1, V412="Completed"), "Platinum", AND(P412&gt;=50000, P412&lt;=99999, Q412&gt;=3, V412="Completed"), "Gold", AND(Q412&lt;50000, V412="Completed"), "Silver", V412="Pending", "Pending")</f>
        <v>Pending</v>
      </c>
    </row>
    <row r="413" spans="1:23" x14ac:dyDescent="0.5">
      <c r="A413" s="17" t="s">
        <v>1786</v>
      </c>
      <c r="B413" s="17" t="s">
        <v>100</v>
      </c>
      <c r="C413" s="17" t="s">
        <v>92</v>
      </c>
      <c r="D413" s="17" t="s">
        <v>1787</v>
      </c>
      <c r="E413" s="17" t="s">
        <v>1689</v>
      </c>
      <c r="F413" s="15" t="s">
        <v>103</v>
      </c>
      <c r="G413" s="17" t="s">
        <v>28</v>
      </c>
      <c r="H413" s="17" t="s">
        <v>1788</v>
      </c>
      <c r="I413" s="17" t="s">
        <v>30</v>
      </c>
      <c r="J413" s="17" t="s">
        <v>31</v>
      </c>
      <c r="K413" s="17" t="s">
        <v>32</v>
      </c>
      <c r="L413" s="17" t="s">
        <v>97</v>
      </c>
      <c r="M413" s="17">
        <v>16</v>
      </c>
      <c r="N413" s="26">
        <v>3500</v>
      </c>
      <c r="O413" s="17">
        <v>15</v>
      </c>
      <c r="P413" s="26">
        <v>47600</v>
      </c>
      <c r="Q413" s="17">
        <v>3</v>
      </c>
      <c r="R413" s="17" t="s">
        <v>88</v>
      </c>
      <c r="S413" s="17" t="s">
        <v>61</v>
      </c>
      <c r="T413" s="17" t="s">
        <v>144</v>
      </c>
      <c r="U413" s="17">
        <v>9207561051</v>
      </c>
      <c r="V413" s="17" t="s">
        <v>69</v>
      </c>
      <c r="W413" s="29" t="str" cm="1">
        <f t="array" ref="W413">_xlfn.IFS(OR(V413="Cancelled", Q413&lt;=2), "Blacklisted", AND(P413&gt;=100000, Q413&gt;=4, O413&lt;=0.1, V413="Completed"), "Platinum", AND(P413&gt;=50000, P413&lt;=99999, Q413&gt;=3, V413="Completed"), "Gold", AND(Q413&lt;50000, V413="Completed"), "Silver", V413="Pending", "Pending")</f>
        <v>Blacklisted</v>
      </c>
    </row>
    <row r="414" spans="1:23" x14ac:dyDescent="0.5">
      <c r="A414" s="15" t="s">
        <v>1790</v>
      </c>
      <c r="B414" s="15" t="s">
        <v>251</v>
      </c>
      <c r="C414" s="15" t="s">
        <v>222</v>
      </c>
      <c r="D414" s="15" t="s">
        <v>987</v>
      </c>
      <c r="E414" s="15" t="s">
        <v>1110</v>
      </c>
      <c r="F414" s="15" t="s">
        <v>254</v>
      </c>
      <c r="G414" s="15" t="s">
        <v>28</v>
      </c>
      <c r="H414" s="15" t="s">
        <v>1791</v>
      </c>
      <c r="I414" s="15" t="s">
        <v>59</v>
      </c>
      <c r="J414" s="15" t="s">
        <v>31</v>
      </c>
      <c r="K414" s="15" t="s">
        <v>122</v>
      </c>
      <c r="L414" s="15" t="s">
        <v>227</v>
      </c>
      <c r="M414" s="15">
        <v>20</v>
      </c>
      <c r="N414" s="25">
        <v>20</v>
      </c>
      <c r="O414" s="15">
        <v>15</v>
      </c>
      <c r="P414" s="25">
        <v>340</v>
      </c>
      <c r="Q414" s="15">
        <v>1</v>
      </c>
      <c r="R414" s="15" t="s">
        <v>48</v>
      </c>
      <c r="S414" s="15" t="s">
        <v>61</v>
      </c>
      <c r="T414" s="15" t="s">
        <v>256</v>
      </c>
      <c r="U414" s="15">
        <v>9159894508</v>
      </c>
      <c r="V414" s="15" t="s">
        <v>69</v>
      </c>
      <c r="W414" s="29" t="str" cm="1">
        <f t="array" ref="W414">_xlfn.IFS(OR(V414="Cancelled", Q414&lt;=2), "Blacklisted", AND(P414&gt;=100000, Q414&gt;=4, O414&lt;=0.1, V414="Completed"), "Platinum", AND(P414&gt;=50000, P414&lt;=99999, Q414&gt;=3, V414="Completed"), "Gold", AND(Q414&lt;50000, V414="Completed"), "Silver", V414="Pending", "Pending")</f>
        <v>Blacklisted</v>
      </c>
    </row>
    <row r="415" spans="1:23" x14ac:dyDescent="0.5">
      <c r="A415" s="17" t="s">
        <v>1793</v>
      </c>
      <c r="B415" s="17" t="s">
        <v>168</v>
      </c>
      <c r="C415" s="17" t="s">
        <v>54</v>
      </c>
      <c r="D415" s="17" t="s">
        <v>652</v>
      </c>
      <c r="E415" s="17" t="s">
        <v>666</v>
      </c>
      <c r="F415" s="15" t="s">
        <v>361</v>
      </c>
      <c r="G415" s="17" t="s">
        <v>28</v>
      </c>
      <c r="H415" s="17" t="s">
        <v>1794</v>
      </c>
      <c r="I415" s="17" t="s">
        <v>138</v>
      </c>
      <c r="J415" s="17" t="s">
        <v>106</v>
      </c>
      <c r="K415" s="17" t="s">
        <v>46</v>
      </c>
      <c r="L415" s="17" t="s">
        <v>60</v>
      </c>
      <c r="M415" s="17">
        <v>1</v>
      </c>
      <c r="N415" s="26">
        <v>55000</v>
      </c>
      <c r="O415" s="17">
        <v>15</v>
      </c>
      <c r="P415" s="26">
        <v>46750</v>
      </c>
      <c r="Q415" s="17">
        <v>2</v>
      </c>
      <c r="R415" s="17" t="s">
        <v>88</v>
      </c>
      <c r="S415" s="17" t="s">
        <v>115</v>
      </c>
      <c r="T415" s="17" t="s">
        <v>175</v>
      </c>
      <c r="U415" s="17">
        <v>9531465024</v>
      </c>
      <c r="V415" s="17" t="s">
        <v>69</v>
      </c>
      <c r="W415" s="29" t="str" cm="1">
        <f t="array" ref="W415">_xlfn.IFS(OR(V415="Cancelled", Q415&lt;=2), "Blacklisted", AND(P415&gt;=100000, Q415&gt;=4, O415&lt;=0.1, V415="Completed"), "Platinum", AND(P415&gt;=50000, P415&lt;=99999, Q415&gt;=3, V415="Completed"), "Gold", AND(Q415&lt;50000, V415="Completed"), "Silver", V415="Pending", "Pending")</f>
        <v>Blacklisted</v>
      </c>
    </row>
    <row r="416" spans="1:23" x14ac:dyDescent="0.5">
      <c r="A416" s="15" t="s">
        <v>1796</v>
      </c>
      <c r="B416" s="15" t="s">
        <v>100</v>
      </c>
      <c r="C416" s="15" t="s">
        <v>118</v>
      </c>
      <c r="D416" s="15" t="s">
        <v>142</v>
      </c>
      <c r="E416" s="15" t="s">
        <v>620</v>
      </c>
      <c r="F416" s="15" t="s">
        <v>103</v>
      </c>
      <c r="G416" s="15" t="s">
        <v>28</v>
      </c>
      <c r="H416" s="15" t="s">
        <v>1797</v>
      </c>
      <c r="I416" s="15" t="s">
        <v>138</v>
      </c>
      <c r="J416" s="15" t="s">
        <v>106</v>
      </c>
      <c r="K416" s="15" t="s">
        <v>122</v>
      </c>
      <c r="L416" s="15" t="s">
        <v>123</v>
      </c>
      <c r="M416" s="15">
        <v>15</v>
      </c>
      <c r="N416" s="25">
        <v>60</v>
      </c>
      <c r="O416" s="15">
        <v>5</v>
      </c>
      <c r="P416" s="25">
        <v>855</v>
      </c>
      <c r="Q416" s="15">
        <v>4</v>
      </c>
      <c r="R416" s="15" t="s">
        <v>48</v>
      </c>
      <c r="S416" s="15" t="s">
        <v>61</v>
      </c>
      <c r="T416" s="15" t="s">
        <v>144</v>
      </c>
      <c r="U416" s="15">
        <v>9158813608</v>
      </c>
      <c r="V416" s="15" t="s">
        <v>38</v>
      </c>
      <c r="W416" s="29" t="str" cm="1">
        <f t="array" ref="W416">_xlfn.IFS(OR(V416="Cancelled", Q416&lt;=2), "Blacklisted", AND(P416&gt;=100000, Q416&gt;=4, O416&lt;=0.1, V416="Completed"), "Platinum", AND(P416&gt;=50000, P416&lt;=99999, Q416&gt;=3, V416="Completed"), "Gold", AND(Q416&lt;50000, V416="Completed"), "Silver", V416="Pending", "Pending")</f>
        <v>Silver</v>
      </c>
    </row>
    <row r="417" spans="1:23" x14ac:dyDescent="0.5">
      <c r="A417" s="17" t="s">
        <v>1799</v>
      </c>
      <c r="B417" s="17" t="s">
        <v>83</v>
      </c>
      <c r="C417" s="17" t="s">
        <v>184</v>
      </c>
      <c r="D417" s="17" t="s">
        <v>1800</v>
      </c>
      <c r="E417" s="17" t="s">
        <v>66</v>
      </c>
      <c r="F417" s="15" t="s">
        <v>180</v>
      </c>
      <c r="G417" s="17" t="s">
        <v>76</v>
      </c>
      <c r="H417" s="17" t="s">
        <v>1801</v>
      </c>
      <c r="I417" s="17" t="s">
        <v>105</v>
      </c>
      <c r="J417" s="17" t="s">
        <v>106</v>
      </c>
      <c r="K417" s="17" t="s">
        <v>46</v>
      </c>
      <c r="L417" s="17" t="s">
        <v>189</v>
      </c>
      <c r="M417" s="17">
        <v>15</v>
      </c>
      <c r="N417" s="26">
        <v>700</v>
      </c>
      <c r="O417" s="17">
        <v>0</v>
      </c>
      <c r="P417" s="26">
        <v>10500</v>
      </c>
      <c r="Q417" s="17">
        <v>5</v>
      </c>
      <c r="R417" s="17" t="s">
        <v>48</v>
      </c>
      <c r="S417" s="17" t="s">
        <v>115</v>
      </c>
      <c r="T417" s="17" t="s">
        <v>89</v>
      </c>
      <c r="U417" s="17">
        <v>9308461700</v>
      </c>
      <c r="V417" s="17" t="s">
        <v>38</v>
      </c>
      <c r="W417" s="29" t="str" cm="1">
        <f t="array" ref="W417">_xlfn.IFS(OR(V417="Cancelled", Q417&lt;=2), "Blacklisted", AND(P417&gt;=100000, Q417&gt;=4, O417&lt;=0.1, V417="Completed"), "Platinum", AND(P417&gt;=50000, P417&lt;=99999, Q417&gt;=3, V417="Completed"), "Gold", AND(Q417&lt;50000, V417="Completed"), "Silver", V417="Pending", "Pending")</f>
        <v>Silver</v>
      </c>
    </row>
    <row r="418" spans="1:23" x14ac:dyDescent="0.5">
      <c r="A418" s="15" t="s">
        <v>1803</v>
      </c>
      <c r="B418" s="15" t="s">
        <v>221</v>
      </c>
      <c r="C418" s="15" t="s">
        <v>40</v>
      </c>
      <c r="D418" s="15" t="s">
        <v>1199</v>
      </c>
      <c r="E418" s="15" t="s">
        <v>440</v>
      </c>
      <c r="F418" s="15" t="s">
        <v>225</v>
      </c>
      <c r="G418" s="15" t="s">
        <v>76</v>
      </c>
      <c r="H418" s="15" t="s">
        <v>1804</v>
      </c>
      <c r="I418" s="15" t="s">
        <v>294</v>
      </c>
      <c r="J418" s="15" t="s">
        <v>295</v>
      </c>
      <c r="K418" s="15" t="s">
        <v>46</v>
      </c>
      <c r="L418" s="15" t="s">
        <v>47</v>
      </c>
      <c r="M418" s="15">
        <v>13</v>
      </c>
      <c r="N418" s="25">
        <v>12000</v>
      </c>
      <c r="O418" s="15">
        <v>10</v>
      </c>
      <c r="P418" s="25">
        <v>140400</v>
      </c>
      <c r="Q418" s="15">
        <v>1</v>
      </c>
      <c r="R418" s="15" t="s">
        <v>34</v>
      </c>
      <c r="S418" s="15" t="s">
        <v>151</v>
      </c>
      <c r="T418" s="15" t="s">
        <v>228</v>
      </c>
      <c r="U418" s="15">
        <v>9882279049</v>
      </c>
      <c r="V418" s="15" t="s">
        <v>69</v>
      </c>
      <c r="W418" s="29" t="str" cm="1">
        <f t="array" ref="W418">_xlfn.IFS(OR(V418="Cancelled", Q418&lt;=2), "Blacklisted", AND(P418&gt;=100000, Q418&gt;=4, O418&lt;=0.1, V418="Completed"), "Platinum", AND(P418&gt;=50000, P418&lt;=99999, Q418&gt;=3, V418="Completed"), "Gold", AND(Q418&lt;50000, V418="Completed"), "Silver", V418="Pending", "Pending")</f>
        <v>Blacklisted</v>
      </c>
    </row>
    <row r="419" spans="1:23" x14ac:dyDescent="0.5">
      <c r="A419" s="17" t="s">
        <v>1806</v>
      </c>
      <c r="B419" s="17" t="s">
        <v>83</v>
      </c>
      <c r="C419" s="17" t="s">
        <v>40</v>
      </c>
      <c r="D419" s="17" t="s">
        <v>1807</v>
      </c>
      <c r="E419" s="17" t="s">
        <v>1081</v>
      </c>
      <c r="F419" s="15" t="s">
        <v>180</v>
      </c>
      <c r="G419" s="17" t="s">
        <v>76</v>
      </c>
      <c r="H419" s="17" t="s">
        <v>1808</v>
      </c>
      <c r="I419" s="17" t="s">
        <v>30</v>
      </c>
      <c r="J419" s="17" t="s">
        <v>31</v>
      </c>
      <c r="K419" s="17" t="s">
        <v>46</v>
      </c>
      <c r="L419" s="17" t="s">
        <v>47</v>
      </c>
      <c r="M419" s="17">
        <v>12</v>
      </c>
      <c r="N419" s="26">
        <v>12000</v>
      </c>
      <c r="O419" s="17">
        <v>20</v>
      </c>
      <c r="P419" s="26">
        <v>115200</v>
      </c>
      <c r="Q419" s="17">
        <v>2</v>
      </c>
      <c r="R419" s="17" t="s">
        <v>34</v>
      </c>
      <c r="S419" s="17" t="s">
        <v>35</v>
      </c>
      <c r="T419" s="17" t="s">
        <v>89</v>
      </c>
      <c r="U419" s="17">
        <v>9961801338</v>
      </c>
      <c r="V419" s="17" t="s">
        <v>38</v>
      </c>
      <c r="W419" s="29" t="str" cm="1">
        <f t="array" ref="W419">_xlfn.IFS(OR(V419="Cancelled", Q419&lt;=2), "Blacklisted", AND(P419&gt;=100000, Q419&gt;=4, O419&lt;=0.1, V419="Completed"), "Platinum", AND(P419&gt;=50000, P419&lt;=99999, Q419&gt;=3, V419="Completed"), "Gold", AND(Q419&lt;50000, V419="Completed"), "Silver", V419="Pending", "Pending")</f>
        <v>Blacklisted</v>
      </c>
    </row>
    <row r="420" spans="1:23" x14ac:dyDescent="0.5">
      <c r="A420" s="15" t="s">
        <v>1810</v>
      </c>
      <c r="B420" s="15" t="s">
        <v>83</v>
      </c>
      <c r="C420" s="15" t="s">
        <v>259</v>
      </c>
      <c r="D420" s="15" t="s">
        <v>119</v>
      </c>
      <c r="E420" s="15" t="s">
        <v>1298</v>
      </c>
      <c r="F420" s="15" t="s">
        <v>180</v>
      </c>
      <c r="G420" s="15" t="s">
        <v>76</v>
      </c>
      <c r="H420" s="15" t="s">
        <v>1811</v>
      </c>
      <c r="I420" s="15" t="s">
        <v>105</v>
      </c>
      <c r="J420" s="15" t="s">
        <v>106</v>
      </c>
      <c r="K420" s="15" t="s">
        <v>122</v>
      </c>
      <c r="L420" s="15" t="s">
        <v>263</v>
      </c>
      <c r="M420" s="15">
        <v>10</v>
      </c>
      <c r="N420" s="25">
        <v>45</v>
      </c>
      <c r="O420" s="15">
        <v>0</v>
      </c>
      <c r="P420" s="25">
        <v>450</v>
      </c>
      <c r="Q420" s="15">
        <v>5</v>
      </c>
      <c r="R420" s="15" t="s">
        <v>79</v>
      </c>
      <c r="S420" s="15" t="s">
        <v>115</v>
      </c>
      <c r="T420" s="15" t="s">
        <v>89</v>
      </c>
      <c r="U420" s="15">
        <v>9853525026</v>
      </c>
      <c r="V420" s="15" t="s">
        <v>69</v>
      </c>
      <c r="W420" s="29" t="str" cm="1">
        <f t="array" ref="W420">_xlfn.IFS(OR(V420="Cancelled", Q420&lt;=2), "Blacklisted", AND(P420&gt;=100000, Q420&gt;=4, O420&lt;=0.1, V420="Completed"), "Platinum", AND(P420&gt;=50000, P420&lt;=99999, Q420&gt;=3, V420="Completed"), "Gold", AND(Q420&lt;50000, V420="Completed"), "Silver", V420="Pending", "Pending")</f>
        <v>Blacklisted</v>
      </c>
    </row>
    <row r="421" spans="1:23" x14ac:dyDescent="0.5">
      <c r="A421" s="17" t="s">
        <v>1813</v>
      </c>
      <c r="B421" s="17" t="s">
        <v>127</v>
      </c>
      <c r="C421" s="17" t="s">
        <v>72</v>
      </c>
      <c r="D421" s="17" t="s">
        <v>41</v>
      </c>
      <c r="E421" s="17" t="s">
        <v>596</v>
      </c>
      <c r="F421" s="15" t="s">
        <v>200</v>
      </c>
      <c r="G421" s="17" t="s">
        <v>76</v>
      </c>
      <c r="H421" s="17" t="s">
        <v>1814</v>
      </c>
      <c r="I421" s="17" t="s">
        <v>105</v>
      </c>
      <c r="J421" s="17" t="s">
        <v>106</v>
      </c>
      <c r="K421" s="17" t="s">
        <v>46</v>
      </c>
      <c r="L421" s="17" t="s">
        <v>78</v>
      </c>
      <c r="M421" s="17">
        <v>20</v>
      </c>
      <c r="N421" s="26">
        <v>1200</v>
      </c>
      <c r="O421" s="17">
        <v>20</v>
      </c>
      <c r="P421" s="26">
        <v>19200</v>
      </c>
      <c r="Q421" s="17">
        <v>5</v>
      </c>
      <c r="R421" s="17" t="s">
        <v>48</v>
      </c>
      <c r="S421" s="17" t="s">
        <v>61</v>
      </c>
      <c r="T421" s="17" t="s">
        <v>132</v>
      </c>
      <c r="U421" s="17">
        <v>9209649485</v>
      </c>
      <c r="V421" s="17" t="s">
        <v>69</v>
      </c>
      <c r="W421" s="29" t="str" cm="1">
        <f t="array" ref="W421">_xlfn.IFS(OR(V421="Cancelled", Q421&lt;=2), "Blacklisted", AND(P421&gt;=100000, Q421&gt;=4, O421&lt;=0.1, V421="Completed"), "Platinum", AND(P421&gt;=50000, P421&lt;=99999, Q421&gt;=3, V421="Completed"), "Gold", AND(Q421&lt;50000, V421="Completed"), "Silver", V421="Pending", "Pending")</f>
        <v>Blacklisted</v>
      </c>
    </row>
    <row r="422" spans="1:23" x14ac:dyDescent="0.5">
      <c r="A422" s="15" t="s">
        <v>1816</v>
      </c>
      <c r="B422" s="15" t="s">
        <v>71</v>
      </c>
      <c r="C422" s="15" t="s">
        <v>72</v>
      </c>
      <c r="D422" s="15" t="s">
        <v>128</v>
      </c>
      <c r="E422" s="15" t="s">
        <v>1817</v>
      </c>
      <c r="F422" s="15" t="s">
        <v>217</v>
      </c>
      <c r="G422" s="15" t="s">
        <v>76</v>
      </c>
      <c r="H422" s="15" t="s">
        <v>1818</v>
      </c>
      <c r="I422" s="15" t="s">
        <v>114</v>
      </c>
      <c r="J422" s="15" t="s">
        <v>106</v>
      </c>
      <c r="K422" s="15" t="s">
        <v>46</v>
      </c>
      <c r="L422" s="15" t="s">
        <v>78</v>
      </c>
      <c r="M422" s="15">
        <v>8</v>
      </c>
      <c r="N422" s="25">
        <v>1200</v>
      </c>
      <c r="O422" s="15">
        <v>10</v>
      </c>
      <c r="P422" s="25">
        <v>8640</v>
      </c>
      <c r="Q422" s="15">
        <v>4</v>
      </c>
      <c r="R422" s="15" t="s">
        <v>48</v>
      </c>
      <c r="S422" s="15" t="s">
        <v>61</v>
      </c>
      <c r="T422" s="15" t="s">
        <v>80</v>
      </c>
      <c r="U422" s="15">
        <v>9712905525</v>
      </c>
      <c r="V422" s="15" t="s">
        <v>38</v>
      </c>
      <c r="W422" s="29" t="str" cm="1">
        <f t="array" ref="W422">_xlfn.IFS(OR(V422="Cancelled", Q422&lt;=2), "Blacklisted", AND(P422&gt;=100000, Q422&gt;=4, O422&lt;=0.1, V422="Completed"), "Platinum", AND(P422&gt;=50000, P422&lt;=99999, Q422&gt;=3, V422="Completed"), "Gold", AND(Q422&lt;50000, V422="Completed"), "Silver", V422="Pending", "Pending")</f>
        <v>Silver</v>
      </c>
    </row>
    <row r="423" spans="1:23" x14ac:dyDescent="0.5">
      <c r="A423" s="17" t="s">
        <v>1820</v>
      </c>
      <c r="B423" s="17" t="s">
        <v>127</v>
      </c>
      <c r="C423" s="17" t="s">
        <v>72</v>
      </c>
      <c r="D423" s="17" t="s">
        <v>1085</v>
      </c>
      <c r="E423" s="17" t="s">
        <v>1086</v>
      </c>
      <c r="F423" s="15" t="s">
        <v>200</v>
      </c>
      <c r="G423" s="17" t="s">
        <v>76</v>
      </c>
      <c r="H423" s="17" t="s">
        <v>1821</v>
      </c>
      <c r="I423" s="17" t="s">
        <v>212</v>
      </c>
      <c r="J423" s="17" t="s">
        <v>45</v>
      </c>
      <c r="K423" s="17" t="s">
        <v>46</v>
      </c>
      <c r="L423" s="17" t="s">
        <v>78</v>
      </c>
      <c r="M423" s="17">
        <v>8</v>
      </c>
      <c r="N423" s="26">
        <v>1200</v>
      </c>
      <c r="O423" s="17">
        <v>10</v>
      </c>
      <c r="P423" s="26">
        <v>8640</v>
      </c>
      <c r="Q423" s="17">
        <v>5</v>
      </c>
      <c r="R423" s="17" t="s">
        <v>79</v>
      </c>
      <c r="S423" s="17" t="s">
        <v>49</v>
      </c>
      <c r="T423" s="17" t="s">
        <v>132</v>
      </c>
      <c r="U423" s="17">
        <v>9812472447</v>
      </c>
      <c r="V423" s="17" t="s">
        <v>69</v>
      </c>
      <c r="W423" s="29" t="str" cm="1">
        <f t="array" ref="W423">_xlfn.IFS(OR(V423="Cancelled", Q423&lt;=2), "Blacklisted", AND(P423&gt;=100000, Q423&gt;=4, O423&lt;=0.1, V423="Completed"), "Platinum", AND(P423&gt;=50000, P423&lt;=99999, Q423&gt;=3, V423="Completed"), "Gold", AND(Q423&lt;50000, V423="Completed"), "Silver", V423="Pending", "Pending")</f>
        <v>Blacklisted</v>
      </c>
    </row>
    <row r="424" spans="1:23" x14ac:dyDescent="0.5">
      <c r="A424" s="15" t="s">
        <v>1823</v>
      </c>
      <c r="B424" s="15" t="s">
        <v>327</v>
      </c>
      <c r="C424" s="15" t="s">
        <v>24</v>
      </c>
      <c r="D424" s="15" t="s">
        <v>1824</v>
      </c>
      <c r="E424" s="15" t="s">
        <v>1444</v>
      </c>
      <c r="F424" s="15" t="s">
        <v>394</v>
      </c>
      <c r="G424" s="15" t="s">
        <v>76</v>
      </c>
      <c r="H424" s="15" t="s">
        <v>1825</v>
      </c>
      <c r="I424" s="15" t="s">
        <v>212</v>
      </c>
      <c r="J424" s="15" t="s">
        <v>45</v>
      </c>
      <c r="K424" s="15" t="s">
        <v>32</v>
      </c>
      <c r="L424" s="15" t="s">
        <v>33</v>
      </c>
      <c r="M424" s="15">
        <v>9</v>
      </c>
      <c r="N424" s="25">
        <v>2200</v>
      </c>
      <c r="O424" s="15">
        <v>20</v>
      </c>
      <c r="P424" s="25">
        <v>15840</v>
      </c>
      <c r="Q424" s="15">
        <v>1</v>
      </c>
      <c r="R424" s="15" t="s">
        <v>48</v>
      </c>
      <c r="S424" s="15" t="s">
        <v>115</v>
      </c>
      <c r="T424" s="15" t="s">
        <v>332</v>
      </c>
      <c r="U424" s="15">
        <v>9281127052</v>
      </c>
      <c r="V424" s="15" t="s">
        <v>38</v>
      </c>
      <c r="W424" s="29" t="str" cm="1">
        <f t="array" ref="W424">_xlfn.IFS(OR(V424="Cancelled", Q424&lt;=2), "Blacklisted", AND(P424&gt;=100000, Q424&gt;=4, O424&lt;=0.1, V424="Completed"), "Platinum", AND(P424&gt;=50000, P424&lt;=99999, Q424&gt;=3, V424="Completed"), "Gold", AND(Q424&lt;50000, V424="Completed"), "Silver", V424="Pending", "Pending")</f>
        <v>Blacklisted</v>
      </c>
    </row>
    <row r="425" spans="1:23" x14ac:dyDescent="0.5">
      <c r="A425" s="17" t="s">
        <v>1827</v>
      </c>
      <c r="B425" s="17" t="s">
        <v>127</v>
      </c>
      <c r="C425" s="17" t="s">
        <v>222</v>
      </c>
      <c r="D425" s="17" t="s">
        <v>1268</v>
      </c>
      <c r="E425" s="17" t="s">
        <v>760</v>
      </c>
      <c r="F425" s="15" t="s">
        <v>200</v>
      </c>
      <c r="G425" s="17" t="s">
        <v>76</v>
      </c>
      <c r="H425" s="17" t="s">
        <v>1828</v>
      </c>
      <c r="I425" s="17" t="s">
        <v>294</v>
      </c>
      <c r="J425" s="17" t="s">
        <v>295</v>
      </c>
      <c r="K425" s="17" t="s">
        <v>122</v>
      </c>
      <c r="L425" s="17" t="s">
        <v>227</v>
      </c>
      <c r="M425" s="17">
        <v>8</v>
      </c>
      <c r="N425" s="26">
        <v>20</v>
      </c>
      <c r="O425" s="17">
        <v>20</v>
      </c>
      <c r="P425" s="26">
        <v>128</v>
      </c>
      <c r="Q425" s="17">
        <v>4</v>
      </c>
      <c r="R425" s="17" t="s">
        <v>34</v>
      </c>
      <c r="S425" s="17" t="s">
        <v>35</v>
      </c>
      <c r="T425" s="17" t="s">
        <v>132</v>
      </c>
      <c r="U425" s="17">
        <v>9346312555</v>
      </c>
      <c r="V425" s="17" t="s">
        <v>69</v>
      </c>
      <c r="W425" s="29" t="str" cm="1">
        <f t="array" ref="W425">_xlfn.IFS(OR(V425="Cancelled", Q425&lt;=2), "Blacklisted", AND(P425&gt;=100000, Q425&gt;=4, O425&lt;=0.1, V425="Completed"), "Platinum", AND(P425&gt;=50000, P425&lt;=99999, Q425&gt;=3, V425="Completed"), "Gold", AND(Q425&lt;50000, V425="Completed"), "Silver", V425="Pending", "Pending")</f>
        <v>Blacklisted</v>
      </c>
    </row>
    <row r="426" spans="1:23" x14ac:dyDescent="0.5">
      <c r="A426" s="15" t="s">
        <v>1830</v>
      </c>
      <c r="B426" s="15" t="s">
        <v>221</v>
      </c>
      <c r="C426" s="15" t="s">
        <v>54</v>
      </c>
      <c r="D426" s="15" t="s">
        <v>1176</v>
      </c>
      <c r="E426" s="15" t="s">
        <v>1831</v>
      </c>
      <c r="F426" s="15" t="s">
        <v>225</v>
      </c>
      <c r="G426" s="15" t="s">
        <v>76</v>
      </c>
      <c r="H426" s="15" t="s">
        <v>1006</v>
      </c>
      <c r="I426" s="15" t="s">
        <v>114</v>
      </c>
      <c r="J426" s="15" t="s">
        <v>106</v>
      </c>
      <c r="K426" s="15" t="s">
        <v>46</v>
      </c>
      <c r="L426" s="15" t="s">
        <v>60</v>
      </c>
      <c r="M426" s="15">
        <v>5</v>
      </c>
      <c r="N426" s="25">
        <v>55000</v>
      </c>
      <c r="O426" s="15">
        <v>0</v>
      </c>
      <c r="P426" s="25">
        <v>275000</v>
      </c>
      <c r="Q426" s="15">
        <v>1</v>
      </c>
      <c r="R426" s="15" t="s">
        <v>79</v>
      </c>
      <c r="S426" s="15" t="s">
        <v>115</v>
      </c>
      <c r="T426" s="15" t="s">
        <v>228</v>
      </c>
      <c r="U426" s="15">
        <v>9443786067</v>
      </c>
      <c r="V426" s="15" t="s">
        <v>38</v>
      </c>
      <c r="W426" s="29" t="str" cm="1">
        <f t="array" ref="W426">_xlfn.IFS(OR(V426="Cancelled", Q426&lt;=2), "Blacklisted", AND(P426&gt;=100000, Q426&gt;=4, O426&lt;=0.1, V426="Completed"), "Platinum", AND(P426&gt;=50000, P426&lt;=99999, Q426&gt;=3, V426="Completed"), "Gold", AND(Q426&lt;50000, V426="Completed"), "Silver", V426="Pending", "Pending")</f>
        <v>Blacklisted</v>
      </c>
    </row>
    <row r="427" spans="1:23" x14ac:dyDescent="0.5">
      <c r="A427" s="17" t="s">
        <v>1833</v>
      </c>
      <c r="B427" s="17" t="s">
        <v>100</v>
      </c>
      <c r="C427" s="17" t="s">
        <v>72</v>
      </c>
      <c r="D427" s="17" t="s">
        <v>1834</v>
      </c>
      <c r="E427" s="17" t="s">
        <v>636</v>
      </c>
      <c r="F427" s="15" t="s">
        <v>103</v>
      </c>
      <c r="G427" s="17" t="s">
        <v>28</v>
      </c>
      <c r="H427" s="17" t="s">
        <v>1835</v>
      </c>
      <c r="I427" s="17" t="s">
        <v>105</v>
      </c>
      <c r="J427" s="17" t="s">
        <v>106</v>
      </c>
      <c r="K427" s="17" t="s">
        <v>46</v>
      </c>
      <c r="L427" s="17" t="s">
        <v>78</v>
      </c>
      <c r="M427" s="17">
        <v>13</v>
      </c>
      <c r="N427" s="26">
        <v>1200</v>
      </c>
      <c r="O427" s="17">
        <v>5</v>
      </c>
      <c r="P427" s="26">
        <v>14820</v>
      </c>
      <c r="Q427" s="17">
        <v>2</v>
      </c>
      <c r="R427" s="17" t="s">
        <v>79</v>
      </c>
      <c r="S427" s="17" t="s">
        <v>35</v>
      </c>
      <c r="T427" s="17" t="s">
        <v>144</v>
      </c>
      <c r="U427" s="17">
        <v>9452540528</v>
      </c>
      <c r="V427" s="17" t="s">
        <v>69</v>
      </c>
      <c r="W427" s="29" t="str" cm="1">
        <f t="array" ref="W427">_xlfn.IFS(OR(V427="Cancelled", Q427&lt;=2), "Blacklisted", AND(P427&gt;=100000, Q427&gt;=4, O427&lt;=0.1, V427="Completed"), "Platinum", AND(P427&gt;=50000, P427&lt;=99999, Q427&gt;=3, V427="Completed"), "Gold", AND(Q427&lt;50000, V427="Completed"), "Silver", V427="Pending", "Pending")</f>
        <v>Blacklisted</v>
      </c>
    </row>
    <row r="428" spans="1:23" x14ac:dyDescent="0.5">
      <c r="A428" s="15" t="s">
        <v>1837</v>
      </c>
      <c r="B428" s="15" t="s">
        <v>83</v>
      </c>
      <c r="C428" s="15" t="s">
        <v>169</v>
      </c>
      <c r="D428" s="15" t="s">
        <v>1484</v>
      </c>
      <c r="E428" s="15" t="s">
        <v>1838</v>
      </c>
      <c r="F428" s="15" t="s">
        <v>180</v>
      </c>
      <c r="G428" s="15" t="s">
        <v>76</v>
      </c>
      <c r="H428" s="15" t="s">
        <v>1839</v>
      </c>
      <c r="I428" s="15" t="s">
        <v>212</v>
      </c>
      <c r="J428" s="15" t="s">
        <v>45</v>
      </c>
      <c r="K428" s="15" t="s">
        <v>32</v>
      </c>
      <c r="L428" s="15" t="s">
        <v>174</v>
      </c>
      <c r="M428" s="15">
        <v>13</v>
      </c>
      <c r="N428" s="25">
        <v>8500</v>
      </c>
      <c r="O428" s="15">
        <v>20</v>
      </c>
      <c r="P428" s="25">
        <v>88400</v>
      </c>
      <c r="Q428" s="15">
        <v>5</v>
      </c>
      <c r="R428" s="15" t="s">
        <v>34</v>
      </c>
      <c r="S428" s="15" t="s">
        <v>49</v>
      </c>
      <c r="T428" s="15" t="s">
        <v>89</v>
      </c>
      <c r="U428" s="15">
        <v>9750918728</v>
      </c>
      <c r="V428" s="15" t="s">
        <v>64</v>
      </c>
      <c r="W428" s="29" t="str" cm="1">
        <f t="array" ref="W428">_xlfn.IFS(OR(V428="Cancelled", Q428&lt;=2), "Blacklisted", AND(P428&gt;=100000, Q428&gt;=4, O428&lt;=0.1, V428="Completed"), "Platinum", AND(P428&gt;=50000, P428&lt;=99999, Q428&gt;=3, V428="Completed"), "Gold", AND(Q428&lt;50000, V428="Completed"), "Silver", V428="Pending", "Pending")</f>
        <v>Pending</v>
      </c>
    </row>
    <row r="429" spans="1:23" x14ac:dyDescent="0.5">
      <c r="A429" s="17" t="s">
        <v>1841</v>
      </c>
      <c r="B429" s="17" t="s">
        <v>71</v>
      </c>
      <c r="C429" s="17" t="s">
        <v>118</v>
      </c>
      <c r="D429" s="17" t="s">
        <v>765</v>
      </c>
      <c r="E429" s="17" t="s">
        <v>1842</v>
      </c>
      <c r="F429" s="15" t="s">
        <v>217</v>
      </c>
      <c r="G429" s="17" t="s">
        <v>76</v>
      </c>
      <c r="H429" s="17" t="s">
        <v>1843</v>
      </c>
      <c r="I429" s="17" t="s">
        <v>114</v>
      </c>
      <c r="J429" s="17" t="s">
        <v>106</v>
      </c>
      <c r="K429" s="17" t="s">
        <v>122</v>
      </c>
      <c r="L429" s="17" t="s">
        <v>123</v>
      </c>
      <c r="M429" s="17">
        <v>14</v>
      </c>
      <c r="N429" s="26">
        <v>60</v>
      </c>
      <c r="O429" s="17">
        <v>10</v>
      </c>
      <c r="P429" s="26">
        <v>756</v>
      </c>
      <c r="Q429" s="17">
        <v>1</v>
      </c>
      <c r="R429" s="17" t="s">
        <v>34</v>
      </c>
      <c r="S429" s="17" t="s">
        <v>61</v>
      </c>
      <c r="T429" s="17" t="s">
        <v>80</v>
      </c>
      <c r="U429" s="17">
        <v>9375975834</v>
      </c>
      <c r="V429" s="17" t="s">
        <v>69</v>
      </c>
      <c r="W429" s="29" t="str" cm="1">
        <f t="array" ref="W429">_xlfn.IFS(OR(V429="Cancelled", Q429&lt;=2), "Blacklisted", AND(P429&gt;=100000, Q429&gt;=4, O429&lt;=0.1, V429="Completed"), "Platinum", AND(P429&gt;=50000, P429&lt;=99999, Q429&gt;=3, V429="Completed"), "Gold", AND(Q429&lt;50000, V429="Completed"), "Silver", V429="Pending", "Pending")</f>
        <v>Blacklisted</v>
      </c>
    </row>
    <row r="430" spans="1:23" x14ac:dyDescent="0.5">
      <c r="A430" s="15" t="s">
        <v>1845</v>
      </c>
      <c r="B430" s="15" t="s">
        <v>251</v>
      </c>
      <c r="C430" s="15" t="s">
        <v>24</v>
      </c>
      <c r="D430" s="15" t="s">
        <v>336</v>
      </c>
      <c r="E430" s="15" t="s">
        <v>606</v>
      </c>
      <c r="F430" s="15" t="s">
        <v>254</v>
      </c>
      <c r="G430" s="15" t="s">
        <v>28</v>
      </c>
      <c r="H430" s="15" t="s">
        <v>1846</v>
      </c>
      <c r="I430" s="15" t="s">
        <v>59</v>
      </c>
      <c r="J430" s="15" t="s">
        <v>31</v>
      </c>
      <c r="K430" s="15" t="s">
        <v>32</v>
      </c>
      <c r="L430" s="15" t="s">
        <v>33</v>
      </c>
      <c r="M430" s="15">
        <v>15</v>
      </c>
      <c r="N430" s="25">
        <v>2200</v>
      </c>
      <c r="O430" s="15">
        <v>0</v>
      </c>
      <c r="P430" s="25">
        <v>33000</v>
      </c>
      <c r="Q430" s="15">
        <v>1</v>
      </c>
      <c r="R430" s="15" t="s">
        <v>34</v>
      </c>
      <c r="S430" s="15" t="s">
        <v>61</v>
      </c>
      <c r="T430" s="15" t="s">
        <v>256</v>
      </c>
      <c r="U430" s="15">
        <v>9497321112</v>
      </c>
      <c r="V430" s="15" t="s">
        <v>38</v>
      </c>
      <c r="W430" s="29" t="str" cm="1">
        <f t="array" ref="W430">_xlfn.IFS(OR(V430="Cancelled", Q430&lt;=2), "Blacklisted", AND(P430&gt;=100000, Q430&gt;=4, O430&lt;=0.1, V430="Completed"), "Platinum", AND(P430&gt;=50000, P430&lt;=99999, Q430&gt;=3, V430="Completed"), "Gold", AND(Q430&lt;50000, V430="Completed"), "Silver", V430="Pending", "Pending")</f>
        <v>Blacklisted</v>
      </c>
    </row>
    <row r="431" spans="1:23" x14ac:dyDescent="0.5">
      <c r="A431" s="17" t="s">
        <v>1848</v>
      </c>
      <c r="B431" s="17" t="s">
        <v>83</v>
      </c>
      <c r="C431" s="17" t="s">
        <v>118</v>
      </c>
      <c r="D431" s="17" t="s">
        <v>1849</v>
      </c>
      <c r="E431" s="17" t="s">
        <v>1850</v>
      </c>
      <c r="F431" s="15" t="s">
        <v>180</v>
      </c>
      <c r="G431" s="17" t="s">
        <v>76</v>
      </c>
      <c r="H431" s="17" t="s">
        <v>1851</v>
      </c>
      <c r="I431" s="17" t="s">
        <v>212</v>
      </c>
      <c r="J431" s="17" t="s">
        <v>45</v>
      </c>
      <c r="K431" s="17" t="s">
        <v>122</v>
      </c>
      <c r="L431" s="17" t="s">
        <v>123</v>
      </c>
      <c r="M431" s="17">
        <v>19</v>
      </c>
      <c r="N431" s="26">
        <v>60</v>
      </c>
      <c r="O431" s="17">
        <v>20</v>
      </c>
      <c r="P431" s="26">
        <v>912</v>
      </c>
      <c r="Q431" s="17">
        <v>3</v>
      </c>
      <c r="R431" s="17" t="s">
        <v>34</v>
      </c>
      <c r="S431" s="17" t="s">
        <v>151</v>
      </c>
      <c r="T431" s="17" t="s">
        <v>89</v>
      </c>
      <c r="U431" s="17">
        <v>9828749888</v>
      </c>
      <c r="V431" s="17" t="s">
        <v>64</v>
      </c>
      <c r="W431" s="29" t="str" cm="1">
        <f t="array" ref="W431">_xlfn.IFS(OR(V431="Cancelled", Q431&lt;=2), "Blacklisted", AND(P431&gt;=100000, Q431&gt;=4, O431&lt;=0.1, V431="Completed"), "Platinum", AND(P431&gt;=50000, P431&lt;=99999, Q431&gt;=3, V431="Completed"), "Gold", AND(Q431&lt;50000, V431="Completed"), "Silver", V431="Pending", "Pending")</f>
        <v>Pending</v>
      </c>
    </row>
    <row r="432" spans="1:23" x14ac:dyDescent="0.5">
      <c r="A432" s="15" t="s">
        <v>1853</v>
      </c>
      <c r="B432" s="15" t="s">
        <v>53</v>
      </c>
      <c r="C432" s="15" t="s">
        <v>259</v>
      </c>
      <c r="D432" s="15" t="s">
        <v>1760</v>
      </c>
      <c r="E432" s="15" t="s">
        <v>341</v>
      </c>
      <c r="F432" s="15" t="s">
        <v>163</v>
      </c>
      <c r="G432" s="15" t="s">
        <v>28</v>
      </c>
      <c r="H432" s="15" t="s">
        <v>1854</v>
      </c>
      <c r="I432" s="15" t="s">
        <v>212</v>
      </c>
      <c r="J432" s="15" t="s">
        <v>45</v>
      </c>
      <c r="K432" s="15" t="s">
        <v>122</v>
      </c>
      <c r="L432" s="15" t="s">
        <v>263</v>
      </c>
      <c r="M432" s="15">
        <v>13</v>
      </c>
      <c r="N432" s="25">
        <v>45</v>
      </c>
      <c r="O432" s="15">
        <v>15</v>
      </c>
      <c r="P432" s="25">
        <v>497.25</v>
      </c>
      <c r="Q432" s="15">
        <v>2</v>
      </c>
      <c r="R432" s="15" t="s">
        <v>34</v>
      </c>
      <c r="S432" s="15" t="s">
        <v>49</v>
      </c>
      <c r="T432" s="15" t="s">
        <v>62</v>
      </c>
      <c r="U432" s="15">
        <v>9814267382</v>
      </c>
      <c r="V432" s="15" t="s">
        <v>38</v>
      </c>
      <c r="W432" s="29" t="str" cm="1">
        <f t="array" ref="W432">_xlfn.IFS(OR(V432="Cancelled", Q432&lt;=2), "Blacklisted", AND(P432&gt;=100000, Q432&gt;=4, O432&lt;=0.1, V432="Completed"), "Platinum", AND(P432&gt;=50000, P432&lt;=99999, Q432&gt;=3, V432="Completed"), "Gold", AND(Q432&lt;50000, V432="Completed"), "Silver", V432="Pending", "Pending")</f>
        <v>Blacklisted</v>
      </c>
    </row>
    <row r="433" spans="1:23" x14ac:dyDescent="0.5">
      <c r="A433" s="17" t="s">
        <v>1856</v>
      </c>
      <c r="B433" s="17" t="s">
        <v>251</v>
      </c>
      <c r="C433" s="17" t="s">
        <v>40</v>
      </c>
      <c r="D433" s="17" t="s">
        <v>998</v>
      </c>
      <c r="E433" s="17" t="s">
        <v>1128</v>
      </c>
      <c r="F433" s="15" t="s">
        <v>254</v>
      </c>
      <c r="G433" s="17" t="s">
        <v>28</v>
      </c>
      <c r="H433" s="17" t="s">
        <v>1857</v>
      </c>
      <c r="I433" s="17" t="s">
        <v>105</v>
      </c>
      <c r="J433" s="17" t="s">
        <v>106</v>
      </c>
      <c r="K433" s="17" t="s">
        <v>46</v>
      </c>
      <c r="L433" s="17" t="s">
        <v>47</v>
      </c>
      <c r="M433" s="17">
        <v>7</v>
      </c>
      <c r="N433" s="26">
        <v>12000</v>
      </c>
      <c r="O433" s="17">
        <v>5</v>
      </c>
      <c r="P433" s="26">
        <v>79800</v>
      </c>
      <c r="Q433" s="17">
        <v>4</v>
      </c>
      <c r="R433" s="17" t="s">
        <v>79</v>
      </c>
      <c r="S433" s="17" t="s">
        <v>151</v>
      </c>
      <c r="T433" s="17" t="s">
        <v>256</v>
      </c>
      <c r="U433" s="17">
        <v>9937007439</v>
      </c>
      <c r="V433" s="17" t="s">
        <v>69</v>
      </c>
      <c r="W433" s="29" t="str" cm="1">
        <f t="array" ref="W433">_xlfn.IFS(OR(V433="Cancelled", Q433&lt;=2), "Blacklisted", AND(P433&gt;=100000, Q433&gt;=4, O433&lt;=0.1, V433="Completed"), "Platinum", AND(P433&gt;=50000, P433&lt;=99999, Q433&gt;=3, V433="Completed"), "Gold", AND(Q433&lt;50000, V433="Completed"), "Silver", V433="Pending", "Pending")</f>
        <v>Blacklisted</v>
      </c>
    </row>
    <row r="434" spans="1:23" x14ac:dyDescent="0.5">
      <c r="A434" s="15" t="s">
        <v>1859</v>
      </c>
      <c r="B434" s="15" t="s">
        <v>327</v>
      </c>
      <c r="C434" s="15" t="s">
        <v>222</v>
      </c>
      <c r="D434" s="15" t="s">
        <v>601</v>
      </c>
      <c r="E434" s="15" t="s">
        <v>2109</v>
      </c>
      <c r="F434" s="15" t="s">
        <v>394</v>
      </c>
      <c r="G434" s="15" t="s">
        <v>76</v>
      </c>
      <c r="H434" s="15" t="s">
        <v>1860</v>
      </c>
      <c r="I434" s="15" t="s">
        <v>294</v>
      </c>
      <c r="J434" s="15" t="s">
        <v>295</v>
      </c>
      <c r="K434" s="15" t="s">
        <v>122</v>
      </c>
      <c r="L434" s="15" t="s">
        <v>227</v>
      </c>
      <c r="M434" s="15">
        <v>8</v>
      </c>
      <c r="N434" s="25">
        <v>20</v>
      </c>
      <c r="O434" s="15">
        <v>0</v>
      </c>
      <c r="P434" s="25">
        <v>160</v>
      </c>
      <c r="Q434" s="15">
        <v>4</v>
      </c>
      <c r="R434" s="15" t="s">
        <v>79</v>
      </c>
      <c r="S434" s="15" t="s">
        <v>61</v>
      </c>
      <c r="T434" s="15" t="s">
        <v>332</v>
      </c>
      <c r="U434" s="15">
        <v>9657513435</v>
      </c>
      <c r="V434" s="15" t="s">
        <v>64</v>
      </c>
      <c r="W434" s="29" t="str" cm="1">
        <f t="array" ref="W434">_xlfn.IFS(OR(V434="Cancelled", Q434&lt;=2), "Blacklisted", AND(P434&gt;=100000, Q434&gt;=4, O434&lt;=0.1, V434="Completed"), "Platinum", AND(P434&gt;=50000, P434&lt;=99999, Q434&gt;=3, V434="Completed"), "Gold", AND(Q434&lt;50000, V434="Completed"), "Silver", V434="Pending", "Pending")</f>
        <v>Pending</v>
      </c>
    </row>
    <row r="435" spans="1:23" x14ac:dyDescent="0.5">
      <c r="A435" s="17" t="s">
        <v>1862</v>
      </c>
      <c r="B435" s="17" t="s">
        <v>23</v>
      </c>
      <c r="C435" s="17" t="s">
        <v>92</v>
      </c>
      <c r="D435" s="17" t="s">
        <v>1863</v>
      </c>
      <c r="E435" s="17" t="s">
        <v>900</v>
      </c>
      <c r="F435" s="15" t="s">
        <v>27</v>
      </c>
      <c r="G435" s="17" t="s">
        <v>28</v>
      </c>
      <c r="H435" s="17" t="s">
        <v>1864</v>
      </c>
      <c r="I435" s="17" t="s">
        <v>294</v>
      </c>
      <c r="J435" s="17" t="s">
        <v>295</v>
      </c>
      <c r="K435" s="17" t="s">
        <v>32</v>
      </c>
      <c r="L435" s="17" t="s">
        <v>97</v>
      </c>
      <c r="M435" s="17">
        <v>16</v>
      </c>
      <c r="N435" s="26">
        <v>3500</v>
      </c>
      <c r="O435" s="17">
        <v>5</v>
      </c>
      <c r="P435" s="26">
        <v>53200</v>
      </c>
      <c r="Q435" s="17">
        <v>1</v>
      </c>
      <c r="R435" s="17" t="s">
        <v>79</v>
      </c>
      <c r="S435" s="17" t="s">
        <v>61</v>
      </c>
      <c r="T435" s="17" t="s">
        <v>50</v>
      </c>
      <c r="U435" s="17">
        <v>9999406260</v>
      </c>
      <c r="V435" s="17" t="s">
        <v>69</v>
      </c>
      <c r="W435" s="29" t="str" cm="1">
        <f t="array" ref="W435">_xlfn.IFS(OR(V435="Cancelled", Q435&lt;=2), "Blacklisted", AND(P435&gt;=100000, Q435&gt;=4, O435&lt;=0.1, V435="Completed"), "Platinum", AND(P435&gt;=50000, P435&lt;=99999, Q435&gt;=3, V435="Completed"), "Gold", AND(Q435&lt;50000, V435="Completed"), "Silver", V435="Pending", "Pending")</f>
        <v>Blacklisted</v>
      </c>
    </row>
    <row r="436" spans="1:23" x14ac:dyDescent="0.5">
      <c r="A436" s="15" t="s">
        <v>1866</v>
      </c>
      <c r="B436" s="15" t="s">
        <v>327</v>
      </c>
      <c r="C436" s="15" t="s">
        <v>169</v>
      </c>
      <c r="D436" s="15" t="s">
        <v>1867</v>
      </c>
      <c r="E436" s="15" t="s">
        <v>1157</v>
      </c>
      <c r="F436" s="15" t="s">
        <v>394</v>
      </c>
      <c r="G436" s="15" t="s">
        <v>76</v>
      </c>
      <c r="H436" s="15" t="s">
        <v>1868</v>
      </c>
      <c r="I436" s="15" t="s">
        <v>105</v>
      </c>
      <c r="J436" s="15" t="s">
        <v>106</v>
      </c>
      <c r="K436" s="15" t="s">
        <v>32</v>
      </c>
      <c r="L436" s="15" t="s">
        <v>174</v>
      </c>
      <c r="M436" s="15">
        <v>12</v>
      </c>
      <c r="N436" s="25">
        <v>8500</v>
      </c>
      <c r="O436" s="15">
        <v>10</v>
      </c>
      <c r="P436" s="25">
        <v>91800</v>
      </c>
      <c r="Q436" s="15">
        <v>3</v>
      </c>
      <c r="R436" s="15" t="s">
        <v>79</v>
      </c>
      <c r="S436" s="15" t="s">
        <v>35</v>
      </c>
      <c r="T436" s="15" t="s">
        <v>332</v>
      </c>
      <c r="U436" s="15">
        <v>9233727886</v>
      </c>
      <c r="V436" s="15" t="s">
        <v>38</v>
      </c>
      <c r="W436" s="29" t="str" cm="1">
        <f t="array" ref="W436">_xlfn.IFS(OR(V436="Cancelled", Q436&lt;=2), "Blacklisted", AND(P436&gt;=100000, Q436&gt;=4, O436&lt;=0.1, V436="Completed"), "Platinum", AND(P436&gt;=50000, P436&lt;=99999, Q436&gt;=3, V436="Completed"), "Gold", AND(Q436&lt;50000, V436="Completed"), "Silver", V436="Pending", "Pending")</f>
        <v>Gold</v>
      </c>
    </row>
    <row r="437" spans="1:23" x14ac:dyDescent="0.5">
      <c r="A437" s="17" t="s">
        <v>1870</v>
      </c>
      <c r="B437" s="17" t="s">
        <v>23</v>
      </c>
      <c r="C437" s="17" t="s">
        <v>118</v>
      </c>
      <c r="D437" s="17" t="s">
        <v>539</v>
      </c>
      <c r="E437" s="17" t="s">
        <v>1114</v>
      </c>
      <c r="F437" s="15" t="s">
        <v>27</v>
      </c>
      <c r="G437" s="17" t="s">
        <v>28</v>
      </c>
      <c r="H437" s="17" t="s">
        <v>1871</v>
      </c>
      <c r="I437" s="17" t="s">
        <v>138</v>
      </c>
      <c r="J437" s="17" t="s">
        <v>106</v>
      </c>
      <c r="K437" s="17" t="s">
        <v>122</v>
      </c>
      <c r="L437" s="17" t="s">
        <v>123</v>
      </c>
      <c r="M437" s="17">
        <v>1</v>
      </c>
      <c r="N437" s="26">
        <v>60</v>
      </c>
      <c r="O437" s="17">
        <v>20</v>
      </c>
      <c r="P437" s="26">
        <v>48</v>
      </c>
      <c r="Q437" s="17">
        <v>2</v>
      </c>
      <c r="R437" s="17" t="s">
        <v>79</v>
      </c>
      <c r="S437" s="17" t="s">
        <v>151</v>
      </c>
      <c r="T437" s="17" t="s">
        <v>50</v>
      </c>
      <c r="U437" s="17">
        <v>9831688801</v>
      </c>
      <c r="V437" s="17" t="s">
        <v>38</v>
      </c>
      <c r="W437" s="29" t="str" cm="1">
        <f t="array" ref="W437">_xlfn.IFS(OR(V437="Cancelled", Q437&lt;=2), "Blacklisted", AND(P437&gt;=100000, Q437&gt;=4, O437&lt;=0.1, V437="Completed"), "Platinum", AND(P437&gt;=50000, P437&lt;=99999, Q437&gt;=3, V437="Completed"), "Gold", AND(Q437&lt;50000, V437="Completed"), "Silver", V437="Pending", "Pending")</f>
        <v>Blacklisted</v>
      </c>
    </row>
    <row r="438" spans="1:23" x14ac:dyDescent="0.5">
      <c r="A438" s="15" t="s">
        <v>1873</v>
      </c>
      <c r="B438" s="15" t="s">
        <v>127</v>
      </c>
      <c r="C438" s="15" t="s">
        <v>118</v>
      </c>
      <c r="D438" s="15" t="s">
        <v>507</v>
      </c>
      <c r="E438" s="15" t="s">
        <v>535</v>
      </c>
      <c r="F438" s="15" t="s">
        <v>200</v>
      </c>
      <c r="G438" s="15" t="s">
        <v>76</v>
      </c>
      <c r="H438" s="15" t="s">
        <v>1874</v>
      </c>
      <c r="I438" s="15" t="s">
        <v>30</v>
      </c>
      <c r="J438" s="15" t="s">
        <v>31</v>
      </c>
      <c r="K438" s="15" t="s">
        <v>122</v>
      </c>
      <c r="L438" s="15" t="s">
        <v>123</v>
      </c>
      <c r="M438" s="15">
        <v>3</v>
      </c>
      <c r="N438" s="25">
        <v>60</v>
      </c>
      <c r="O438" s="15">
        <v>15</v>
      </c>
      <c r="P438" s="25">
        <v>153</v>
      </c>
      <c r="Q438" s="15">
        <v>4</v>
      </c>
      <c r="R438" s="15" t="s">
        <v>79</v>
      </c>
      <c r="S438" s="15" t="s">
        <v>35</v>
      </c>
      <c r="T438" s="15" t="s">
        <v>132</v>
      </c>
      <c r="U438" s="15">
        <v>9982849508</v>
      </c>
      <c r="V438" s="15" t="s">
        <v>38</v>
      </c>
      <c r="W438" s="29" t="str" cm="1">
        <f t="array" ref="W438">_xlfn.IFS(OR(V438="Cancelled", Q438&lt;=2), "Blacklisted", AND(P438&gt;=100000, Q438&gt;=4, O438&lt;=0.1, V438="Completed"), "Platinum", AND(P438&gt;=50000, P438&lt;=99999, Q438&gt;=3, V438="Completed"), "Gold", AND(Q438&lt;50000, V438="Completed"), "Silver", V438="Pending", "Pending")</f>
        <v>Silver</v>
      </c>
    </row>
    <row r="439" spans="1:23" x14ac:dyDescent="0.5">
      <c r="A439" s="17" t="s">
        <v>1876</v>
      </c>
      <c r="B439" s="17" t="s">
        <v>100</v>
      </c>
      <c r="C439" s="17" t="s">
        <v>184</v>
      </c>
      <c r="D439" s="17" t="s">
        <v>568</v>
      </c>
      <c r="E439" s="17" t="s">
        <v>119</v>
      </c>
      <c r="F439" s="15" t="s">
        <v>103</v>
      </c>
      <c r="G439" s="17" t="s">
        <v>28</v>
      </c>
      <c r="H439" s="17" t="s">
        <v>1877</v>
      </c>
      <c r="I439" s="17" t="s">
        <v>294</v>
      </c>
      <c r="J439" s="17" t="s">
        <v>295</v>
      </c>
      <c r="K439" s="17" t="s">
        <v>46</v>
      </c>
      <c r="L439" s="17" t="s">
        <v>189</v>
      </c>
      <c r="M439" s="17">
        <v>10</v>
      </c>
      <c r="N439" s="26">
        <v>700</v>
      </c>
      <c r="O439" s="17">
        <v>15</v>
      </c>
      <c r="P439" s="26">
        <v>5950</v>
      </c>
      <c r="Q439" s="17">
        <v>3</v>
      </c>
      <c r="R439" s="17" t="s">
        <v>48</v>
      </c>
      <c r="S439" s="17" t="s">
        <v>35</v>
      </c>
      <c r="T439" s="17" t="s">
        <v>144</v>
      </c>
      <c r="U439" s="17">
        <v>9288309246</v>
      </c>
      <c r="V439" s="17" t="s">
        <v>64</v>
      </c>
      <c r="W439" s="29" t="str" cm="1">
        <f t="array" ref="W439">_xlfn.IFS(OR(V439="Cancelled", Q439&lt;=2), "Blacklisted", AND(P439&gt;=100000, Q439&gt;=4, O439&lt;=0.1, V439="Completed"), "Platinum", AND(P439&gt;=50000, P439&lt;=99999, Q439&gt;=3, V439="Completed"), "Gold", AND(Q439&lt;50000, V439="Completed"), "Silver", V439="Pending", "Pending")</f>
        <v>Pending</v>
      </c>
    </row>
    <row r="440" spans="1:23" x14ac:dyDescent="0.5">
      <c r="A440" s="15" t="s">
        <v>1879</v>
      </c>
      <c r="B440" s="15" t="s">
        <v>83</v>
      </c>
      <c r="C440" s="15" t="s">
        <v>222</v>
      </c>
      <c r="D440" s="15" t="s">
        <v>1880</v>
      </c>
      <c r="E440" s="15" t="s">
        <v>1881</v>
      </c>
      <c r="F440" s="15" t="s">
        <v>180</v>
      </c>
      <c r="G440" s="15" t="s">
        <v>76</v>
      </c>
      <c r="H440" s="15" t="s">
        <v>1882</v>
      </c>
      <c r="I440" s="15" t="s">
        <v>138</v>
      </c>
      <c r="J440" s="15" t="s">
        <v>106</v>
      </c>
      <c r="K440" s="15" t="s">
        <v>122</v>
      </c>
      <c r="L440" s="15" t="s">
        <v>227</v>
      </c>
      <c r="M440" s="15">
        <v>2</v>
      </c>
      <c r="N440" s="25">
        <v>20</v>
      </c>
      <c r="O440" s="15">
        <v>10</v>
      </c>
      <c r="P440" s="25">
        <v>36</v>
      </c>
      <c r="Q440" s="15">
        <v>2</v>
      </c>
      <c r="R440" s="15" t="s">
        <v>88</v>
      </c>
      <c r="S440" s="15" t="s">
        <v>61</v>
      </c>
      <c r="T440" s="15" t="s">
        <v>89</v>
      </c>
      <c r="U440" s="15">
        <v>9808476235</v>
      </c>
      <c r="V440" s="15" t="s">
        <v>38</v>
      </c>
      <c r="W440" s="29" t="str" cm="1">
        <f t="array" ref="W440">_xlfn.IFS(OR(V440="Cancelled", Q440&lt;=2), "Blacklisted", AND(P440&gt;=100000, Q440&gt;=4, O440&lt;=0.1, V440="Completed"), "Platinum", AND(P440&gt;=50000, P440&lt;=99999, Q440&gt;=3, V440="Completed"), "Gold", AND(Q440&lt;50000, V440="Completed"), "Silver", V440="Pending", "Pending")</f>
        <v>Blacklisted</v>
      </c>
    </row>
    <row r="441" spans="1:23" x14ac:dyDescent="0.5">
      <c r="A441" s="17" t="s">
        <v>1884</v>
      </c>
      <c r="B441" s="17" t="s">
        <v>83</v>
      </c>
      <c r="C441" s="17" t="s">
        <v>222</v>
      </c>
      <c r="D441" s="17" t="s">
        <v>1885</v>
      </c>
      <c r="E441" s="17" t="s">
        <v>1199</v>
      </c>
      <c r="F441" s="15" t="s">
        <v>180</v>
      </c>
      <c r="G441" s="17" t="s">
        <v>76</v>
      </c>
      <c r="H441" s="17" t="s">
        <v>1886</v>
      </c>
      <c r="I441" s="17" t="s">
        <v>44</v>
      </c>
      <c r="J441" s="17" t="s">
        <v>45</v>
      </c>
      <c r="K441" s="17" t="s">
        <v>122</v>
      </c>
      <c r="L441" s="17" t="s">
        <v>227</v>
      </c>
      <c r="M441" s="17">
        <v>14</v>
      </c>
      <c r="N441" s="26">
        <v>20</v>
      </c>
      <c r="O441" s="17">
        <v>20</v>
      </c>
      <c r="P441" s="26">
        <v>224</v>
      </c>
      <c r="Q441" s="17">
        <v>5</v>
      </c>
      <c r="R441" s="17" t="s">
        <v>34</v>
      </c>
      <c r="S441" s="17" t="s">
        <v>151</v>
      </c>
      <c r="T441" s="17" t="s">
        <v>89</v>
      </c>
      <c r="U441" s="17">
        <v>9869056117</v>
      </c>
      <c r="V441" s="17" t="s">
        <v>64</v>
      </c>
      <c r="W441" s="29" t="str" cm="1">
        <f t="array" ref="W441">_xlfn.IFS(OR(V441="Cancelled", Q441&lt;=2), "Blacklisted", AND(P441&gt;=100000, Q441&gt;=4, O441&lt;=0.1, V441="Completed"), "Platinum", AND(P441&gt;=50000, P441&lt;=99999, Q441&gt;=3, V441="Completed"), "Gold", AND(Q441&lt;50000, V441="Completed"), "Silver", V441="Pending", "Pending")</f>
        <v>Pending</v>
      </c>
    </row>
    <row r="442" spans="1:23" x14ac:dyDescent="0.5">
      <c r="A442" s="15" t="s">
        <v>1888</v>
      </c>
      <c r="B442" s="15" t="s">
        <v>327</v>
      </c>
      <c r="C442" s="15" t="s">
        <v>92</v>
      </c>
      <c r="D442" s="15" t="s">
        <v>1713</v>
      </c>
      <c r="E442" s="15" t="s">
        <v>193</v>
      </c>
      <c r="F442" s="15" t="s">
        <v>394</v>
      </c>
      <c r="G442" s="15" t="s">
        <v>76</v>
      </c>
      <c r="H442" s="15" t="s">
        <v>1889</v>
      </c>
      <c r="I442" s="15" t="s">
        <v>138</v>
      </c>
      <c r="J442" s="15" t="s">
        <v>106</v>
      </c>
      <c r="K442" s="15" t="s">
        <v>32</v>
      </c>
      <c r="L442" s="15" t="s">
        <v>97</v>
      </c>
      <c r="M442" s="15">
        <v>4</v>
      </c>
      <c r="N442" s="25">
        <v>3500</v>
      </c>
      <c r="O442" s="15">
        <v>0</v>
      </c>
      <c r="P442" s="25">
        <v>14000</v>
      </c>
      <c r="Q442" s="15">
        <v>2</v>
      </c>
      <c r="R442" s="15" t="s">
        <v>88</v>
      </c>
      <c r="S442" s="15" t="s">
        <v>35</v>
      </c>
      <c r="T442" s="15" t="s">
        <v>332</v>
      </c>
      <c r="U442" s="15">
        <v>9734229772</v>
      </c>
      <c r="V442" s="15" t="s">
        <v>69</v>
      </c>
      <c r="W442" s="29" t="str" cm="1">
        <f t="array" ref="W442">_xlfn.IFS(OR(V442="Cancelled", Q442&lt;=2), "Blacklisted", AND(P442&gt;=100000, Q442&gt;=4, O442&lt;=0.1, V442="Completed"), "Platinum", AND(P442&gt;=50000, P442&lt;=99999, Q442&gt;=3, V442="Completed"), "Gold", AND(Q442&lt;50000, V442="Completed"), "Silver", V442="Pending", "Pending")</f>
        <v>Blacklisted</v>
      </c>
    </row>
    <row r="443" spans="1:23" x14ac:dyDescent="0.5">
      <c r="A443" s="17" t="s">
        <v>1891</v>
      </c>
      <c r="B443" s="17" t="s">
        <v>83</v>
      </c>
      <c r="C443" s="17" t="s">
        <v>92</v>
      </c>
      <c r="D443" s="17" t="s">
        <v>318</v>
      </c>
      <c r="E443" s="17" t="s">
        <v>1119</v>
      </c>
      <c r="F443" s="15" t="s">
        <v>180</v>
      </c>
      <c r="G443" s="17" t="s">
        <v>76</v>
      </c>
      <c r="H443" s="17" t="s">
        <v>1892</v>
      </c>
      <c r="I443" s="17" t="s">
        <v>212</v>
      </c>
      <c r="J443" s="17" t="s">
        <v>45</v>
      </c>
      <c r="K443" s="17" t="s">
        <v>32</v>
      </c>
      <c r="L443" s="17" t="s">
        <v>97</v>
      </c>
      <c r="M443" s="17">
        <v>9</v>
      </c>
      <c r="N443" s="26">
        <v>3500</v>
      </c>
      <c r="O443" s="17">
        <v>5</v>
      </c>
      <c r="P443" s="26">
        <v>29925</v>
      </c>
      <c r="Q443" s="17">
        <v>3</v>
      </c>
      <c r="R443" s="17" t="s">
        <v>79</v>
      </c>
      <c r="S443" s="17" t="s">
        <v>61</v>
      </c>
      <c r="T443" s="17" t="s">
        <v>89</v>
      </c>
      <c r="U443" s="17">
        <v>9791617906</v>
      </c>
      <c r="V443" s="17" t="s">
        <v>38</v>
      </c>
      <c r="W443" s="29" t="str" cm="1">
        <f t="array" ref="W443">_xlfn.IFS(OR(V443="Cancelled", Q443&lt;=2), "Blacklisted", AND(P443&gt;=100000, Q443&gt;=4, O443&lt;=0.1, V443="Completed"), "Platinum", AND(P443&gt;=50000, P443&lt;=99999, Q443&gt;=3, V443="Completed"), "Gold", AND(Q443&lt;50000, V443="Completed"), "Silver", V443="Pending", "Pending")</f>
        <v>Silver</v>
      </c>
    </row>
    <row r="444" spans="1:23" x14ac:dyDescent="0.5">
      <c r="A444" s="15" t="s">
        <v>1894</v>
      </c>
      <c r="B444" s="15" t="s">
        <v>127</v>
      </c>
      <c r="C444" s="15" t="s">
        <v>118</v>
      </c>
      <c r="D444" s="15" t="s">
        <v>683</v>
      </c>
      <c r="E444" s="15" t="s">
        <v>1465</v>
      </c>
      <c r="F444" s="15" t="s">
        <v>200</v>
      </c>
      <c r="G444" s="15" t="s">
        <v>76</v>
      </c>
      <c r="H444" s="15" t="s">
        <v>1895</v>
      </c>
      <c r="I444" s="15" t="s">
        <v>105</v>
      </c>
      <c r="J444" s="15" t="s">
        <v>106</v>
      </c>
      <c r="K444" s="15" t="s">
        <v>122</v>
      </c>
      <c r="L444" s="15" t="s">
        <v>123</v>
      </c>
      <c r="M444" s="15">
        <v>9</v>
      </c>
      <c r="N444" s="25">
        <v>60</v>
      </c>
      <c r="O444" s="15">
        <v>0</v>
      </c>
      <c r="P444" s="25">
        <v>540</v>
      </c>
      <c r="Q444" s="15">
        <v>3</v>
      </c>
      <c r="R444" s="15" t="s">
        <v>88</v>
      </c>
      <c r="S444" s="15" t="s">
        <v>35</v>
      </c>
      <c r="T444" s="15" t="s">
        <v>132</v>
      </c>
      <c r="U444" s="15">
        <v>9286316823</v>
      </c>
      <c r="V444" s="15" t="s">
        <v>64</v>
      </c>
      <c r="W444" s="29" t="str" cm="1">
        <f t="array" ref="W444">_xlfn.IFS(OR(V444="Cancelled", Q444&lt;=2), "Blacklisted", AND(P444&gt;=100000, Q444&gt;=4, O444&lt;=0.1, V444="Completed"), "Platinum", AND(P444&gt;=50000, P444&lt;=99999, Q444&gt;=3, V444="Completed"), "Gold", AND(Q444&lt;50000, V444="Completed"), "Silver", V444="Pending", "Pending")</f>
        <v>Pending</v>
      </c>
    </row>
    <row r="445" spans="1:23" x14ac:dyDescent="0.5">
      <c r="A445" s="17" t="s">
        <v>1897</v>
      </c>
      <c r="B445" s="17" t="s">
        <v>168</v>
      </c>
      <c r="C445" s="17" t="s">
        <v>72</v>
      </c>
      <c r="D445" s="17" t="s">
        <v>1898</v>
      </c>
      <c r="E445" s="17" t="s">
        <v>1263</v>
      </c>
      <c r="F445" s="15" t="s">
        <v>361</v>
      </c>
      <c r="G445" s="17" t="s">
        <v>28</v>
      </c>
      <c r="H445" s="17" t="s">
        <v>1899</v>
      </c>
      <c r="I445" s="17" t="s">
        <v>138</v>
      </c>
      <c r="J445" s="17" t="s">
        <v>106</v>
      </c>
      <c r="K445" s="17" t="s">
        <v>46</v>
      </c>
      <c r="L445" s="17" t="s">
        <v>78</v>
      </c>
      <c r="M445" s="17">
        <v>4</v>
      </c>
      <c r="N445" s="26">
        <v>1200</v>
      </c>
      <c r="O445" s="17">
        <v>0</v>
      </c>
      <c r="P445" s="26">
        <v>4800</v>
      </c>
      <c r="Q445" s="17">
        <v>1</v>
      </c>
      <c r="R445" s="17" t="s">
        <v>48</v>
      </c>
      <c r="S445" s="17" t="s">
        <v>61</v>
      </c>
      <c r="T445" s="17" t="s">
        <v>175</v>
      </c>
      <c r="U445" s="17">
        <v>9810569252</v>
      </c>
      <c r="V445" s="17" t="s">
        <v>38</v>
      </c>
      <c r="W445" s="29" t="str" cm="1">
        <f t="array" ref="W445">_xlfn.IFS(OR(V445="Cancelled", Q445&lt;=2), "Blacklisted", AND(P445&gt;=100000, Q445&gt;=4, O445&lt;=0.1, V445="Completed"), "Platinum", AND(P445&gt;=50000, P445&lt;=99999, Q445&gt;=3, V445="Completed"), "Gold", AND(Q445&lt;50000, V445="Completed"), "Silver", V445="Pending", "Pending")</f>
        <v>Blacklisted</v>
      </c>
    </row>
    <row r="446" spans="1:23" x14ac:dyDescent="0.5">
      <c r="A446" s="15" t="s">
        <v>1901</v>
      </c>
      <c r="B446" s="15" t="s">
        <v>53</v>
      </c>
      <c r="C446" s="15" t="s">
        <v>54</v>
      </c>
      <c r="D446" s="15" t="s">
        <v>1620</v>
      </c>
      <c r="E446" s="15" t="s">
        <v>302</v>
      </c>
      <c r="F446" s="15" t="s">
        <v>163</v>
      </c>
      <c r="G446" s="15" t="s">
        <v>28</v>
      </c>
      <c r="H446" s="15" t="s">
        <v>1902</v>
      </c>
      <c r="I446" s="15" t="s">
        <v>30</v>
      </c>
      <c r="J446" s="15" t="s">
        <v>31</v>
      </c>
      <c r="K446" s="15" t="s">
        <v>46</v>
      </c>
      <c r="L446" s="15" t="s">
        <v>60</v>
      </c>
      <c r="M446" s="15">
        <v>10</v>
      </c>
      <c r="N446" s="25">
        <v>55000</v>
      </c>
      <c r="O446" s="15">
        <v>5</v>
      </c>
      <c r="P446" s="25">
        <v>522500</v>
      </c>
      <c r="Q446" s="15">
        <v>5</v>
      </c>
      <c r="R446" s="15" t="s">
        <v>88</v>
      </c>
      <c r="S446" s="15" t="s">
        <v>115</v>
      </c>
      <c r="T446" s="15" t="s">
        <v>62</v>
      </c>
      <c r="U446" s="15">
        <v>9771745925</v>
      </c>
      <c r="V446" s="15" t="s">
        <v>38</v>
      </c>
      <c r="W446" s="29" t="str" cm="1">
        <f t="array" ref="W446">_xlfn.IFS(OR(V446="Cancelled", Q446&lt;=2), "Blacklisted", AND(P446&gt;=100000, Q446&gt;=4, O446&lt;=0.1, V446="Completed"), "Platinum", AND(P446&gt;=50000, P446&lt;=99999, Q446&gt;=3, V446="Completed"), "Gold", AND(Q446&lt;50000, V446="Completed"), "Silver", V446="Pending", "Pending")</f>
        <v>Silver</v>
      </c>
    </row>
    <row r="447" spans="1:23" x14ac:dyDescent="0.5">
      <c r="A447" s="17" t="s">
        <v>1904</v>
      </c>
      <c r="B447" s="17" t="s">
        <v>221</v>
      </c>
      <c r="C447" s="17" t="s">
        <v>259</v>
      </c>
      <c r="D447" s="17" t="s">
        <v>1905</v>
      </c>
      <c r="E447" s="17" t="s">
        <v>881</v>
      </c>
      <c r="F447" s="15" t="s">
        <v>225</v>
      </c>
      <c r="G447" s="17" t="s">
        <v>76</v>
      </c>
      <c r="H447" s="17" t="s">
        <v>1906</v>
      </c>
      <c r="I447" s="17" t="s">
        <v>30</v>
      </c>
      <c r="J447" s="17" t="s">
        <v>31</v>
      </c>
      <c r="K447" s="17" t="s">
        <v>122</v>
      </c>
      <c r="L447" s="17" t="s">
        <v>263</v>
      </c>
      <c r="M447" s="17">
        <v>20</v>
      </c>
      <c r="N447" s="26">
        <v>45</v>
      </c>
      <c r="O447" s="17">
        <v>15</v>
      </c>
      <c r="P447" s="26">
        <v>765</v>
      </c>
      <c r="Q447" s="17">
        <v>2</v>
      </c>
      <c r="R447" s="17" t="s">
        <v>79</v>
      </c>
      <c r="S447" s="17" t="s">
        <v>35</v>
      </c>
      <c r="T447" s="17" t="s">
        <v>228</v>
      </c>
      <c r="U447" s="17">
        <v>9820683063</v>
      </c>
      <c r="V447" s="17" t="s">
        <v>69</v>
      </c>
      <c r="W447" s="29" t="str" cm="1">
        <f t="array" ref="W447">_xlfn.IFS(OR(V447="Cancelled", Q447&lt;=2), "Blacklisted", AND(P447&gt;=100000, Q447&gt;=4, O447&lt;=0.1, V447="Completed"), "Platinum", AND(P447&gt;=50000, P447&lt;=99999, Q447&gt;=3, V447="Completed"), "Gold", AND(Q447&lt;50000, V447="Completed"), "Silver", V447="Pending", "Pending")</f>
        <v>Blacklisted</v>
      </c>
    </row>
    <row r="448" spans="1:23" x14ac:dyDescent="0.5">
      <c r="A448" s="15" t="s">
        <v>1908</v>
      </c>
      <c r="B448" s="15" t="s">
        <v>23</v>
      </c>
      <c r="C448" s="15" t="s">
        <v>222</v>
      </c>
      <c r="D448" s="15" t="s">
        <v>314</v>
      </c>
      <c r="E448" s="15" t="s">
        <v>170</v>
      </c>
      <c r="F448" s="15" t="s">
        <v>27</v>
      </c>
      <c r="G448" s="15" t="s">
        <v>28</v>
      </c>
      <c r="H448" s="15" t="s">
        <v>1909</v>
      </c>
      <c r="I448" s="15" t="s">
        <v>105</v>
      </c>
      <c r="J448" s="15" t="s">
        <v>106</v>
      </c>
      <c r="K448" s="15" t="s">
        <v>122</v>
      </c>
      <c r="L448" s="15" t="s">
        <v>227</v>
      </c>
      <c r="M448" s="15">
        <v>9</v>
      </c>
      <c r="N448" s="25">
        <v>20</v>
      </c>
      <c r="O448" s="15">
        <v>20</v>
      </c>
      <c r="P448" s="25">
        <v>144</v>
      </c>
      <c r="Q448" s="15">
        <v>3</v>
      </c>
      <c r="R448" s="15" t="s">
        <v>79</v>
      </c>
      <c r="S448" s="15" t="s">
        <v>61</v>
      </c>
      <c r="T448" s="15" t="s">
        <v>50</v>
      </c>
      <c r="U448" s="15">
        <v>9292891941</v>
      </c>
      <c r="V448" s="15" t="s">
        <v>38</v>
      </c>
      <c r="W448" s="29" t="str" cm="1">
        <f t="array" ref="W448">_xlfn.IFS(OR(V448="Cancelled", Q448&lt;=2), "Blacklisted", AND(P448&gt;=100000, Q448&gt;=4, O448&lt;=0.1, V448="Completed"), "Platinum", AND(P448&gt;=50000, P448&lt;=99999, Q448&gt;=3, V448="Completed"), "Gold", AND(Q448&lt;50000, V448="Completed"), "Silver", V448="Pending", "Pending")</f>
        <v>Silver</v>
      </c>
    </row>
    <row r="449" spans="1:23" x14ac:dyDescent="0.5">
      <c r="A449" s="17" t="s">
        <v>1911</v>
      </c>
      <c r="B449" s="17" t="s">
        <v>23</v>
      </c>
      <c r="C449" s="17" t="s">
        <v>54</v>
      </c>
      <c r="D449" s="17" t="s">
        <v>1912</v>
      </c>
      <c r="E449" s="17" t="s">
        <v>910</v>
      </c>
      <c r="F449" s="15" t="s">
        <v>27</v>
      </c>
      <c r="G449" s="17" t="s">
        <v>28</v>
      </c>
      <c r="H449" s="17" t="s">
        <v>1913</v>
      </c>
      <c r="I449" s="17" t="s">
        <v>114</v>
      </c>
      <c r="J449" s="17" t="s">
        <v>106</v>
      </c>
      <c r="K449" s="17" t="s">
        <v>46</v>
      </c>
      <c r="L449" s="17" t="s">
        <v>60</v>
      </c>
      <c r="M449" s="17">
        <v>8</v>
      </c>
      <c r="N449" s="26">
        <v>55000</v>
      </c>
      <c r="O449" s="17">
        <v>0</v>
      </c>
      <c r="P449" s="26">
        <v>440000</v>
      </c>
      <c r="Q449" s="17">
        <v>4</v>
      </c>
      <c r="R449" s="17" t="s">
        <v>34</v>
      </c>
      <c r="S449" s="17" t="s">
        <v>115</v>
      </c>
      <c r="T449" s="17" t="s">
        <v>50</v>
      </c>
      <c r="U449" s="17">
        <v>9413789556</v>
      </c>
      <c r="V449" s="17" t="s">
        <v>38</v>
      </c>
      <c r="W449" s="29" t="str" cm="1">
        <f t="array" ref="W449">_xlfn.IFS(OR(V449="Cancelled", Q449&lt;=2), "Blacklisted", AND(P449&gt;=100000, Q449&gt;=4, O449&lt;=0.1, V449="Completed"), "Platinum", AND(P449&gt;=50000, P449&lt;=99999, Q449&gt;=3, V449="Completed"), "Gold", AND(Q449&lt;50000, V449="Completed"), "Silver", V449="Pending", "Pending")</f>
        <v>Platinum</v>
      </c>
    </row>
    <row r="450" spans="1:23" x14ac:dyDescent="0.5">
      <c r="A450" s="15" t="s">
        <v>1915</v>
      </c>
      <c r="B450" s="15" t="s">
        <v>327</v>
      </c>
      <c r="C450" s="15" t="s">
        <v>72</v>
      </c>
      <c r="D450" s="15" t="s">
        <v>1916</v>
      </c>
      <c r="E450" s="15" t="s">
        <v>1430</v>
      </c>
      <c r="F450" s="15" t="s">
        <v>394</v>
      </c>
      <c r="G450" s="15" t="s">
        <v>76</v>
      </c>
      <c r="H450" s="15" t="s">
        <v>1917</v>
      </c>
      <c r="I450" s="15" t="s">
        <v>138</v>
      </c>
      <c r="J450" s="15" t="s">
        <v>106</v>
      </c>
      <c r="K450" s="15" t="s">
        <v>46</v>
      </c>
      <c r="L450" s="15" t="s">
        <v>78</v>
      </c>
      <c r="M450" s="15">
        <v>4</v>
      </c>
      <c r="N450" s="25">
        <v>1200</v>
      </c>
      <c r="O450" s="15">
        <v>10</v>
      </c>
      <c r="P450" s="25">
        <v>4320</v>
      </c>
      <c r="Q450" s="15">
        <v>4</v>
      </c>
      <c r="R450" s="15" t="s">
        <v>88</v>
      </c>
      <c r="S450" s="15" t="s">
        <v>35</v>
      </c>
      <c r="T450" s="16" t="s">
        <v>1918</v>
      </c>
      <c r="U450" s="15">
        <v>98765</v>
      </c>
      <c r="V450" s="15" t="s">
        <v>69</v>
      </c>
      <c r="W450" s="29" t="str" cm="1">
        <f t="array" ref="W450">_xlfn.IFS(OR(V450="Cancelled", Q450&lt;=2), "Blacklisted", AND(P450&gt;=100000, Q450&gt;=4, O450&lt;=0.1, V450="Completed"), "Platinum", AND(P450&gt;=50000, P450&lt;=99999, Q450&gt;=3, V450="Completed"), "Gold", AND(Q450&lt;50000, V450="Completed"), "Silver", V450="Pending", "Pending")</f>
        <v>Blacklisted</v>
      </c>
    </row>
    <row r="451" spans="1:23" x14ac:dyDescent="0.5">
      <c r="A451" s="17" t="s">
        <v>1920</v>
      </c>
      <c r="B451" s="17" t="s">
        <v>327</v>
      </c>
      <c r="C451" s="17" t="s">
        <v>169</v>
      </c>
      <c r="D451" s="17" t="s">
        <v>518</v>
      </c>
      <c r="E451" s="17" t="s">
        <v>426</v>
      </c>
      <c r="F451" s="15" t="s">
        <v>394</v>
      </c>
      <c r="G451" s="17" t="s">
        <v>76</v>
      </c>
      <c r="H451" s="17" t="s">
        <v>1921</v>
      </c>
      <c r="I451" s="17" t="s">
        <v>294</v>
      </c>
      <c r="J451" s="17" t="s">
        <v>295</v>
      </c>
      <c r="K451" s="17" t="s">
        <v>32</v>
      </c>
      <c r="L451" s="17" t="s">
        <v>174</v>
      </c>
      <c r="M451" s="17">
        <v>14</v>
      </c>
      <c r="N451" s="26">
        <v>8500</v>
      </c>
      <c r="O451" s="17">
        <v>10</v>
      </c>
      <c r="P451" s="26">
        <v>107100</v>
      </c>
      <c r="Q451" s="17">
        <v>4</v>
      </c>
      <c r="R451" s="17" t="s">
        <v>34</v>
      </c>
      <c r="S451" s="17" t="s">
        <v>35</v>
      </c>
      <c r="T451" s="17" t="s">
        <v>332</v>
      </c>
      <c r="U451" s="17">
        <v>9211936331</v>
      </c>
      <c r="V451" s="17" t="s">
        <v>38</v>
      </c>
      <c r="W451" s="29" t="str" cm="1">
        <f t="array" ref="W451">_xlfn.IFS(OR(V451="Cancelled", Q451&lt;=2), "Blacklisted", AND(P451&gt;=100000, Q451&gt;=4, O451&lt;=0.1, V451="Completed"), "Platinum", AND(P451&gt;=50000, P451&lt;=99999, Q451&gt;=3, V451="Completed"), "Gold", AND(Q451&lt;50000, V451="Completed"), "Silver", V451="Pending", "Pending")</f>
        <v>Silver</v>
      </c>
    </row>
    <row r="452" spans="1:23" x14ac:dyDescent="0.5">
      <c r="A452" s="15" t="s">
        <v>1923</v>
      </c>
      <c r="B452" s="15" t="s">
        <v>71</v>
      </c>
      <c r="C452" s="15" t="s">
        <v>259</v>
      </c>
      <c r="D452" s="15" t="s">
        <v>683</v>
      </c>
      <c r="E452" s="15" t="s">
        <v>1924</v>
      </c>
      <c r="F452" s="15" t="s">
        <v>217</v>
      </c>
      <c r="G452" s="15" t="s">
        <v>76</v>
      </c>
      <c r="H452" s="15" t="s">
        <v>1925</v>
      </c>
      <c r="I452" s="15" t="s">
        <v>30</v>
      </c>
      <c r="J452" s="15" t="s">
        <v>31</v>
      </c>
      <c r="K452" s="15" t="s">
        <v>122</v>
      </c>
      <c r="L452" s="15" t="s">
        <v>263</v>
      </c>
      <c r="M452" s="15">
        <v>1</v>
      </c>
      <c r="N452" s="25">
        <v>45</v>
      </c>
      <c r="O452" s="15">
        <v>0</v>
      </c>
      <c r="P452" s="25">
        <v>45</v>
      </c>
      <c r="Q452" s="15">
        <v>3</v>
      </c>
      <c r="R452" s="15" t="s">
        <v>88</v>
      </c>
      <c r="S452" s="15" t="s">
        <v>151</v>
      </c>
      <c r="T452" s="15" t="s">
        <v>80</v>
      </c>
      <c r="U452" s="15">
        <v>9167291747</v>
      </c>
      <c r="V452" s="15" t="s">
        <v>69</v>
      </c>
      <c r="W452" s="29" t="str" cm="1">
        <f t="array" ref="W452">_xlfn.IFS(OR(V452="Cancelled", Q452&lt;=2), "Blacklisted", AND(P452&gt;=100000, Q452&gt;=4, O452&lt;=0.1, V452="Completed"), "Platinum", AND(P452&gt;=50000, P452&lt;=99999, Q452&gt;=3, V452="Completed"), "Gold", AND(Q452&lt;50000, V452="Completed"), "Silver", V452="Pending", "Pending")</f>
        <v>Blacklisted</v>
      </c>
    </row>
    <row r="453" spans="1:23" x14ac:dyDescent="0.5">
      <c r="A453" s="17" t="s">
        <v>1927</v>
      </c>
      <c r="B453" s="17" t="s">
        <v>71</v>
      </c>
      <c r="C453" s="17" t="s">
        <v>54</v>
      </c>
      <c r="D453" s="17" t="s">
        <v>901</v>
      </c>
      <c r="E453" s="17" t="s">
        <v>1069</v>
      </c>
      <c r="F453" s="15" t="s">
        <v>217</v>
      </c>
      <c r="G453" s="17" t="s">
        <v>76</v>
      </c>
      <c r="H453" s="17" t="s">
        <v>1928</v>
      </c>
      <c r="I453" s="17" t="s">
        <v>44</v>
      </c>
      <c r="J453" s="17" t="s">
        <v>45</v>
      </c>
      <c r="K453" s="17" t="s">
        <v>46</v>
      </c>
      <c r="L453" s="17" t="s">
        <v>60</v>
      </c>
      <c r="M453" s="17">
        <v>16</v>
      </c>
      <c r="N453" s="26">
        <v>55000</v>
      </c>
      <c r="O453" s="17">
        <v>15</v>
      </c>
      <c r="P453" s="26">
        <v>748000</v>
      </c>
      <c r="Q453" s="17">
        <v>1</v>
      </c>
      <c r="R453" s="17" t="s">
        <v>79</v>
      </c>
      <c r="S453" s="17" t="s">
        <v>151</v>
      </c>
      <c r="T453" s="17" t="s">
        <v>80</v>
      </c>
      <c r="U453" s="17">
        <v>9637283597</v>
      </c>
      <c r="V453" s="17" t="s">
        <v>69</v>
      </c>
      <c r="W453" s="29" t="str" cm="1">
        <f t="array" ref="W453">_xlfn.IFS(OR(V453="Cancelled", Q453&lt;=2), "Blacklisted", AND(P453&gt;=100000, Q453&gt;=4, O453&lt;=0.1, V453="Completed"), "Platinum", AND(P453&gt;=50000, P453&lt;=99999, Q453&gt;=3, V453="Completed"), "Gold", AND(Q453&lt;50000, V453="Completed"), "Silver", V453="Pending", "Pending")</f>
        <v>Blacklisted</v>
      </c>
    </row>
    <row r="454" spans="1:23" x14ac:dyDescent="0.5">
      <c r="A454" s="15" t="s">
        <v>1930</v>
      </c>
      <c r="B454" s="15" t="s">
        <v>53</v>
      </c>
      <c r="C454" s="15" t="s">
        <v>184</v>
      </c>
      <c r="D454" s="15" t="s">
        <v>1931</v>
      </c>
      <c r="E454" s="15" t="s">
        <v>1932</v>
      </c>
      <c r="F454" s="15" t="s">
        <v>163</v>
      </c>
      <c r="G454" s="15" t="s">
        <v>28</v>
      </c>
      <c r="H454" s="15" t="s">
        <v>1933</v>
      </c>
      <c r="I454" s="15" t="s">
        <v>138</v>
      </c>
      <c r="J454" s="15" t="s">
        <v>106</v>
      </c>
      <c r="K454" s="15" t="s">
        <v>46</v>
      </c>
      <c r="L454" s="15" t="s">
        <v>189</v>
      </c>
      <c r="M454" s="15">
        <v>8</v>
      </c>
      <c r="N454" s="25">
        <v>700</v>
      </c>
      <c r="O454" s="15">
        <v>0</v>
      </c>
      <c r="P454" s="25">
        <v>5600</v>
      </c>
      <c r="Q454" s="15">
        <v>3</v>
      </c>
      <c r="R454" s="15" t="s">
        <v>34</v>
      </c>
      <c r="S454" s="15" t="s">
        <v>49</v>
      </c>
      <c r="T454" s="15" t="s">
        <v>62</v>
      </c>
      <c r="U454" s="15">
        <v>9514269002</v>
      </c>
      <c r="V454" s="15" t="s">
        <v>38</v>
      </c>
      <c r="W454" s="29" t="str" cm="1">
        <f t="array" ref="W454">_xlfn.IFS(OR(V454="Cancelled", Q454&lt;=2), "Blacklisted", AND(P454&gt;=100000, Q454&gt;=4, O454&lt;=0.1, V454="Completed"), "Platinum", AND(P454&gt;=50000, P454&lt;=99999, Q454&gt;=3, V454="Completed"), "Gold", AND(Q454&lt;50000, V454="Completed"), "Silver", V454="Pending", "Pending")</f>
        <v>Silver</v>
      </c>
    </row>
    <row r="455" spans="1:23" x14ac:dyDescent="0.5">
      <c r="A455" s="17" t="s">
        <v>1935</v>
      </c>
      <c r="B455" s="17" t="s">
        <v>251</v>
      </c>
      <c r="C455" s="17" t="s">
        <v>72</v>
      </c>
      <c r="D455" s="17" t="s">
        <v>66</v>
      </c>
      <c r="E455" s="17" t="s">
        <v>1936</v>
      </c>
      <c r="F455" s="15" t="s">
        <v>254</v>
      </c>
      <c r="G455" s="17" t="s">
        <v>28</v>
      </c>
      <c r="H455" s="17" t="s">
        <v>1937</v>
      </c>
      <c r="I455" s="17" t="s">
        <v>138</v>
      </c>
      <c r="J455" s="17" t="s">
        <v>106</v>
      </c>
      <c r="K455" s="17" t="s">
        <v>46</v>
      </c>
      <c r="L455" s="17" t="s">
        <v>78</v>
      </c>
      <c r="M455" s="17">
        <v>3</v>
      </c>
      <c r="N455" s="26">
        <v>1200</v>
      </c>
      <c r="O455" s="17">
        <v>0</v>
      </c>
      <c r="P455" s="26">
        <v>3600</v>
      </c>
      <c r="Q455" s="17">
        <v>1</v>
      </c>
      <c r="R455" s="17" t="s">
        <v>79</v>
      </c>
      <c r="S455" s="17" t="s">
        <v>49</v>
      </c>
      <c r="T455" s="17" t="s">
        <v>256</v>
      </c>
      <c r="U455" s="17">
        <v>9778908233</v>
      </c>
      <c r="V455" s="17" t="s">
        <v>69</v>
      </c>
      <c r="W455" s="29" t="str" cm="1">
        <f t="array" ref="W455">_xlfn.IFS(OR(V455="Cancelled", Q455&lt;=2), "Blacklisted", AND(P455&gt;=100000, Q455&gt;=4, O455&lt;=0.1, V455="Completed"), "Platinum", AND(P455&gt;=50000, P455&lt;=99999, Q455&gt;=3, V455="Completed"), "Gold", AND(Q455&lt;50000, V455="Completed"), "Silver", V455="Pending", "Pending")</f>
        <v>Blacklisted</v>
      </c>
    </row>
    <row r="456" spans="1:23" x14ac:dyDescent="0.5">
      <c r="A456" s="15" t="s">
        <v>1939</v>
      </c>
      <c r="B456" s="15" t="s">
        <v>71</v>
      </c>
      <c r="C456" s="15" t="s">
        <v>92</v>
      </c>
      <c r="D456" s="15" t="s">
        <v>988</v>
      </c>
      <c r="E456" s="15" t="s">
        <v>387</v>
      </c>
      <c r="F456" s="15" t="s">
        <v>217</v>
      </c>
      <c r="G456" s="15" t="s">
        <v>76</v>
      </c>
      <c r="H456" s="15" t="s">
        <v>1940</v>
      </c>
      <c r="I456" s="15" t="s">
        <v>294</v>
      </c>
      <c r="J456" s="15" t="s">
        <v>295</v>
      </c>
      <c r="K456" s="15" t="s">
        <v>32</v>
      </c>
      <c r="L456" s="15" t="s">
        <v>97</v>
      </c>
      <c r="M456" s="15">
        <v>7</v>
      </c>
      <c r="N456" s="25">
        <v>3500</v>
      </c>
      <c r="O456" s="15">
        <v>15</v>
      </c>
      <c r="P456" s="25">
        <v>20825</v>
      </c>
      <c r="Q456" s="15">
        <v>4</v>
      </c>
      <c r="R456" s="15" t="s">
        <v>79</v>
      </c>
      <c r="S456" s="15" t="s">
        <v>61</v>
      </c>
      <c r="T456" s="15" t="s">
        <v>80</v>
      </c>
      <c r="U456" s="15">
        <v>9981118755</v>
      </c>
      <c r="V456" s="15" t="s">
        <v>64</v>
      </c>
      <c r="W456" s="29" t="str" cm="1">
        <f t="array" ref="W456">_xlfn.IFS(OR(V456="Cancelled", Q456&lt;=2), "Blacklisted", AND(P456&gt;=100000, Q456&gt;=4, O456&lt;=0.1, V456="Completed"), "Platinum", AND(P456&gt;=50000, P456&lt;=99999, Q456&gt;=3, V456="Completed"), "Gold", AND(Q456&lt;50000, V456="Completed"), "Silver", V456="Pending", "Pending")</f>
        <v>Pending</v>
      </c>
    </row>
    <row r="457" spans="1:23" x14ac:dyDescent="0.5">
      <c r="A457" s="17" t="s">
        <v>1942</v>
      </c>
      <c r="B457" s="17" t="s">
        <v>53</v>
      </c>
      <c r="C457" s="17" t="s">
        <v>54</v>
      </c>
      <c r="D457" s="17" t="s">
        <v>1932</v>
      </c>
      <c r="E457" s="17" t="s">
        <v>740</v>
      </c>
      <c r="F457" s="15" t="s">
        <v>163</v>
      </c>
      <c r="G457" s="17" t="s">
        <v>28</v>
      </c>
      <c r="H457" s="17" t="s">
        <v>1943</v>
      </c>
      <c r="I457" s="17" t="s">
        <v>114</v>
      </c>
      <c r="J457" s="17" t="s">
        <v>106</v>
      </c>
      <c r="K457" s="17" t="s">
        <v>46</v>
      </c>
      <c r="L457" s="17" t="s">
        <v>60</v>
      </c>
      <c r="M457" s="17">
        <v>9</v>
      </c>
      <c r="N457" s="26">
        <v>55000</v>
      </c>
      <c r="O457" s="17">
        <v>15</v>
      </c>
      <c r="P457" s="26">
        <v>420750</v>
      </c>
      <c r="Q457" s="17">
        <v>3</v>
      </c>
      <c r="R457" s="17" t="s">
        <v>88</v>
      </c>
      <c r="S457" s="17" t="s">
        <v>35</v>
      </c>
      <c r="T457" s="17" t="s">
        <v>62</v>
      </c>
      <c r="U457" s="17">
        <v>9887896743</v>
      </c>
      <c r="V457" s="17" t="s">
        <v>69</v>
      </c>
      <c r="W457" s="29" t="str" cm="1">
        <f t="array" ref="W457">_xlfn.IFS(OR(V457="Cancelled", Q457&lt;=2), "Blacklisted", AND(P457&gt;=100000, Q457&gt;=4, O457&lt;=0.1, V457="Completed"), "Platinum", AND(P457&gt;=50000, P457&lt;=99999, Q457&gt;=3, V457="Completed"), "Gold", AND(Q457&lt;50000, V457="Completed"), "Silver", V457="Pending", "Pending")</f>
        <v>Blacklisted</v>
      </c>
    </row>
    <row r="458" spans="1:23" x14ac:dyDescent="0.5">
      <c r="A458" s="15" t="s">
        <v>1945</v>
      </c>
      <c r="B458" s="15" t="s">
        <v>327</v>
      </c>
      <c r="C458" s="15" t="s">
        <v>40</v>
      </c>
      <c r="D458" s="15" t="s">
        <v>185</v>
      </c>
      <c r="E458" s="15" t="s">
        <v>918</v>
      </c>
      <c r="F458" s="15" t="s">
        <v>394</v>
      </c>
      <c r="G458" s="15" t="s">
        <v>76</v>
      </c>
      <c r="H458" s="15" t="s">
        <v>1946</v>
      </c>
      <c r="I458" s="15" t="s">
        <v>59</v>
      </c>
      <c r="J458" s="15" t="s">
        <v>31</v>
      </c>
      <c r="K458" s="15" t="s">
        <v>46</v>
      </c>
      <c r="L458" s="15" t="s">
        <v>47</v>
      </c>
      <c r="M458" s="15">
        <v>12</v>
      </c>
      <c r="N458" s="25">
        <v>12000</v>
      </c>
      <c r="O458" s="15">
        <v>0</v>
      </c>
      <c r="P458" s="25">
        <v>144000</v>
      </c>
      <c r="Q458" s="15">
        <v>3</v>
      </c>
      <c r="R458" s="15" t="s">
        <v>79</v>
      </c>
      <c r="S458" s="15" t="s">
        <v>151</v>
      </c>
      <c r="T458" s="15" t="s">
        <v>332</v>
      </c>
      <c r="U458" s="15">
        <v>9585330043</v>
      </c>
      <c r="V458" s="15" t="s">
        <v>69</v>
      </c>
      <c r="W458" s="29" t="str" cm="1">
        <f t="array" ref="W458">_xlfn.IFS(OR(V458="Cancelled", Q458&lt;=2), "Blacklisted", AND(P458&gt;=100000, Q458&gt;=4, O458&lt;=0.1, V458="Completed"), "Platinum", AND(P458&gt;=50000, P458&lt;=99999, Q458&gt;=3, V458="Completed"), "Gold", AND(Q458&lt;50000, V458="Completed"), "Silver", V458="Pending", "Pending")</f>
        <v>Blacklisted</v>
      </c>
    </row>
    <row r="459" spans="1:23" x14ac:dyDescent="0.5">
      <c r="A459" s="17" t="s">
        <v>1948</v>
      </c>
      <c r="B459" s="17" t="s">
        <v>100</v>
      </c>
      <c r="C459" s="17" t="s">
        <v>118</v>
      </c>
      <c r="D459" s="17" t="s">
        <v>42</v>
      </c>
      <c r="E459" s="17" t="s">
        <v>597</v>
      </c>
      <c r="F459" s="15" t="s">
        <v>103</v>
      </c>
      <c r="G459" s="17" t="s">
        <v>28</v>
      </c>
      <c r="H459" s="17" t="s">
        <v>1949</v>
      </c>
      <c r="I459" s="17" t="s">
        <v>138</v>
      </c>
      <c r="J459" s="17" t="s">
        <v>106</v>
      </c>
      <c r="K459" s="17" t="s">
        <v>122</v>
      </c>
      <c r="L459" s="17" t="s">
        <v>123</v>
      </c>
      <c r="M459" s="17">
        <v>7</v>
      </c>
      <c r="N459" s="26">
        <v>60</v>
      </c>
      <c r="O459" s="17">
        <v>10</v>
      </c>
      <c r="P459" s="26">
        <v>378</v>
      </c>
      <c r="Q459" s="17">
        <v>4</v>
      </c>
      <c r="R459" s="17" t="s">
        <v>34</v>
      </c>
      <c r="S459" s="17" t="s">
        <v>49</v>
      </c>
      <c r="T459" s="17" t="s">
        <v>144</v>
      </c>
      <c r="U459" s="17">
        <v>9423719975</v>
      </c>
      <c r="V459" s="17" t="s">
        <v>69</v>
      </c>
      <c r="W459" s="29" t="str" cm="1">
        <f t="array" ref="W459">_xlfn.IFS(OR(V459="Cancelled", Q459&lt;=2), "Blacklisted", AND(P459&gt;=100000, Q459&gt;=4, O459&lt;=0.1, V459="Completed"), "Platinum", AND(P459&gt;=50000, P459&lt;=99999, Q459&gt;=3, V459="Completed"), "Gold", AND(Q459&lt;50000, V459="Completed"), "Silver", V459="Pending", "Pending")</f>
        <v>Blacklisted</v>
      </c>
    </row>
    <row r="460" spans="1:23" x14ac:dyDescent="0.5">
      <c r="A460" s="15" t="s">
        <v>1951</v>
      </c>
      <c r="B460" s="15" t="s">
        <v>221</v>
      </c>
      <c r="C460" s="15" t="s">
        <v>24</v>
      </c>
      <c r="D460" s="15" t="s">
        <v>377</v>
      </c>
      <c r="E460" s="15" t="s">
        <v>674</v>
      </c>
      <c r="F460" s="15" t="s">
        <v>225</v>
      </c>
      <c r="G460" s="15" t="s">
        <v>76</v>
      </c>
      <c r="H460" s="15" t="s">
        <v>1952</v>
      </c>
      <c r="I460" s="15" t="s">
        <v>105</v>
      </c>
      <c r="J460" s="15" t="s">
        <v>106</v>
      </c>
      <c r="K460" s="15" t="s">
        <v>32</v>
      </c>
      <c r="L460" s="15" t="s">
        <v>33</v>
      </c>
      <c r="M460" s="15">
        <v>17</v>
      </c>
      <c r="N460" s="25">
        <v>2200</v>
      </c>
      <c r="O460" s="15">
        <v>15</v>
      </c>
      <c r="P460" s="25">
        <v>31790</v>
      </c>
      <c r="Q460" s="15">
        <v>3</v>
      </c>
      <c r="R460" s="15" t="s">
        <v>88</v>
      </c>
      <c r="S460" s="15" t="s">
        <v>151</v>
      </c>
      <c r="T460" s="15" t="s">
        <v>228</v>
      </c>
      <c r="U460" s="15">
        <v>9270746961</v>
      </c>
      <c r="V460" s="15" t="s">
        <v>64</v>
      </c>
      <c r="W460" s="29" t="str" cm="1">
        <f t="array" ref="W460">_xlfn.IFS(OR(V460="Cancelled", Q460&lt;=2), "Blacklisted", AND(P460&gt;=100000, Q460&gt;=4, O460&lt;=0.1, V460="Completed"), "Platinum", AND(P460&gt;=50000, P460&lt;=99999, Q460&gt;=3, V460="Completed"), "Gold", AND(Q460&lt;50000, V460="Completed"), "Silver", V460="Pending", "Pending")</f>
        <v>Pending</v>
      </c>
    </row>
    <row r="461" spans="1:23" x14ac:dyDescent="0.5">
      <c r="A461" s="17" t="s">
        <v>1954</v>
      </c>
      <c r="B461" s="17" t="s">
        <v>327</v>
      </c>
      <c r="C461" s="17" t="s">
        <v>184</v>
      </c>
      <c r="D461" s="17" t="s">
        <v>351</v>
      </c>
      <c r="E461" s="17" t="s">
        <v>1537</v>
      </c>
      <c r="F461" s="15" t="s">
        <v>394</v>
      </c>
      <c r="G461" s="17" t="s">
        <v>76</v>
      </c>
      <c r="H461" s="17" t="s">
        <v>1955</v>
      </c>
      <c r="I461" s="17" t="s">
        <v>59</v>
      </c>
      <c r="J461" s="17" t="s">
        <v>31</v>
      </c>
      <c r="K461" s="17" t="s">
        <v>46</v>
      </c>
      <c r="L461" s="17" t="s">
        <v>189</v>
      </c>
      <c r="M461" s="17">
        <v>17</v>
      </c>
      <c r="N461" s="26">
        <v>700</v>
      </c>
      <c r="O461" s="17">
        <v>10</v>
      </c>
      <c r="P461" s="26">
        <v>10710</v>
      </c>
      <c r="Q461" s="17">
        <v>2</v>
      </c>
      <c r="R461" s="17" t="s">
        <v>34</v>
      </c>
      <c r="S461" s="17" t="s">
        <v>61</v>
      </c>
      <c r="T461" s="17" t="s">
        <v>332</v>
      </c>
      <c r="U461" s="17">
        <v>9333162025</v>
      </c>
      <c r="V461" s="17" t="s">
        <v>64</v>
      </c>
      <c r="W461" s="29" t="str" cm="1">
        <f t="array" ref="W461">_xlfn.IFS(OR(V461="Cancelled", Q461&lt;=2), "Blacklisted", AND(P461&gt;=100000, Q461&gt;=4, O461&lt;=0.1, V461="Completed"), "Platinum", AND(P461&gt;=50000, P461&lt;=99999, Q461&gt;=3, V461="Completed"), "Gold", AND(Q461&lt;50000, V461="Completed"), "Silver", V461="Pending", "Pending")</f>
        <v>Blacklisted</v>
      </c>
    </row>
    <row r="462" spans="1:23" x14ac:dyDescent="0.5">
      <c r="A462" s="15" t="s">
        <v>1957</v>
      </c>
      <c r="B462" s="15" t="s">
        <v>327</v>
      </c>
      <c r="C462" s="15" t="s">
        <v>54</v>
      </c>
      <c r="D462" s="15" t="s">
        <v>1958</v>
      </c>
      <c r="E462" s="15" t="s">
        <v>1188</v>
      </c>
      <c r="F462" s="15" t="s">
        <v>394</v>
      </c>
      <c r="G462" s="15" t="s">
        <v>76</v>
      </c>
      <c r="H462" s="15" t="s">
        <v>1959</v>
      </c>
      <c r="I462" s="15" t="s">
        <v>44</v>
      </c>
      <c r="J462" s="15" t="s">
        <v>45</v>
      </c>
      <c r="K462" s="15" t="s">
        <v>46</v>
      </c>
      <c r="L462" s="15" t="s">
        <v>60</v>
      </c>
      <c r="M462" s="15">
        <v>19</v>
      </c>
      <c r="N462" s="25">
        <v>55000</v>
      </c>
      <c r="O462" s="15">
        <v>20</v>
      </c>
      <c r="P462" s="25">
        <v>836000</v>
      </c>
      <c r="Q462" s="15">
        <v>5</v>
      </c>
      <c r="R462" s="15" t="s">
        <v>48</v>
      </c>
      <c r="S462" s="15" t="s">
        <v>61</v>
      </c>
      <c r="T462" s="15" t="s">
        <v>332</v>
      </c>
      <c r="U462" s="15">
        <v>9247023285</v>
      </c>
      <c r="V462" s="15" t="s">
        <v>38</v>
      </c>
      <c r="W462" s="29" t="str" cm="1">
        <f t="array" ref="W462">_xlfn.IFS(OR(V462="Cancelled", Q462&lt;=2), "Blacklisted", AND(P462&gt;=100000, Q462&gt;=4, O462&lt;=0.1, V462="Completed"), "Platinum", AND(P462&gt;=50000, P462&lt;=99999, Q462&gt;=3, V462="Completed"), "Gold", AND(Q462&lt;50000, V462="Completed"), "Silver", V462="Pending", "Pending")</f>
        <v>Silver</v>
      </c>
    </row>
    <row r="463" spans="1:23" x14ac:dyDescent="0.5">
      <c r="A463" s="17" t="s">
        <v>1961</v>
      </c>
      <c r="B463" s="17" t="s">
        <v>127</v>
      </c>
      <c r="C463" s="17" t="s">
        <v>118</v>
      </c>
      <c r="D463" s="17" t="s">
        <v>1172</v>
      </c>
      <c r="E463" s="17" t="s">
        <v>128</v>
      </c>
      <c r="F463" s="15" t="s">
        <v>200</v>
      </c>
      <c r="G463" s="17" t="s">
        <v>76</v>
      </c>
      <c r="H463" s="17" t="s">
        <v>1962</v>
      </c>
      <c r="I463" s="17" t="s">
        <v>44</v>
      </c>
      <c r="J463" s="17" t="s">
        <v>45</v>
      </c>
      <c r="K463" s="17" t="s">
        <v>122</v>
      </c>
      <c r="L463" s="17" t="s">
        <v>123</v>
      </c>
      <c r="M463" s="17">
        <v>1</v>
      </c>
      <c r="N463" s="26">
        <v>60</v>
      </c>
      <c r="O463" s="17">
        <v>10</v>
      </c>
      <c r="P463" s="26">
        <v>54</v>
      </c>
      <c r="Q463" s="17">
        <v>4</v>
      </c>
      <c r="R463" s="17" t="s">
        <v>48</v>
      </c>
      <c r="S463" s="17" t="s">
        <v>2109</v>
      </c>
      <c r="T463" s="18" t="s">
        <v>1963</v>
      </c>
      <c r="U463" s="17">
        <v>9448658297</v>
      </c>
      <c r="V463" s="17" t="s">
        <v>69</v>
      </c>
      <c r="W463" s="29" t="str" cm="1">
        <f t="array" ref="W463">_xlfn.IFS(OR(V463="Cancelled", Q463&lt;=2), "Blacklisted", AND(P463&gt;=100000, Q463&gt;=4, O463&lt;=0.1, V463="Completed"), "Platinum", AND(P463&gt;=50000, P463&lt;=99999, Q463&gt;=3, V463="Completed"), "Gold", AND(Q463&lt;50000, V463="Completed"), "Silver", V463="Pending", "Pending")</f>
        <v>Blacklisted</v>
      </c>
    </row>
    <row r="464" spans="1:23" x14ac:dyDescent="0.5">
      <c r="A464" s="15" t="s">
        <v>1965</v>
      </c>
      <c r="B464" s="15" t="s">
        <v>71</v>
      </c>
      <c r="C464" s="15" t="s">
        <v>92</v>
      </c>
      <c r="D464" s="15" t="s">
        <v>1142</v>
      </c>
      <c r="E464" s="15" t="s">
        <v>554</v>
      </c>
      <c r="F464" s="15" t="s">
        <v>217</v>
      </c>
      <c r="G464" s="15" t="s">
        <v>76</v>
      </c>
      <c r="H464" s="15" t="s">
        <v>1966</v>
      </c>
      <c r="I464" s="15" t="s">
        <v>30</v>
      </c>
      <c r="J464" s="15" t="s">
        <v>31</v>
      </c>
      <c r="K464" s="15" t="s">
        <v>32</v>
      </c>
      <c r="L464" s="15" t="s">
        <v>97</v>
      </c>
      <c r="M464" s="15">
        <v>16</v>
      </c>
      <c r="N464" s="25">
        <v>3500</v>
      </c>
      <c r="O464" s="15">
        <v>0</v>
      </c>
      <c r="P464" s="25">
        <v>56000</v>
      </c>
      <c r="Q464" s="15">
        <v>4</v>
      </c>
      <c r="R464" s="15" t="s">
        <v>48</v>
      </c>
      <c r="S464" s="15" t="s">
        <v>35</v>
      </c>
      <c r="T464" s="15" t="s">
        <v>80</v>
      </c>
      <c r="U464" s="15">
        <v>9906748486</v>
      </c>
      <c r="V464" s="15" t="s">
        <v>64</v>
      </c>
      <c r="W464" s="29" t="str" cm="1">
        <f t="array" ref="W464">_xlfn.IFS(OR(V464="Cancelled", Q464&lt;=2), "Blacklisted", AND(P464&gt;=100000, Q464&gt;=4, O464&lt;=0.1, V464="Completed"), "Platinum", AND(P464&gt;=50000, P464&lt;=99999, Q464&gt;=3, V464="Completed"), "Gold", AND(Q464&lt;50000, V464="Completed"), "Silver", V464="Pending", "Pending")</f>
        <v>Pending</v>
      </c>
    </row>
    <row r="465" spans="1:23" x14ac:dyDescent="0.5">
      <c r="A465" s="17" t="s">
        <v>1968</v>
      </c>
      <c r="B465" s="17" t="s">
        <v>127</v>
      </c>
      <c r="C465" s="17" t="s">
        <v>222</v>
      </c>
      <c r="D465" s="17" t="s">
        <v>957</v>
      </c>
      <c r="E465" s="17" t="s">
        <v>766</v>
      </c>
      <c r="F465" s="15" t="s">
        <v>200</v>
      </c>
      <c r="G465" s="17" t="s">
        <v>76</v>
      </c>
      <c r="H465" s="17" t="s">
        <v>1295</v>
      </c>
      <c r="I465" s="17" t="s">
        <v>114</v>
      </c>
      <c r="J465" s="17" t="s">
        <v>106</v>
      </c>
      <c r="K465" s="17" t="s">
        <v>122</v>
      </c>
      <c r="L465" s="17" t="s">
        <v>227</v>
      </c>
      <c r="M465" s="17">
        <v>14</v>
      </c>
      <c r="N465" s="26">
        <v>20</v>
      </c>
      <c r="O465" s="17">
        <v>10</v>
      </c>
      <c r="P465" s="26">
        <v>252</v>
      </c>
      <c r="Q465" s="17">
        <v>1</v>
      </c>
      <c r="R465" s="17" t="s">
        <v>48</v>
      </c>
      <c r="S465" s="17" t="s">
        <v>61</v>
      </c>
      <c r="T465" s="17" t="s">
        <v>132</v>
      </c>
      <c r="U465" s="17">
        <v>9365182725</v>
      </c>
      <c r="V465" s="17" t="s">
        <v>64</v>
      </c>
      <c r="W465" s="29" t="str" cm="1">
        <f t="array" ref="W465">_xlfn.IFS(OR(V465="Cancelled", Q465&lt;=2), "Blacklisted", AND(P465&gt;=100000, Q465&gt;=4, O465&lt;=0.1, V465="Completed"), "Platinum", AND(P465&gt;=50000, P465&lt;=99999, Q465&gt;=3, V465="Completed"), "Gold", AND(Q465&lt;50000, V465="Completed"), "Silver", V465="Pending", "Pending")</f>
        <v>Blacklisted</v>
      </c>
    </row>
    <row r="466" spans="1:23" x14ac:dyDescent="0.5">
      <c r="A466" s="15" t="s">
        <v>1970</v>
      </c>
      <c r="B466" s="15" t="s">
        <v>71</v>
      </c>
      <c r="C466" s="15" t="s">
        <v>24</v>
      </c>
      <c r="D466" s="15" t="s">
        <v>473</v>
      </c>
      <c r="E466" s="15" t="s">
        <v>454</v>
      </c>
      <c r="F466" s="15" t="s">
        <v>217</v>
      </c>
      <c r="G466" s="15" t="s">
        <v>76</v>
      </c>
      <c r="H466" s="15" t="s">
        <v>1971</v>
      </c>
      <c r="I466" s="15" t="s">
        <v>59</v>
      </c>
      <c r="J466" s="15" t="s">
        <v>31</v>
      </c>
      <c r="K466" s="15" t="s">
        <v>32</v>
      </c>
      <c r="L466" s="15" t="s">
        <v>33</v>
      </c>
      <c r="M466" s="15">
        <v>11</v>
      </c>
      <c r="N466" s="25">
        <v>2200</v>
      </c>
      <c r="O466" s="15">
        <v>15</v>
      </c>
      <c r="P466" s="25">
        <v>20570</v>
      </c>
      <c r="Q466" s="15">
        <v>4</v>
      </c>
      <c r="R466" s="15" t="s">
        <v>48</v>
      </c>
      <c r="S466" s="15" t="s">
        <v>49</v>
      </c>
      <c r="T466" s="15" t="s">
        <v>80</v>
      </c>
      <c r="U466" s="15">
        <v>9937119494</v>
      </c>
      <c r="V466" s="15" t="s">
        <v>69</v>
      </c>
      <c r="W466" s="29" t="str" cm="1">
        <f t="array" ref="W466">_xlfn.IFS(OR(V466="Cancelled", Q466&lt;=2), "Blacklisted", AND(P466&gt;=100000, Q466&gt;=4, O466&lt;=0.1, V466="Completed"), "Platinum", AND(P466&gt;=50000, P466&lt;=99999, Q466&gt;=3, V466="Completed"), "Gold", AND(Q466&lt;50000, V466="Completed"), "Silver", V466="Pending", "Pending")</f>
        <v>Blacklisted</v>
      </c>
    </row>
    <row r="467" spans="1:23" x14ac:dyDescent="0.5">
      <c r="A467" s="17" t="s">
        <v>1973</v>
      </c>
      <c r="B467" s="17" t="s">
        <v>83</v>
      </c>
      <c r="C467" s="17" t="s">
        <v>54</v>
      </c>
      <c r="D467" s="17" t="s">
        <v>756</v>
      </c>
      <c r="E467" s="17" t="s">
        <v>1282</v>
      </c>
      <c r="F467" s="15" t="s">
        <v>180</v>
      </c>
      <c r="G467" s="17" t="s">
        <v>76</v>
      </c>
      <c r="H467" s="17" t="s">
        <v>1974</v>
      </c>
      <c r="I467" s="17" t="s">
        <v>212</v>
      </c>
      <c r="J467" s="17" t="s">
        <v>45</v>
      </c>
      <c r="K467" s="17" t="s">
        <v>46</v>
      </c>
      <c r="L467" s="17" t="s">
        <v>60</v>
      </c>
      <c r="M467" s="17">
        <v>2</v>
      </c>
      <c r="N467" s="26">
        <v>55000</v>
      </c>
      <c r="O467" s="17">
        <v>0</v>
      </c>
      <c r="P467" s="26">
        <v>110000</v>
      </c>
      <c r="Q467" s="17">
        <v>4</v>
      </c>
      <c r="R467" s="17" t="s">
        <v>48</v>
      </c>
      <c r="S467" s="17" t="s">
        <v>49</v>
      </c>
      <c r="T467" s="17" t="s">
        <v>89</v>
      </c>
      <c r="U467" s="17">
        <v>9828015293</v>
      </c>
      <c r="V467" s="17" t="s">
        <v>69</v>
      </c>
      <c r="W467" s="29" t="str" cm="1">
        <f t="array" ref="W467">_xlfn.IFS(OR(V467="Cancelled", Q467&lt;=2), "Blacklisted", AND(P467&gt;=100000, Q467&gt;=4, O467&lt;=0.1, V467="Completed"), "Platinum", AND(P467&gt;=50000, P467&lt;=99999, Q467&gt;=3, V467="Completed"), "Gold", AND(Q467&lt;50000, V467="Completed"), "Silver", V467="Pending", "Pending")</f>
        <v>Blacklisted</v>
      </c>
    </row>
    <row r="468" spans="1:23" x14ac:dyDescent="0.5">
      <c r="A468" s="15" t="s">
        <v>1976</v>
      </c>
      <c r="B468" s="15" t="s">
        <v>53</v>
      </c>
      <c r="C468" s="15" t="s">
        <v>24</v>
      </c>
      <c r="D468" s="15" t="s">
        <v>512</v>
      </c>
      <c r="E468" s="15" t="s">
        <v>513</v>
      </c>
      <c r="F468" s="15" t="s">
        <v>163</v>
      </c>
      <c r="G468" s="15" t="s">
        <v>28</v>
      </c>
      <c r="H468" s="15" t="s">
        <v>1977</v>
      </c>
      <c r="I468" s="15" t="s">
        <v>114</v>
      </c>
      <c r="J468" s="15" t="s">
        <v>106</v>
      </c>
      <c r="K468" s="15" t="s">
        <v>32</v>
      </c>
      <c r="L468" s="15" t="s">
        <v>33</v>
      </c>
      <c r="M468" s="15">
        <v>7</v>
      </c>
      <c r="N468" s="25">
        <v>2200</v>
      </c>
      <c r="O468" s="15">
        <v>5</v>
      </c>
      <c r="P468" s="25">
        <v>14630</v>
      </c>
      <c r="Q468" s="15">
        <v>4</v>
      </c>
      <c r="R468" s="15" t="s">
        <v>79</v>
      </c>
      <c r="S468" s="15" t="s">
        <v>115</v>
      </c>
      <c r="T468" s="15" t="s">
        <v>62</v>
      </c>
      <c r="U468" s="15">
        <v>9864206250</v>
      </c>
      <c r="V468" s="15" t="s">
        <v>69</v>
      </c>
      <c r="W468" s="29" t="str" cm="1">
        <f t="array" ref="W468">_xlfn.IFS(OR(V468="Cancelled", Q468&lt;=2), "Blacklisted", AND(P468&gt;=100000, Q468&gt;=4, O468&lt;=0.1, V468="Completed"), "Platinum", AND(P468&gt;=50000, P468&lt;=99999, Q468&gt;=3, V468="Completed"), "Gold", AND(Q468&lt;50000, V468="Completed"), "Silver", V468="Pending", "Pending")</f>
        <v>Blacklisted</v>
      </c>
    </row>
    <row r="469" spans="1:23" x14ac:dyDescent="0.5">
      <c r="A469" s="17" t="s">
        <v>1979</v>
      </c>
      <c r="B469" s="17" t="s">
        <v>23</v>
      </c>
      <c r="C469" s="17" t="s">
        <v>259</v>
      </c>
      <c r="D469" s="17" t="s">
        <v>1507</v>
      </c>
      <c r="E469" s="17" t="s">
        <v>577</v>
      </c>
      <c r="F469" s="15" t="s">
        <v>27</v>
      </c>
      <c r="G469" s="17" t="s">
        <v>28</v>
      </c>
      <c r="H469" s="17" t="s">
        <v>1980</v>
      </c>
      <c r="I469" s="17" t="s">
        <v>138</v>
      </c>
      <c r="J469" s="17" t="s">
        <v>106</v>
      </c>
      <c r="K469" s="17" t="s">
        <v>122</v>
      </c>
      <c r="L469" s="17" t="s">
        <v>263</v>
      </c>
      <c r="M469" s="17">
        <v>11</v>
      </c>
      <c r="N469" s="26">
        <v>45</v>
      </c>
      <c r="O469" s="17">
        <v>15</v>
      </c>
      <c r="P469" s="26">
        <v>420.75</v>
      </c>
      <c r="Q469" s="17">
        <v>4</v>
      </c>
      <c r="R469" s="17" t="s">
        <v>79</v>
      </c>
      <c r="S469" s="17" t="s">
        <v>61</v>
      </c>
      <c r="T469" s="17" t="s">
        <v>50</v>
      </c>
      <c r="U469" s="17">
        <v>9519293104</v>
      </c>
      <c r="V469" s="17" t="s">
        <v>64</v>
      </c>
      <c r="W469" s="29" t="str" cm="1">
        <f t="array" ref="W469">_xlfn.IFS(OR(V469="Cancelled", Q469&lt;=2), "Blacklisted", AND(P469&gt;=100000, Q469&gt;=4, O469&lt;=0.1, V469="Completed"), "Platinum", AND(P469&gt;=50000, P469&lt;=99999, Q469&gt;=3, V469="Completed"), "Gold", AND(Q469&lt;50000, V469="Completed"), "Silver", V469="Pending", "Pending")</f>
        <v>Pending</v>
      </c>
    </row>
    <row r="470" spans="1:23" x14ac:dyDescent="0.5">
      <c r="A470" s="15" t="s">
        <v>1982</v>
      </c>
      <c r="B470" s="15" t="s">
        <v>100</v>
      </c>
      <c r="C470" s="15" t="s">
        <v>118</v>
      </c>
      <c r="D470" s="15" t="s">
        <v>1114</v>
      </c>
      <c r="E470" s="15" t="s">
        <v>210</v>
      </c>
      <c r="F470" s="15" t="s">
        <v>103</v>
      </c>
      <c r="G470" s="15" t="s">
        <v>28</v>
      </c>
      <c r="H470" s="15" t="s">
        <v>1983</v>
      </c>
      <c r="I470" s="15" t="s">
        <v>105</v>
      </c>
      <c r="J470" s="15" t="s">
        <v>106</v>
      </c>
      <c r="K470" s="15" t="s">
        <v>122</v>
      </c>
      <c r="L470" s="15" t="s">
        <v>123</v>
      </c>
      <c r="M470" s="15">
        <v>16</v>
      </c>
      <c r="N470" s="25">
        <v>60</v>
      </c>
      <c r="O470" s="15">
        <v>5</v>
      </c>
      <c r="P470" s="25">
        <v>912</v>
      </c>
      <c r="Q470" s="15">
        <v>2</v>
      </c>
      <c r="R470" s="15" t="s">
        <v>34</v>
      </c>
      <c r="S470" s="15" t="s">
        <v>115</v>
      </c>
      <c r="T470" s="15" t="s">
        <v>144</v>
      </c>
      <c r="U470" s="15">
        <v>9296075245</v>
      </c>
      <c r="V470" s="15" t="s">
        <v>69</v>
      </c>
      <c r="W470" s="29" t="str" cm="1">
        <f t="array" ref="W470">_xlfn.IFS(OR(V470="Cancelled", Q470&lt;=2), "Blacklisted", AND(P470&gt;=100000, Q470&gt;=4, O470&lt;=0.1, V470="Completed"), "Platinum", AND(P470&gt;=50000, P470&lt;=99999, Q470&gt;=3, V470="Completed"), "Gold", AND(Q470&lt;50000, V470="Completed"), "Silver", V470="Pending", "Pending")</f>
        <v>Blacklisted</v>
      </c>
    </row>
    <row r="471" spans="1:23" x14ac:dyDescent="0.5">
      <c r="A471" s="17" t="s">
        <v>1985</v>
      </c>
      <c r="B471" s="17" t="s">
        <v>327</v>
      </c>
      <c r="C471" s="17" t="s">
        <v>54</v>
      </c>
      <c r="D471" s="17" t="s">
        <v>1102</v>
      </c>
      <c r="E471" s="17" t="s">
        <v>864</v>
      </c>
      <c r="F471" s="15" t="s">
        <v>394</v>
      </c>
      <c r="G471" s="17" t="s">
        <v>76</v>
      </c>
      <c r="H471" s="17" t="s">
        <v>1986</v>
      </c>
      <c r="I471" s="17" t="s">
        <v>114</v>
      </c>
      <c r="J471" s="17" t="s">
        <v>106</v>
      </c>
      <c r="K471" s="17" t="s">
        <v>46</v>
      </c>
      <c r="L471" s="17" t="s">
        <v>60</v>
      </c>
      <c r="M471" s="17">
        <v>18</v>
      </c>
      <c r="N471" s="26">
        <v>55000</v>
      </c>
      <c r="O471" s="17">
        <v>0</v>
      </c>
      <c r="P471" s="26">
        <v>990000</v>
      </c>
      <c r="Q471" s="17">
        <v>5</v>
      </c>
      <c r="R471" s="17" t="s">
        <v>48</v>
      </c>
      <c r="S471" s="17" t="s">
        <v>49</v>
      </c>
      <c r="T471" s="17" t="s">
        <v>332</v>
      </c>
      <c r="U471" s="17">
        <v>9316770206</v>
      </c>
      <c r="V471" s="17" t="s">
        <v>64</v>
      </c>
      <c r="W471" s="29" t="str" cm="1">
        <f t="array" ref="W471">_xlfn.IFS(OR(V471="Cancelled", Q471&lt;=2), "Blacklisted", AND(P471&gt;=100000, Q471&gt;=4, O471&lt;=0.1, V471="Completed"), "Platinum", AND(P471&gt;=50000, P471&lt;=99999, Q471&gt;=3, V471="Completed"), "Gold", AND(Q471&lt;50000, V471="Completed"), "Silver", V471="Pending", "Pending")</f>
        <v>Pending</v>
      </c>
    </row>
    <row r="472" spans="1:23" x14ac:dyDescent="0.5">
      <c r="A472" s="15" t="s">
        <v>1988</v>
      </c>
      <c r="B472" s="15" t="s">
        <v>23</v>
      </c>
      <c r="C472" s="15" t="s">
        <v>72</v>
      </c>
      <c r="D472" s="15" t="s">
        <v>1989</v>
      </c>
      <c r="E472" s="15" t="s">
        <v>1880</v>
      </c>
      <c r="F472" s="15" t="s">
        <v>27</v>
      </c>
      <c r="G472" s="15" t="s">
        <v>28</v>
      </c>
      <c r="H472" s="15" t="s">
        <v>1990</v>
      </c>
      <c r="I472" s="15" t="s">
        <v>59</v>
      </c>
      <c r="J472" s="15" t="s">
        <v>31</v>
      </c>
      <c r="K472" s="15" t="s">
        <v>46</v>
      </c>
      <c r="L472" s="15" t="s">
        <v>78</v>
      </c>
      <c r="M472" s="15">
        <v>17</v>
      </c>
      <c r="N472" s="25">
        <v>1200</v>
      </c>
      <c r="O472" s="15">
        <v>5</v>
      </c>
      <c r="P472" s="25">
        <v>19380</v>
      </c>
      <c r="Q472" s="15">
        <v>1</v>
      </c>
      <c r="R472" s="15" t="s">
        <v>48</v>
      </c>
      <c r="S472" s="15" t="s">
        <v>35</v>
      </c>
      <c r="T472" s="15" t="s">
        <v>50</v>
      </c>
      <c r="U472" s="15">
        <v>9706553861</v>
      </c>
      <c r="V472" s="15" t="s">
        <v>64</v>
      </c>
      <c r="W472" s="29" t="str" cm="1">
        <f t="array" ref="W472">_xlfn.IFS(OR(V472="Cancelled", Q472&lt;=2), "Blacklisted", AND(P472&gt;=100000, Q472&gt;=4, O472&lt;=0.1, V472="Completed"), "Platinum", AND(P472&gt;=50000, P472&lt;=99999, Q472&gt;=3, V472="Completed"), "Gold", AND(Q472&lt;50000, V472="Completed"), "Silver", V472="Pending", "Pending")</f>
        <v>Blacklisted</v>
      </c>
    </row>
    <row r="473" spans="1:23" x14ac:dyDescent="0.5">
      <c r="A473" s="17" t="s">
        <v>1992</v>
      </c>
      <c r="B473" s="17" t="s">
        <v>53</v>
      </c>
      <c r="C473" s="17" t="s">
        <v>54</v>
      </c>
      <c r="D473" s="17" t="s">
        <v>41</v>
      </c>
      <c r="E473" s="17" t="s">
        <v>199</v>
      </c>
      <c r="F473" s="15" t="s">
        <v>163</v>
      </c>
      <c r="G473" s="17" t="s">
        <v>28</v>
      </c>
      <c r="H473" s="17" t="s">
        <v>1993</v>
      </c>
      <c r="I473" s="17" t="s">
        <v>114</v>
      </c>
      <c r="J473" s="17" t="s">
        <v>106</v>
      </c>
      <c r="K473" s="17" t="s">
        <v>46</v>
      </c>
      <c r="L473" s="17" t="s">
        <v>60</v>
      </c>
      <c r="M473" s="17">
        <v>11</v>
      </c>
      <c r="N473" s="26">
        <v>55000</v>
      </c>
      <c r="O473" s="17">
        <v>0</v>
      </c>
      <c r="P473" s="26">
        <v>605000</v>
      </c>
      <c r="Q473" s="17">
        <v>2</v>
      </c>
      <c r="R473" s="17" t="s">
        <v>34</v>
      </c>
      <c r="S473" s="17" t="s">
        <v>61</v>
      </c>
      <c r="T473" s="17" t="s">
        <v>62</v>
      </c>
      <c r="U473" s="17">
        <v>9524904662</v>
      </c>
      <c r="V473" s="17" t="s">
        <v>64</v>
      </c>
      <c r="W473" s="29" t="str" cm="1">
        <f t="array" ref="W473">_xlfn.IFS(OR(V473="Cancelled", Q473&lt;=2), "Blacklisted", AND(P473&gt;=100000, Q473&gt;=4, O473&lt;=0.1, V473="Completed"), "Platinum", AND(P473&gt;=50000, P473&lt;=99999, Q473&gt;=3, V473="Completed"), "Gold", AND(Q473&lt;50000, V473="Completed"), "Silver", V473="Pending", "Pending")</f>
        <v>Blacklisted</v>
      </c>
    </row>
    <row r="474" spans="1:23" x14ac:dyDescent="0.5">
      <c r="A474" s="15" t="s">
        <v>1995</v>
      </c>
      <c r="B474" s="15" t="s">
        <v>251</v>
      </c>
      <c r="C474" s="15" t="s">
        <v>184</v>
      </c>
      <c r="D474" s="15" t="s">
        <v>236</v>
      </c>
      <c r="E474" s="15" t="s">
        <v>678</v>
      </c>
      <c r="F474" s="15" t="s">
        <v>254</v>
      </c>
      <c r="G474" s="15" t="s">
        <v>28</v>
      </c>
      <c r="H474" s="15" t="s">
        <v>1996</v>
      </c>
      <c r="I474" s="15" t="s">
        <v>44</v>
      </c>
      <c r="J474" s="15" t="s">
        <v>45</v>
      </c>
      <c r="K474" s="15" t="s">
        <v>46</v>
      </c>
      <c r="L474" s="15" t="s">
        <v>189</v>
      </c>
      <c r="M474" s="15">
        <v>20</v>
      </c>
      <c r="N474" s="25">
        <v>700</v>
      </c>
      <c r="O474" s="15">
        <v>20</v>
      </c>
      <c r="P474" s="25">
        <v>11200</v>
      </c>
      <c r="Q474" s="15">
        <v>5</v>
      </c>
      <c r="R474" s="15" t="s">
        <v>48</v>
      </c>
      <c r="S474" s="15" t="s">
        <v>61</v>
      </c>
      <c r="T474" s="15" t="s">
        <v>256</v>
      </c>
      <c r="U474" s="15">
        <v>9577624596</v>
      </c>
      <c r="V474" s="15" t="s">
        <v>38</v>
      </c>
      <c r="W474" s="29" t="str" cm="1">
        <f t="array" ref="W474">_xlfn.IFS(OR(V474="Cancelled", Q474&lt;=2), "Blacklisted", AND(P474&gt;=100000, Q474&gt;=4, O474&lt;=0.1, V474="Completed"), "Platinum", AND(P474&gt;=50000, P474&lt;=99999, Q474&gt;=3, V474="Completed"), "Gold", AND(Q474&lt;50000, V474="Completed"), "Silver", V474="Pending", "Pending")</f>
        <v>Silver</v>
      </c>
    </row>
    <row r="475" spans="1:23" x14ac:dyDescent="0.5">
      <c r="A475" s="17" t="s">
        <v>1998</v>
      </c>
      <c r="B475" s="17" t="s">
        <v>71</v>
      </c>
      <c r="C475" s="17" t="s">
        <v>222</v>
      </c>
      <c r="D475" s="17" t="s">
        <v>484</v>
      </c>
      <c r="E475" s="17" t="s">
        <v>322</v>
      </c>
      <c r="F475" s="15" t="s">
        <v>217</v>
      </c>
      <c r="G475" s="17" t="s">
        <v>76</v>
      </c>
      <c r="H475" s="17" t="s">
        <v>1999</v>
      </c>
      <c r="I475" s="17" t="s">
        <v>44</v>
      </c>
      <c r="J475" s="17" t="s">
        <v>45</v>
      </c>
      <c r="K475" s="17" t="s">
        <v>122</v>
      </c>
      <c r="L475" s="17" t="s">
        <v>227</v>
      </c>
      <c r="M475" s="17">
        <v>5</v>
      </c>
      <c r="N475" s="26">
        <v>20</v>
      </c>
      <c r="O475" s="17">
        <v>5</v>
      </c>
      <c r="P475" s="26">
        <v>95</v>
      </c>
      <c r="Q475" s="17">
        <v>4</v>
      </c>
      <c r="R475" s="17" t="s">
        <v>34</v>
      </c>
      <c r="S475" s="17" t="s">
        <v>49</v>
      </c>
      <c r="T475" s="17" t="s">
        <v>80</v>
      </c>
      <c r="U475" s="17">
        <v>9898452436</v>
      </c>
      <c r="V475" s="17" t="s">
        <v>69</v>
      </c>
      <c r="W475" s="29" t="str" cm="1">
        <f t="array" ref="W475">_xlfn.IFS(OR(V475="Cancelled", Q475&lt;=2), "Blacklisted", AND(P475&gt;=100000, Q475&gt;=4, O475&lt;=0.1, V475="Completed"), "Platinum", AND(P475&gt;=50000, P475&lt;=99999, Q475&gt;=3, V475="Completed"), "Gold", AND(Q475&lt;50000, V475="Completed"), "Silver", V475="Pending", "Pending")</f>
        <v>Blacklisted</v>
      </c>
    </row>
    <row r="476" spans="1:23" x14ac:dyDescent="0.5">
      <c r="A476" s="15" t="s">
        <v>2001</v>
      </c>
      <c r="B476" s="15" t="s">
        <v>327</v>
      </c>
      <c r="C476" s="15" t="s">
        <v>54</v>
      </c>
      <c r="D476" s="15" t="s">
        <v>765</v>
      </c>
      <c r="E476" s="15" t="s">
        <v>1373</v>
      </c>
      <c r="F476" s="15" t="s">
        <v>394</v>
      </c>
      <c r="G476" s="15" t="s">
        <v>76</v>
      </c>
      <c r="H476" s="15" t="s">
        <v>2002</v>
      </c>
      <c r="I476" s="15" t="s">
        <v>105</v>
      </c>
      <c r="J476" s="15" t="s">
        <v>106</v>
      </c>
      <c r="K476" s="15" t="s">
        <v>46</v>
      </c>
      <c r="L476" s="15" t="s">
        <v>60</v>
      </c>
      <c r="M476" s="15">
        <v>13</v>
      </c>
      <c r="N476" s="25">
        <v>55000</v>
      </c>
      <c r="O476" s="15">
        <v>5</v>
      </c>
      <c r="P476" s="25">
        <v>679250</v>
      </c>
      <c r="Q476" s="15">
        <v>1</v>
      </c>
      <c r="R476" s="15" t="s">
        <v>48</v>
      </c>
      <c r="S476" s="15" t="s">
        <v>49</v>
      </c>
      <c r="T476" s="15" t="s">
        <v>332</v>
      </c>
      <c r="U476" s="15">
        <v>9960757012</v>
      </c>
      <c r="V476" s="15" t="s">
        <v>64</v>
      </c>
      <c r="W476" s="29" t="str" cm="1">
        <f t="array" ref="W476">_xlfn.IFS(OR(V476="Cancelled", Q476&lt;=2), "Blacklisted", AND(P476&gt;=100000, Q476&gt;=4, O476&lt;=0.1, V476="Completed"), "Platinum", AND(P476&gt;=50000, P476&lt;=99999, Q476&gt;=3, V476="Completed"), "Gold", AND(Q476&lt;50000, V476="Completed"), "Silver", V476="Pending", "Pending")</f>
        <v>Blacklisted</v>
      </c>
    </row>
    <row r="477" spans="1:23" x14ac:dyDescent="0.5">
      <c r="A477" s="17" t="s">
        <v>2004</v>
      </c>
      <c r="B477" s="17" t="s">
        <v>127</v>
      </c>
      <c r="C477" s="17" t="s">
        <v>54</v>
      </c>
      <c r="D477" s="17" t="s">
        <v>102</v>
      </c>
      <c r="E477" s="17" t="s">
        <v>1114</v>
      </c>
      <c r="F477" s="15" t="s">
        <v>200</v>
      </c>
      <c r="G477" s="17" t="s">
        <v>76</v>
      </c>
      <c r="H477" s="17" t="s">
        <v>2005</v>
      </c>
      <c r="I477" s="17" t="s">
        <v>294</v>
      </c>
      <c r="J477" s="17" t="s">
        <v>295</v>
      </c>
      <c r="K477" s="17" t="s">
        <v>46</v>
      </c>
      <c r="L477" s="17" t="s">
        <v>60</v>
      </c>
      <c r="M477" s="17">
        <v>12</v>
      </c>
      <c r="N477" s="26">
        <v>55000</v>
      </c>
      <c r="O477" s="17">
        <v>5</v>
      </c>
      <c r="P477" s="26">
        <v>627000</v>
      </c>
      <c r="Q477" s="17">
        <v>1</v>
      </c>
      <c r="R477" s="17" t="s">
        <v>48</v>
      </c>
      <c r="S477" s="17" t="s">
        <v>115</v>
      </c>
      <c r="T477" s="17" t="s">
        <v>132</v>
      </c>
      <c r="U477" s="17">
        <v>9331268182</v>
      </c>
      <c r="V477" s="17" t="s">
        <v>69</v>
      </c>
      <c r="W477" s="29" t="str" cm="1">
        <f t="array" ref="W477">_xlfn.IFS(OR(V477="Cancelled", Q477&lt;=2), "Blacklisted", AND(P477&gt;=100000, Q477&gt;=4, O477&lt;=0.1, V477="Completed"), "Platinum", AND(P477&gt;=50000, P477&lt;=99999, Q477&gt;=3, V477="Completed"), "Gold", AND(Q477&lt;50000, V477="Completed"), "Silver", V477="Pending", "Pending")</f>
        <v>Blacklisted</v>
      </c>
    </row>
    <row r="478" spans="1:23" x14ac:dyDescent="0.5">
      <c r="A478" s="15" t="s">
        <v>2007</v>
      </c>
      <c r="B478" s="15" t="s">
        <v>53</v>
      </c>
      <c r="C478" s="15" t="s">
        <v>259</v>
      </c>
      <c r="D478" s="15" t="s">
        <v>761</v>
      </c>
      <c r="E478" s="15" t="s">
        <v>1705</v>
      </c>
      <c r="F478" s="15" t="s">
        <v>163</v>
      </c>
      <c r="G478" s="15" t="s">
        <v>28</v>
      </c>
      <c r="H478" s="15" t="s">
        <v>2008</v>
      </c>
      <c r="I478" s="15" t="s">
        <v>105</v>
      </c>
      <c r="J478" s="15" t="s">
        <v>106</v>
      </c>
      <c r="K478" s="15" t="s">
        <v>122</v>
      </c>
      <c r="L478" s="15" t="s">
        <v>263</v>
      </c>
      <c r="M478" s="15">
        <v>16</v>
      </c>
      <c r="N478" s="25">
        <v>45</v>
      </c>
      <c r="O478" s="15">
        <v>20</v>
      </c>
      <c r="P478" s="25">
        <v>576</v>
      </c>
      <c r="Q478" s="15">
        <v>2</v>
      </c>
      <c r="R478" s="15" t="s">
        <v>34</v>
      </c>
      <c r="S478" s="15" t="s">
        <v>49</v>
      </c>
      <c r="T478" s="15" t="s">
        <v>62</v>
      </c>
      <c r="U478" s="15">
        <v>9135996862</v>
      </c>
      <c r="V478" s="15" t="s">
        <v>64</v>
      </c>
      <c r="W478" s="29" t="str" cm="1">
        <f t="array" ref="W478">_xlfn.IFS(OR(V478="Cancelled", Q478&lt;=2), "Blacklisted", AND(P478&gt;=100000, Q478&gt;=4, O478&lt;=0.1, V478="Completed"), "Platinum", AND(P478&gt;=50000, P478&lt;=99999, Q478&gt;=3, V478="Completed"), "Gold", AND(Q478&lt;50000, V478="Completed"), "Silver", V478="Pending", "Pending")</f>
        <v>Blacklisted</v>
      </c>
    </row>
    <row r="479" spans="1:23" x14ac:dyDescent="0.5">
      <c r="A479" s="17" t="s">
        <v>2010</v>
      </c>
      <c r="B479" s="17" t="s">
        <v>23</v>
      </c>
      <c r="C479" s="17" t="s">
        <v>72</v>
      </c>
      <c r="D479" s="17" t="s">
        <v>25</v>
      </c>
      <c r="E479" s="17" t="s">
        <v>73</v>
      </c>
      <c r="F479" s="15" t="s">
        <v>27</v>
      </c>
      <c r="G479" s="17" t="s">
        <v>28</v>
      </c>
      <c r="H479" s="17" t="s">
        <v>2011</v>
      </c>
      <c r="I479" s="17" t="s">
        <v>59</v>
      </c>
      <c r="J479" s="17" t="s">
        <v>31</v>
      </c>
      <c r="K479" s="17" t="s">
        <v>46</v>
      </c>
      <c r="L479" s="17" t="s">
        <v>78</v>
      </c>
      <c r="M479" s="17">
        <v>5</v>
      </c>
      <c r="N479" s="26">
        <v>1200</v>
      </c>
      <c r="O479" s="17">
        <v>10</v>
      </c>
      <c r="P479" s="26">
        <v>5400</v>
      </c>
      <c r="Q479" s="17">
        <v>1</v>
      </c>
      <c r="R479" s="17" t="s">
        <v>34</v>
      </c>
      <c r="S479" s="17" t="s">
        <v>2109</v>
      </c>
      <c r="T479" s="18" t="s">
        <v>2012</v>
      </c>
      <c r="U479" s="17">
        <v>9540813143</v>
      </c>
      <c r="V479" s="17" t="s">
        <v>38</v>
      </c>
      <c r="W479" s="29" t="str" cm="1">
        <f t="array" ref="W479">_xlfn.IFS(OR(V479="Cancelled", Q479&lt;=2), "Blacklisted", AND(P479&gt;=100000, Q479&gt;=4, O479&lt;=0.1, V479="Completed"), "Platinum", AND(P479&gt;=50000, P479&lt;=99999, Q479&gt;=3, V479="Completed"), "Gold", AND(Q479&lt;50000, V479="Completed"), "Silver", V479="Pending", "Pending")</f>
        <v>Blacklisted</v>
      </c>
    </row>
    <row r="480" spans="1:23" x14ac:dyDescent="0.5">
      <c r="A480" s="15" t="s">
        <v>2014</v>
      </c>
      <c r="B480" s="15" t="s">
        <v>168</v>
      </c>
      <c r="C480" s="15" t="s">
        <v>259</v>
      </c>
      <c r="D480" s="15" t="s">
        <v>282</v>
      </c>
      <c r="E480" s="15" t="s">
        <v>702</v>
      </c>
      <c r="F480" s="15" t="s">
        <v>361</v>
      </c>
      <c r="G480" s="15" t="s">
        <v>28</v>
      </c>
      <c r="H480" s="15" t="s">
        <v>2016</v>
      </c>
      <c r="I480" s="15" t="s">
        <v>294</v>
      </c>
      <c r="J480" s="15" t="s">
        <v>295</v>
      </c>
      <c r="K480" s="15" t="s">
        <v>122</v>
      </c>
      <c r="L480" s="15" t="s">
        <v>263</v>
      </c>
      <c r="M480" s="15">
        <v>2</v>
      </c>
      <c r="N480" s="25">
        <v>45</v>
      </c>
      <c r="O480" s="15">
        <v>10</v>
      </c>
      <c r="P480" s="25">
        <v>81</v>
      </c>
      <c r="Q480" s="15">
        <v>4</v>
      </c>
      <c r="R480" s="15" t="s">
        <v>88</v>
      </c>
      <c r="S480" s="15" t="s">
        <v>49</v>
      </c>
      <c r="T480" s="15" t="s">
        <v>175</v>
      </c>
      <c r="U480" s="15">
        <v>9910913552</v>
      </c>
      <c r="V480" s="15" t="s">
        <v>64</v>
      </c>
      <c r="W480" s="29" t="str" cm="1">
        <f t="array" ref="W480">_xlfn.IFS(OR(V480="Cancelled", Q480&lt;=2), "Blacklisted", AND(P480&gt;=100000, Q480&gt;=4, O480&lt;=0.1, V480="Completed"), "Platinum", AND(P480&gt;=50000, P480&lt;=99999, Q480&gt;=3, V480="Completed"), "Gold", AND(Q480&lt;50000, V480="Completed"), "Silver", V480="Pending", "Pending")</f>
        <v>Pending</v>
      </c>
    </row>
    <row r="481" spans="1:23" x14ac:dyDescent="0.5">
      <c r="A481" s="17" t="s">
        <v>2018</v>
      </c>
      <c r="B481" s="17" t="s">
        <v>127</v>
      </c>
      <c r="C481" s="17" t="s">
        <v>40</v>
      </c>
      <c r="D481" s="17" t="s">
        <v>85</v>
      </c>
      <c r="E481" s="17" t="s">
        <v>587</v>
      </c>
      <c r="F481" s="15" t="s">
        <v>200</v>
      </c>
      <c r="G481" s="17" t="s">
        <v>76</v>
      </c>
      <c r="H481" s="17" t="s">
        <v>2019</v>
      </c>
      <c r="I481" s="17" t="s">
        <v>138</v>
      </c>
      <c r="J481" s="17" t="s">
        <v>106</v>
      </c>
      <c r="K481" s="17" t="s">
        <v>46</v>
      </c>
      <c r="L481" s="17" t="s">
        <v>47</v>
      </c>
      <c r="M481" s="17">
        <v>3</v>
      </c>
      <c r="N481" s="26">
        <v>12000</v>
      </c>
      <c r="O481" s="17">
        <v>0</v>
      </c>
      <c r="P481" s="26">
        <v>36000</v>
      </c>
      <c r="Q481" s="17">
        <v>2</v>
      </c>
      <c r="R481" s="17" t="s">
        <v>88</v>
      </c>
      <c r="S481" s="17" t="s">
        <v>151</v>
      </c>
      <c r="T481" s="17" t="s">
        <v>132</v>
      </c>
      <c r="U481" s="17">
        <v>9282751683</v>
      </c>
      <c r="V481" s="17" t="s">
        <v>64</v>
      </c>
      <c r="W481" s="29" t="str" cm="1">
        <f t="array" ref="W481">_xlfn.IFS(OR(V481="Cancelled", Q481&lt;=2), "Blacklisted", AND(P481&gt;=100000, Q481&gt;=4, O481&lt;=0.1, V481="Completed"), "Platinum", AND(P481&gt;=50000, P481&lt;=99999, Q481&gt;=3, V481="Completed"), "Gold", AND(Q481&lt;50000, V481="Completed"), "Silver", V481="Pending", "Pending")</f>
        <v>Blacklisted</v>
      </c>
    </row>
    <row r="482" spans="1:23" x14ac:dyDescent="0.5">
      <c r="A482" s="15" t="s">
        <v>2021</v>
      </c>
      <c r="B482" s="15" t="s">
        <v>23</v>
      </c>
      <c r="C482" s="15" t="s">
        <v>40</v>
      </c>
      <c r="D482" s="15" t="s">
        <v>2022</v>
      </c>
      <c r="E482" s="15" t="s">
        <v>1863</v>
      </c>
      <c r="F482" s="15" t="s">
        <v>27</v>
      </c>
      <c r="G482" s="15" t="s">
        <v>28</v>
      </c>
      <c r="H482" s="15" t="s">
        <v>2023</v>
      </c>
      <c r="I482" s="15" t="s">
        <v>59</v>
      </c>
      <c r="J482" s="15" t="s">
        <v>31</v>
      </c>
      <c r="K482" s="15" t="s">
        <v>46</v>
      </c>
      <c r="L482" s="15" t="s">
        <v>47</v>
      </c>
      <c r="M482" s="15">
        <v>3</v>
      </c>
      <c r="N482" s="25">
        <v>12000</v>
      </c>
      <c r="O482" s="15">
        <v>20</v>
      </c>
      <c r="P482" s="25">
        <v>28800</v>
      </c>
      <c r="Q482" s="15">
        <v>3</v>
      </c>
      <c r="R482" s="15" t="s">
        <v>88</v>
      </c>
      <c r="S482" s="15" t="s">
        <v>115</v>
      </c>
      <c r="T482" s="15" t="s">
        <v>50</v>
      </c>
      <c r="U482" s="15">
        <v>9939332058</v>
      </c>
      <c r="V482" s="15" t="s">
        <v>38</v>
      </c>
      <c r="W482" s="29" t="str" cm="1">
        <f t="array" ref="W482">_xlfn.IFS(OR(V482="Cancelled", Q482&lt;=2), "Blacklisted", AND(P482&gt;=100000, Q482&gt;=4, O482&lt;=0.1, V482="Completed"), "Platinum", AND(P482&gt;=50000, P482&lt;=99999, Q482&gt;=3, V482="Completed"), "Gold", AND(Q482&lt;50000, V482="Completed"), "Silver", V482="Pending", "Pending")</f>
        <v>Silver</v>
      </c>
    </row>
    <row r="483" spans="1:23" x14ac:dyDescent="0.5">
      <c r="A483" s="17" t="s">
        <v>2025</v>
      </c>
      <c r="B483" s="17" t="s">
        <v>127</v>
      </c>
      <c r="C483" s="17" t="s">
        <v>169</v>
      </c>
      <c r="D483" s="17" t="s">
        <v>892</v>
      </c>
      <c r="E483" s="17" t="s">
        <v>161</v>
      </c>
      <c r="F483" s="15" t="s">
        <v>200</v>
      </c>
      <c r="G483" s="17" t="s">
        <v>76</v>
      </c>
      <c r="H483" s="17" t="s">
        <v>2026</v>
      </c>
      <c r="I483" s="17" t="s">
        <v>294</v>
      </c>
      <c r="J483" s="17" t="s">
        <v>295</v>
      </c>
      <c r="K483" s="17" t="s">
        <v>32</v>
      </c>
      <c r="L483" s="17" t="s">
        <v>174</v>
      </c>
      <c r="M483" s="17">
        <v>9</v>
      </c>
      <c r="N483" s="26">
        <v>8500</v>
      </c>
      <c r="O483" s="17">
        <v>15</v>
      </c>
      <c r="P483" s="26">
        <v>65025</v>
      </c>
      <c r="Q483" s="17">
        <v>5</v>
      </c>
      <c r="R483" s="17" t="s">
        <v>34</v>
      </c>
      <c r="S483" s="17" t="s">
        <v>49</v>
      </c>
      <c r="T483" s="17" t="s">
        <v>132</v>
      </c>
      <c r="U483" s="17">
        <v>9780626473</v>
      </c>
      <c r="V483" s="17" t="s">
        <v>64</v>
      </c>
      <c r="W483" s="29" t="str" cm="1">
        <f t="array" ref="W483">_xlfn.IFS(OR(V483="Cancelled", Q483&lt;=2), "Blacklisted", AND(P483&gt;=100000, Q483&gt;=4, O483&lt;=0.1, V483="Completed"), "Platinum", AND(P483&gt;=50000, P483&lt;=99999, Q483&gt;=3, V483="Completed"), "Gold", AND(Q483&lt;50000, V483="Completed"), "Silver", V483="Pending", "Pending")</f>
        <v>Pending</v>
      </c>
    </row>
    <row r="484" spans="1:23" x14ac:dyDescent="0.5">
      <c r="A484" s="15" t="s">
        <v>2028</v>
      </c>
      <c r="B484" s="15" t="s">
        <v>71</v>
      </c>
      <c r="C484" s="15" t="s">
        <v>184</v>
      </c>
      <c r="D484" s="15" t="s">
        <v>261</v>
      </c>
      <c r="E484" s="15" t="s">
        <v>881</v>
      </c>
      <c r="F484" s="15" t="s">
        <v>217</v>
      </c>
      <c r="G484" s="15" t="s">
        <v>76</v>
      </c>
      <c r="H484" s="15" t="s">
        <v>2030</v>
      </c>
      <c r="I484" s="15" t="s">
        <v>294</v>
      </c>
      <c r="J484" s="15" t="s">
        <v>295</v>
      </c>
      <c r="K484" s="15" t="s">
        <v>46</v>
      </c>
      <c r="L484" s="15" t="s">
        <v>189</v>
      </c>
      <c r="M484" s="15">
        <v>17</v>
      </c>
      <c r="N484" s="25">
        <v>700</v>
      </c>
      <c r="O484" s="15">
        <v>0</v>
      </c>
      <c r="P484" s="25">
        <v>11900</v>
      </c>
      <c r="Q484" s="15">
        <v>2</v>
      </c>
      <c r="R484" s="15" t="s">
        <v>34</v>
      </c>
      <c r="S484" s="15" t="s">
        <v>61</v>
      </c>
      <c r="T484" s="15" t="s">
        <v>80</v>
      </c>
      <c r="U484" s="15">
        <v>9347298020</v>
      </c>
      <c r="V484" s="15" t="s">
        <v>69</v>
      </c>
      <c r="W484" s="29" t="str" cm="1">
        <f t="array" ref="W484">_xlfn.IFS(OR(V484="Cancelled", Q484&lt;=2), "Blacklisted", AND(P484&gt;=100000, Q484&gt;=4, O484&lt;=0.1, V484="Completed"), "Platinum", AND(P484&gt;=50000, P484&lt;=99999, Q484&gt;=3, V484="Completed"), "Gold", AND(Q484&lt;50000, V484="Completed"), "Silver", V484="Pending", "Pending")</f>
        <v>Blacklisted</v>
      </c>
    </row>
    <row r="485" spans="1:23" x14ac:dyDescent="0.5">
      <c r="A485" s="17" t="s">
        <v>2032</v>
      </c>
      <c r="B485" s="17" t="s">
        <v>23</v>
      </c>
      <c r="C485" s="17" t="s">
        <v>184</v>
      </c>
      <c r="D485" s="17" t="s">
        <v>1249</v>
      </c>
      <c r="E485" s="17" t="s">
        <v>1572</v>
      </c>
      <c r="F485" s="15" t="s">
        <v>27</v>
      </c>
      <c r="G485" s="17" t="s">
        <v>28</v>
      </c>
      <c r="H485" s="17" t="s">
        <v>2033</v>
      </c>
      <c r="I485" s="17" t="s">
        <v>30</v>
      </c>
      <c r="J485" s="17" t="s">
        <v>31</v>
      </c>
      <c r="K485" s="17" t="s">
        <v>46</v>
      </c>
      <c r="L485" s="17" t="s">
        <v>189</v>
      </c>
      <c r="M485" s="17">
        <v>20</v>
      </c>
      <c r="N485" s="26">
        <v>700</v>
      </c>
      <c r="O485" s="17">
        <v>5</v>
      </c>
      <c r="P485" s="26">
        <v>13300</v>
      </c>
      <c r="Q485" s="17">
        <v>2</v>
      </c>
      <c r="R485" s="17" t="s">
        <v>88</v>
      </c>
      <c r="S485" s="17" t="s">
        <v>35</v>
      </c>
      <c r="T485" s="17" t="s">
        <v>50</v>
      </c>
      <c r="U485" s="17">
        <v>9345328522</v>
      </c>
      <c r="V485" s="17" t="s">
        <v>38</v>
      </c>
      <c r="W485" s="29" t="str" cm="1">
        <f t="array" ref="W485">_xlfn.IFS(OR(V485="Cancelled", Q485&lt;=2), "Blacklisted", AND(P485&gt;=100000, Q485&gt;=4, O485&lt;=0.1, V485="Completed"), "Platinum", AND(P485&gt;=50000, P485&lt;=99999, Q485&gt;=3, V485="Completed"), "Gold", AND(Q485&lt;50000, V485="Completed"), "Silver", V485="Pending", "Pending")</f>
        <v>Blacklisted</v>
      </c>
    </row>
    <row r="486" spans="1:23" x14ac:dyDescent="0.5">
      <c r="A486" s="15" t="s">
        <v>2035</v>
      </c>
      <c r="B486" s="15" t="s">
        <v>327</v>
      </c>
      <c r="C486" s="15" t="s">
        <v>72</v>
      </c>
      <c r="D486" s="15" t="s">
        <v>554</v>
      </c>
      <c r="E486" s="15" t="s">
        <v>65</v>
      </c>
      <c r="F486" s="15" t="s">
        <v>394</v>
      </c>
      <c r="G486" s="15" t="s">
        <v>76</v>
      </c>
      <c r="H486" s="15" t="s">
        <v>2037</v>
      </c>
      <c r="I486" s="15" t="s">
        <v>138</v>
      </c>
      <c r="J486" s="15" t="s">
        <v>106</v>
      </c>
      <c r="K486" s="15" t="s">
        <v>46</v>
      </c>
      <c r="L486" s="15" t="s">
        <v>78</v>
      </c>
      <c r="M486" s="15">
        <v>13</v>
      </c>
      <c r="N486" s="25">
        <v>1200</v>
      </c>
      <c r="O486" s="15">
        <v>20</v>
      </c>
      <c r="P486" s="25">
        <v>12480</v>
      </c>
      <c r="Q486" s="15">
        <v>5</v>
      </c>
      <c r="R486" s="15" t="s">
        <v>79</v>
      </c>
      <c r="S486" s="15" t="s">
        <v>115</v>
      </c>
      <c r="T486" s="15" t="s">
        <v>332</v>
      </c>
      <c r="U486" s="15">
        <v>9160310438</v>
      </c>
      <c r="V486" s="15" t="s">
        <v>38</v>
      </c>
      <c r="W486" s="29" t="str" cm="1">
        <f t="array" ref="W486">_xlfn.IFS(OR(V486="Cancelled", Q486&lt;=2), "Blacklisted", AND(P486&gt;=100000, Q486&gt;=4, O486&lt;=0.1, V486="Completed"), "Platinum", AND(P486&gt;=50000, P486&lt;=99999, Q486&gt;=3, V486="Completed"), "Gold", AND(Q486&lt;50000, V486="Completed"), "Silver", V486="Pending", "Pending")</f>
        <v>Silver</v>
      </c>
    </row>
    <row r="487" spans="1:23" x14ac:dyDescent="0.5">
      <c r="A487" s="17" t="s">
        <v>2039</v>
      </c>
      <c r="B487" s="17" t="s">
        <v>100</v>
      </c>
      <c r="C487" s="17" t="s">
        <v>54</v>
      </c>
      <c r="D487" s="17" t="s">
        <v>2040</v>
      </c>
      <c r="E487" s="17" t="s">
        <v>1932</v>
      </c>
      <c r="F487" s="15" t="s">
        <v>103</v>
      </c>
      <c r="G487" s="17" t="s">
        <v>28</v>
      </c>
      <c r="H487" s="17" t="s">
        <v>1082</v>
      </c>
      <c r="I487" s="17" t="s">
        <v>212</v>
      </c>
      <c r="J487" s="17" t="s">
        <v>45</v>
      </c>
      <c r="K487" s="17" t="s">
        <v>46</v>
      </c>
      <c r="L487" s="17" t="s">
        <v>60</v>
      </c>
      <c r="M487" s="17">
        <v>20</v>
      </c>
      <c r="N487" s="26">
        <v>55000</v>
      </c>
      <c r="O487" s="17">
        <v>10</v>
      </c>
      <c r="P487" s="26">
        <v>990000</v>
      </c>
      <c r="Q487" s="17">
        <v>1</v>
      </c>
      <c r="R487" s="17" t="s">
        <v>88</v>
      </c>
      <c r="S487" s="17" t="s">
        <v>35</v>
      </c>
      <c r="T487" s="17" t="s">
        <v>144</v>
      </c>
      <c r="U487" s="17">
        <v>9343776153</v>
      </c>
      <c r="V487" s="17" t="s">
        <v>64</v>
      </c>
      <c r="W487" s="29" t="str" cm="1">
        <f t="array" ref="W487">_xlfn.IFS(OR(V487="Cancelled", Q487&lt;=2), "Blacklisted", AND(P487&gt;=100000, Q487&gt;=4, O487&lt;=0.1, V487="Completed"), "Platinum", AND(P487&gt;=50000, P487&lt;=99999, Q487&gt;=3, V487="Completed"), "Gold", AND(Q487&lt;50000, V487="Completed"), "Silver", V487="Pending", "Pending")</f>
        <v>Blacklisted</v>
      </c>
    </row>
    <row r="488" spans="1:23" x14ac:dyDescent="0.5">
      <c r="A488" s="15" t="s">
        <v>2042</v>
      </c>
      <c r="B488" s="15" t="s">
        <v>251</v>
      </c>
      <c r="C488" s="15" t="s">
        <v>72</v>
      </c>
      <c r="D488" s="15" t="s">
        <v>531</v>
      </c>
      <c r="E488" s="15" t="s">
        <v>291</v>
      </c>
      <c r="F488" s="15" t="s">
        <v>254</v>
      </c>
      <c r="G488" s="15" t="s">
        <v>28</v>
      </c>
      <c r="H488" s="15" t="s">
        <v>2043</v>
      </c>
      <c r="I488" s="15" t="s">
        <v>294</v>
      </c>
      <c r="J488" s="15" t="s">
        <v>295</v>
      </c>
      <c r="K488" s="15" t="s">
        <v>46</v>
      </c>
      <c r="L488" s="15" t="s">
        <v>78</v>
      </c>
      <c r="M488" s="15">
        <v>8</v>
      </c>
      <c r="N488" s="25">
        <v>1200</v>
      </c>
      <c r="O488" s="15">
        <v>0</v>
      </c>
      <c r="P488" s="25">
        <v>9600</v>
      </c>
      <c r="Q488" s="15">
        <v>2</v>
      </c>
      <c r="R488" s="15" t="s">
        <v>48</v>
      </c>
      <c r="S488" s="15" t="s">
        <v>151</v>
      </c>
      <c r="T488" s="15" t="s">
        <v>256</v>
      </c>
      <c r="U488" s="15">
        <v>9458599727</v>
      </c>
      <c r="V488" s="15" t="s">
        <v>38</v>
      </c>
      <c r="W488" s="29" t="str" cm="1">
        <f t="array" ref="W488">_xlfn.IFS(OR(V488="Cancelled", Q488&lt;=2), "Blacklisted", AND(P488&gt;=100000, Q488&gt;=4, O488&lt;=0.1, V488="Completed"), "Platinum", AND(P488&gt;=50000, P488&lt;=99999, Q488&gt;=3, V488="Completed"), "Gold", AND(Q488&lt;50000, V488="Completed"), "Silver", V488="Pending", "Pending")</f>
        <v>Blacklisted</v>
      </c>
    </row>
    <row r="489" spans="1:23" x14ac:dyDescent="0.5">
      <c r="A489" s="17" t="s">
        <v>2045</v>
      </c>
      <c r="B489" s="17" t="s">
        <v>53</v>
      </c>
      <c r="C489" s="17" t="s">
        <v>222</v>
      </c>
      <c r="D489" s="17" t="s">
        <v>2046</v>
      </c>
      <c r="E489" s="17" t="s">
        <v>1238</v>
      </c>
      <c r="F489" s="15" t="s">
        <v>163</v>
      </c>
      <c r="G489" s="17" t="s">
        <v>28</v>
      </c>
      <c r="H489" s="17" t="s">
        <v>2047</v>
      </c>
      <c r="I489" s="17" t="s">
        <v>294</v>
      </c>
      <c r="J489" s="17" t="s">
        <v>295</v>
      </c>
      <c r="K489" s="17" t="s">
        <v>122</v>
      </c>
      <c r="L489" s="17" t="s">
        <v>227</v>
      </c>
      <c r="M489" s="17">
        <v>18</v>
      </c>
      <c r="N489" s="26">
        <v>20</v>
      </c>
      <c r="O489" s="17">
        <v>10</v>
      </c>
      <c r="P489" s="26">
        <v>324</v>
      </c>
      <c r="Q489" s="17">
        <v>5</v>
      </c>
      <c r="R489" s="17" t="s">
        <v>79</v>
      </c>
      <c r="S489" s="17" t="s">
        <v>2109</v>
      </c>
      <c r="T489" s="18" t="s">
        <v>2048</v>
      </c>
      <c r="U489" s="17">
        <v>9218660140</v>
      </c>
      <c r="V489" s="17" t="s">
        <v>64</v>
      </c>
      <c r="W489" s="29" t="str" cm="1">
        <f t="array" ref="W489">_xlfn.IFS(OR(V489="Cancelled", Q489&lt;=2), "Blacklisted", AND(P489&gt;=100000, Q489&gt;=4, O489&lt;=0.1, V489="Completed"), "Platinum", AND(P489&gt;=50000, P489&lt;=99999, Q489&gt;=3, V489="Completed"), "Gold", AND(Q489&lt;50000, V489="Completed"), "Silver", V489="Pending", "Pending")</f>
        <v>Pending</v>
      </c>
    </row>
    <row r="490" spans="1:23" x14ac:dyDescent="0.5">
      <c r="A490" s="15" t="s">
        <v>2050</v>
      </c>
      <c r="B490" s="15" t="s">
        <v>168</v>
      </c>
      <c r="C490" s="15" t="s">
        <v>40</v>
      </c>
      <c r="D490" s="15" t="s">
        <v>2051</v>
      </c>
      <c r="E490" s="15" t="s">
        <v>272</v>
      </c>
      <c r="F490" s="15" t="s">
        <v>361</v>
      </c>
      <c r="G490" s="15" t="s">
        <v>28</v>
      </c>
      <c r="H490" s="15" t="s">
        <v>2052</v>
      </c>
      <c r="I490" s="15" t="s">
        <v>114</v>
      </c>
      <c r="J490" s="15" t="s">
        <v>106</v>
      </c>
      <c r="K490" s="15" t="s">
        <v>46</v>
      </c>
      <c r="L490" s="15" t="s">
        <v>47</v>
      </c>
      <c r="M490" s="15">
        <v>11</v>
      </c>
      <c r="N490" s="25">
        <v>12000</v>
      </c>
      <c r="O490" s="15">
        <v>10</v>
      </c>
      <c r="P490" s="25">
        <v>118800</v>
      </c>
      <c r="Q490" s="15">
        <v>1</v>
      </c>
      <c r="R490" s="15" t="s">
        <v>79</v>
      </c>
      <c r="S490" s="15" t="s">
        <v>49</v>
      </c>
      <c r="T490" s="15" t="s">
        <v>175</v>
      </c>
      <c r="U490" s="15">
        <v>9341979199</v>
      </c>
      <c r="V490" s="15" t="s">
        <v>69</v>
      </c>
      <c r="W490" s="29" t="str" cm="1">
        <f t="array" ref="W490">_xlfn.IFS(OR(V490="Cancelled", Q490&lt;=2), "Blacklisted", AND(P490&gt;=100000, Q490&gt;=4, O490&lt;=0.1, V490="Completed"), "Platinum", AND(P490&gt;=50000, P490&lt;=99999, Q490&gt;=3, V490="Completed"), "Gold", AND(Q490&lt;50000, V490="Completed"), "Silver", V490="Pending", "Pending")</f>
        <v>Blacklisted</v>
      </c>
    </row>
    <row r="491" spans="1:23" x14ac:dyDescent="0.5">
      <c r="A491" s="17" t="s">
        <v>2054</v>
      </c>
      <c r="B491" s="17" t="s">
        <v>327</v>
      </c>
      <c r="C491" s="17" t="s">
        <v>169</v>
      </c>
      <c r="D491" s="17" t="s">
        <v>142</v>
      </c>
      <c r="E491" s="17" t="s">
        <v>1378</v>
      </c>
      <c r="F491" s="15" t="s">
        <v>394</v>
      </c>
      <c r="G491" s="17" t="s">
        <v>76</v>
      </c>
      <c r="H491" s="17" t="s">
        <v>2055</v>
      </c>
      <c r="I491" s="17" t="s">
        <v>30</v>
      </c>
      <c r="J491" s="17" t="s">
        <v>31</v>
      </c>
      <c r="K491" s="17" t="s">
        <v>32</v>
      </c>
      <c r="L491" s="17" t="s">
        <v>174</v>
      </c>
      <c r="M491" s="17">
        <v>2</v>
      </c>
      <c r="N491" s="26">
        <v>8500</v>
      </c>
      <c r="O491" s="17">
        <v>5</v>
      </c>
      <c r="P491" s="26">
        <v>16150</v>
      </c>
      <c r="Q491" s="17">
        <v>1</v>
      </c>
      <c r="R491" s="17" t="s">
        <v>79</v>
      </c>
      <c r="S491" s="17" t="s">
        <v>61</v>
      </c>
      <c r="T491" s="17" t="s">
        <v>332</v>
      </c>
      <c r="U491" s="17">
        <v>9823080381</v>
      </c>
      <c r="V491" s="17" t="s">
        <v>38</v>
      </c>
      <c r="W491" s="29" t="str" cm="1">
        <f t="array" ref="W491">_xlfn.IFS(OR(V491="Cancelled", Q491&lt;=2), "Blacklisted", AND(P491&gt;=100000, Q491&gt;=4, O491&lt;=0.1, V491="Completed"), "Platinum", AND(P491&gt;=50000, P491&lt;=99999, Q491&gt;=3, V491="Completed"), "Gold", AND(Q491&lt;50000, V491="Completed"), "Silver", V491="Pending", "Pending")</f>
        <v>Blacklisted</v>
      </c>
    </row>
    <row r="492" spans="1:23" x14ac:dyDescent="0.5">
      <c r="A492" s="15" t="s">
        <v>2057</v>
      </c>
      <c r="B492" s="15" t="s">
        <v>100</v>
      </c>
      <c r="C492" s="15" t="s">
        <v>24</v>
      </c>
      <c r="D492" s="15" t="s">
        <v>328</v>
      </c>
      <c r="E492" s="15" t="s">
        <v>1507</v>
      </c>
      <c r="F492" s="15" t="s">
        <v>103</v>
      </c>
      <c r="G492" s="15" t="s">
        <v>28</v>
      </c>
      <c r="H492" s="15" t="s">
        <v>2059</v>
      </c>
      <c r="I492" s="15" t="s">
        <v>114</v>
      </c>
      <c r="J492" s="15" t="s">
        <v>106</v>
      </c>
      <c r="K492" s="15" t="s">
        <v>32</v>
      </c>
      <c r="L492" s="15" t="s">
        <v>33</v>
      </c>
      <c r="M492" s="15">
        <v>7</v>
      </c>
      <c r="N492" s="25">
        <v>2200</v>
      </c>
      <c r="O492" s="15">
        <v>0</v>
      </c>
      <c r="P492" s="25">
        <v>15400</v>
      </c>
      <c r="Q492" s="15">
        <v>5</v>
      </c>
      <c r="R492" s="15" t="s">
        <v>48</v>
      </c>
      <c r="S492" s="15" t="s">
        <v>35</v>
      </c>
      <c r="T492" s="15" t="s">
        <v>144</v>
      </c>
      <c r="U492" s="15">
        <v>9981183477</v>
      </c>
      <c r="V492" s="15" t="s">
        <v>64</v>
      </c>
      <c r="W492" s="29" t="str" cm="1">
        <f t="array" ref="W492">_xlfn.IFS(OR(V492="Cancelled", Q492&lt;=2), "Blacklisted", AND(P492&gt;=100000, Q492&gt;=4, O492&lt;=0.1, V492="Completed"), "Platinum", AND(P492&gt;=50000, P492&lt;=99999, Q492&gt;=3, V492="Completed"), "Gold", AND(Q492&lt;50000, V492="Completed"), "Silver", V492="Pending", "Pending")</f>
        <v>Pending</v>
      </c>
    </row>
    <row r="493" spans="1:23" x14ac:dyDescent="0.5">
      <c r="A493" s="17" t="s">
        <v>2061</v>
      </c>
      <c r="B493" s="17" t="s">
        <v>83</v>
      </c>
      <c r="C493" s="17" t="s">
        <v>169</v>
      </c>
      <c r="D493" s="17" t="s">
        <v>1916</v>
      </c>
      <c r="E493" s="17" t="s">
        <v>1098</v>
      </c>
      <c r="F493" s="15" t="s">
        <v>180</v>
      </c>
      <c r="G493" s="17" t="s">
        <v>76</v>
      </c>
      <c r="H493" s="17" t="s">
        <v>2062</v>
      </c>
      <c r="I493" s="17" t="s">
        <v>44</v>
      </c>
      <c r="J493" s="17" t="s">
        <v>45</v>
      </c>
      <c r="K493" s="17" t="s">
        <v>32</v>
      </c>
      <c r="L493" s="17" t="s">
        <v>174</v>
      </c>
      <c r="M493" s="17">
        <v>20</v>
      </c>
      <c r="N493" s="26">
        <v>8500</v>
      </c>
      <c r="O493" s="17">
        <v>0</v>
      </c>
      <c r="P493" s="26">
        <v>170000</v>
      </c>
      <c r="Q493" s="17">
        <v>3</v>
      </c>
      <c r="R493" s="17" t="s">
        <v>48</v>
      </c>
      <c r="S493" s="17" t="s">
        <v>49</v>
      </c>
      <c r="T493" s="17" t="s">
        <v>89</v>
      </c>
      <c r="U493" s="17">
        <v>9281596011</v>
      </c>
      <c r="V493" s="17" t="s">
        <v>38</v>
      </c>
      <c r="W493" s="29" t="str" cm="1">
        <f t="array" ref="W493">_xlfn.IFS(OR(V493="Cancelled", Q493&lt;=2), "Blacklisted", AND(P493&gt;=100000, Q493&gt;=4, O493&lt;=0.1, V493="Completed"), "Platinum", AND(P493&gt;=50000, P493&lt;=99999, Q493&gt;=3, V493="Completed"), "Gold", AND(Q493&lt;50000, V493="Completed"), "Silver", V493="Pending", "Pending")</f>
        <v>Silver</v>
      </c>
    </row>
    <row r="494" spans="1:23" x14ac:dyDescent="0.5">
      <c r="A494" s="15" t="s">
        <v>2064</v>
      </c>
      <c r="B494" s="15" t="s">
        <v>127</v>
      </c>
      <c r="C494" s="15" t="s">
        <v>72</v>
      </c>
      <c r="D494" s="15" t="s">
        <v>1106</v>
      </c>
      <c r="E494" s="15" t="s">
        <v>839</v>
      </c>
      <c r="F494" s="15" t="s">
        <v>200</v>
      </c>
      <c r="G494" s="15" t="s">
        <v>76</v>
      </c>
      <c r="H494" s="15" t="s">
        <v>2066</v>
      </c>
      <c r="I494" s="15" t="s">
        <v>30</v>
      </c>
      <c r="J494" s="15" t="s">
        <v>31</v>
      </c>
      <c r="K494" s="15" t="s">
        <v>46</v>
      </c>
      <c r="L494" s="15" t="s">
        <v>78</v>
      </c>
      <c r="M494" s="15">
        <v>11</v>
      </c>
      <c r="N494" s="25">
        <v>1200</v>
      </c>
      <c r="O494" s="15">
        <v>5</v>
      </c>
      <c r="P494" s="25">
        <v>12540</v>
      </c>
      <c r="Q494" s="15">
        <v>2</v>
      </c>
      <c r="R494" s="15" t="s">
        <v>34</v>
      </c>
      <c r="S494" s="15" t="s">
        <v>35</v>
      </c>
      <c r="T494" s="15" t="s">
        <v>132</v>
      </c>
      <c r="U494" s="15">
        <v>9211734022</v>
      </c>
      <c r="V494" s="15" t="s">
        <v>64</v>
      </c>
      <c r="W494" s="29" t="str" cm="1">
        <f t="array" ref="W494">_xlfn.IFS(OR(V494="Cancelled", Q494&lt;=2), "Blacklisted", AND(P494&gt;=100000, Q494&gt;=4, O494&lt;=0.1, V494="Completed"), "Platinum", AND(P494&gt;=50000, P494&lt;=99999, Q494&gt;=3, V494="Completed"), "Gold", AND(Q494&lt;50000, V494="Completed"), "Silver", V494="Pending", "Pending")</f>
        <v>Blacklisted</v>
      </c>
    </row>
    <row r="495" spans="1:23" x14ac:dyDescent="0.5">
      <c r="A495" s="17" t="s">
        <v>2068</v>
      </c>
      <c r="B495" s="17" t="s">
        <v>83</v>
      </c>
      <c r="C495" s="17" t="s">
        <v>184</v>
      </c>
      <c r="D495" s="17" t="s">
        <v>839</v>
      </c>
      <c r="E495" s="17" t="s">
        <v>756</v>
      </c>
      <c r="F495" s="15" t="s">
        <v>180</v>
      </c>
      <c r="G495" s="17" t="s">
        <v>76</v>
      </c>
      <c r="H495" s="17" t="s">
        <v>2069</v>
      </c>
      <c r="I495" s="17" t="s">
        <v>138</v>
      </c>
      <c r="J495" s="17" t="s">
        <v>106</v>
      </c>
      <c r="K495" s="17" t="s">
        <v>46</v>
      </c>
      <c r="L495" s="17" t="s">
        <v>189</v>
      </c>
      <c r="M495" s="17">
        <v>14</v>
      </c>
      <c r="N495" s="26">
        <v>700</v>
      </c>
      <c r="O495" s="17">
        <v>0</v>
      </c>
      <c r="P495" s="26">
        <v>9800</v>
      </c>
      <c r="Q495" s="17">
        <v>2</v>
      </c>
      <c r="R495" s="17" t="s">
        <v>79</v>
      </c>
      <c r="S495" s="17" t="s">
        <v>151</v>
      </c>
      <c r="T495" s="17" t="s">
        <v>89</v>
      </c>
      <c r="U495" s="17">
        <v>9447151666</v>
      </c>
      <c r="V495" s="17" t="s">
        <v>69</v>
      </c>
      <c r="W495" s="29" t="str" cm="1">
        <f t="array" ref="W495">_xlfn.IFS(OR(V495="Cancelled", Q495&lt;=2), "Blacklisted", AND(P495&gt;=100000, Q495&gt;=4, O495&lt;=0.1, V495="Completed"), "Platinum", AND(P495&gt;=50000, P495&lt;=99999, Q495&gt;=3, V495="Completed"), "Gold", AND(Q495&lt;50000, V495="Completed"), "Silver", V495="Pending", "Pending")</f>
        <v>Blacklisted</v>
      </c>
    </row>
    <row r="496" spans="1:23" x14ac:dyDescent="0.5">
      <c r="A496" s="15" t="s">
        <v>2071</v>
      </c>
      <c r="B496" s="15" t="s">
        <v>71</v>
      </c>
      <c r="C496" s="15" t="s">
        <v>72</v>
      </c>
      <c r="D496" s="15" t="s">
        <v>793</v>
      </c>
      <c r="E496" s="15" t="s">
        <v>1650</v>
      </c>
      <c r="F496" s="15" t="s">
        <v>217</v>
      </c>
      <c r="G496" s="15" t="s">
        <v>76</v>
      </c>
      <c r="H496" s="15" t="s">
        <v>2072</v>
      </c>
      <c r="I496" s="15" t="s">
        <v>114</v>
      </c>
      <c r="J496" s="15" t="s">
        <v>106</v>
      </c>
      <c r="K496" s="15" t="s">
        <v>46</v>
      </c>
      <c r="L496" s="15" t="s">
        <v>78</v>
      </c>
      <c r="M496" s="15">
        <v>16</v>
      </c>
      <c r="N496" s="25">
        <v>1200</v>
      </c>
      <c r="O496" s="15">
        <v>15</v>
      </c>
      <c r="P496" s="25">
        <v>16320</v>
      </c>
      <c r="Q496" s="15">
        <v>4</v>
      </c>
      <c r="R496" s="15" t="s">
        <v>34</v>
      </c>
      <c r="S496" s="15" t="s">
        <v>151</v>
      </c>
      <c r="T496" s="15" t="s">
        <v>80</v>
      </c>
      <c r="U496" s="15">
        <v>9345342793</v>
      </c>
      <c r="V496" s="15" t="s">
        <v>64</v>
      </c>
      <c r="W496" s="29" t="str" cm="1">
        <f t="array" ref="W496">_xlfn.IFS(OR(V496="Cancelled", Q496&lt;=2), "Blacklisted", AND(P496&gt;=100000, Q496&gt;=4, O496&lt;=0.1, V496="Completed"), "Platinum", AND(P496&gt;=50000, P496&lt;=99999, Q496&gt;=3, V496="Completed"), "Gold", AND(Q496&lt;50000, V496="Completed"), "Silver", V496="Pending", "Pending")</f>
        <v>Pending</v>
      </c>
    </row>
    <row r="497" spans="1:23" x14ac:dyDescent="0.5">
      <c r="A497" s="17" t="s">
        <v>2074</v>
      </c>
      <c r="B497" s="17" t="s">
        <v>168</v>
      </c>
      <c r="C497" s="17" t="s">
        <v>24</v>
      </c>
      <c r="D497" s="17" t="s">
        <v>493</v>
      </c>
      <c r="E497" s="17" t="s">
        <v>1932</v>
      </c>
      <c r="F497" s="15" t="s">
        <v>361</v>
      </c>
      <c r="G497" s="17" t="s">
        <v>28</v>
      </c>
      <c r="H497" s="17" t="s">
        <v>2076</v>
      </c>
      <c r="I497" s="17" t="s">
        <v>212</v>
      </c>
      <c r="J497" s="17" t="s">
        <v>45</v>
      </c>
      <c r="K497" s="17" t="s">
        <v>32</v>
      </c>
      <c r="L497" s="17" t="s">
        <v>33</v>
      </c>
      <c r="M497" s="17">
        <v>20</v>
      </c>
      <c r="N497" s="26">
        <v>2200</v>
      </c>
      <c r="O497" s="17">
        <v>0</v>
      </c>
      <c r="P497" s="26">
        <v>44000</v>
      </c>
      <c r="Q497" s="17">
        <v>5</v>
      </c>
      <c r="R497" s="17" t="s">
        <v>34</v>
      </c>
      <c r="S497" s="17" t="s">
        <v>35</v>
      </c>
      <c r="T497" s="17" t="s">
        <v>175</v>
      </c>
      <c r="U497" s="17">
        <v>9329668173</v>
      </c>
      <c r="V497" s="17" t="s">
        <v>69</v>
      </c>
      <c r="W497" s="29" t="str" cm="1">
        <f t="array" ref="W497">_xlfn.IFS(OR(V497="Cancelled", Q497&lt;=2), "Blacklisted", AND(P497&gt;=100000, Q497&gt;=4, O497&lt;=0.1, V497="Completed"), "Platinum", AND(P497&gt;=50000, P497&lt;=99999, Q497&gt;=3, V497="Completed"), "Gold", AND(Q497&lt;50000, V497="Completed"), "Silver", V497="Pending", "Pending")</f>
        <v>Blacklisted</v>
      </c>
    </row>
    <row r="498" spans="1:23" x14ac:dyDescent="0.5">
      <c r="A498" s="15" t="s">
        <v>2078</v>
      </c>
      <c r="B498" s="15" t="s">
        <v>83</v>
      </c>
      <c r="C498" s="15" t="s">
        <v>40</v>
      </c>
      <c r="D498" s="15" t="s">
        <v>2051</v>
      </c>
      <c r="E498" s="15" t="s">
        <v>272</v>
      </c>
      <c r="F498" s="15" t="s">
        <v>180</v>
      </c>
      <c r="G498" s="15" t="s">
        <v>76</v>
      </c>
      <c r="H498" s="15" t="s">
        <v>2079</v>
      </c>
      <c r="I498" s="15" t="s">
        <v>212</v>
      </c>
      <c r="J498" s="15" t="s">
        <v>45</v>
      </c>
      <c r="K498" s="15" t="s">
        <v>46</v>
      </c>
      <c r="L498" s="15" t="s">
        <v>47</v>
      </c>
      <c r="M498" s="15">
        <v>12</v>
      </c>
      <c r="N498" s="25">
        <v>12000</v>
      </c>
      <c r="O498" s="15">
        <v>15</v>
      </c>
      <c r="P498" s="25">
        <v>122400</v>
      </c>
      <c r="Q498" s="15">
        <v>5</v>
      </c>
      <c r="R498" s="15" t="s">
        <v>34</v>
      </c>
      <c r="S498" s="15" t="s">
        <v>151</v>
      </c>
      <c r="T498" s="15" t="s">
        <v>89</v>
      </c>
      <c r="U498" s="15">
        <v>9294740227</v>
      </c>
      <c r="V498" s="15" t="s">
        <v>38</v>
      </c>
      <c r="W498" s="29" t="str" cm="1">
        <f t="array" ref="W498">_xlfn.IFS(OR(V498="Cancelled", Q498&lt;=2), "Blacklisted", AND(P498&gt;=100000, Q498&gt;=4, O498&lt;=0.1, V498="Completed"), "Platinum", AND(P498&gt;=50000, P498&lt;=99999, Q498&gt;=3, V498="Completed"), "Gold", AND(Q498&lt;50000, V498="Completed"), "Silver", V498="Pending", "Pending")</f>
        <v>Silver</v>
      </c>
    </row>
    <row r="499" spans="1:23" x14ac:dyDescent="0.5">
      <c r="A499" s="17" t="s">
        <v>2081</v>
      </c>
      <c r="B499" s="17" t="s">
        <v>221</v>
      </c>
      <c r="C499" s="17" t="s">
        <v>72</v>
      </c>
      <c r="D499" s="17" t="s">
        <v>610</v>
      </c>
      <c r="E499" s="17" t="s">
        <v>611</v>
      </c>
      <c r="F499" s="15" t="s">
        <v>225</v>
      </c>
      <c r="G499" s="17" t="s">
        <v>76</v>
      </c>
      <c r="H499" s="17" t="s">
        <v>2082</v>
      </c>
      <c r="I499" s="17" t="s">
        <v>44</v>
      </c>
      <c r="J499" s="17" t="s">
        <v>45</v>
      </c>
      <c r="K499" s="17" t="s">
        <v>46</v>
      </c>
      <c r="L499" s="17" t="s">
        <v>78</v>
      </c>
      <c r="M499" s="17">
        <v>3</v>
      </c>
      <c r="N499" s="26">
        <v>1200</v>
      </c>
      <c r="O499" s="17">
        <v>20</v>
      </c>
      <c r="P499" s="26">
        <v>2880</v>
      </c>
      <c r="Q499" s="17">
        <v>2</v>
      </c>
      <c r="R499" s="17" t="s">
        <v>48</v>
      </c>
      <c r="S499" s="17" t="s">
        <v>115</v>
      </c>
      <c r="T499" s="17" t="s">
        <v>907</v>
      </c>
      <c r="U499" s="17">
        <v>9549426303</v>
      </c>
      <c r="V499" s="17" t="s">
        <v>64</v>
      </c>
      <c r="W499" s="29" t="str" cm="1">
        <f t="array" ref="W499">_xlfn.IFS(OR(V499="Cancelled", Q499&lt;=2), "Blacklisted", AND(P499&gt;=100000, Q499&gt;=4, O499&lt;=0.1, V499="Completed"), "Platinum", AND(P499&gt;=50000, P499&lt;=99999, Q499&gt;=3, V499="Completed"), "Gold", AND(Q499&lt;50000, V499="Completed"), "Silver", V499="Pending", "Pending")</f>
        <v>Blacklisted</v>
      </c>
    </row>
    <row r="500" spans="1:23" x14ac:dyDescent="0.5">
      <c r="A500" s="15" t="s">
        <v>2084</v>
      </c>
      <c r="B500" s="15" t="s">
        <v>100</v>
      </c>
      <c r="C500" s="15" t="s">
        <v>54</v>
      </c>
      <c r="D500" s="15" t="s">
        <v>276</v>
      </c>
      <c r="E500" s="15" t="s">
        <v>2085</v>
      </c>
      <c r="F500" s="15" t="s">
        <v>103</v>
      </c>
      <c r="G500" s="15" t="s">
        <v>28</v>
      </c>
      <c r="H500" s="15" t="s">
        <v>2086</v>
      </c>
      <c r="I500" s="15" t="s">
        <v>105</v>
      </c>
      <c r="J500" s="15" t="s">
        <v>106</v>
      </c>
      <c r="K500" s="15" t="s">
        <v>46</v>
      </c>
      <c r="L500" s="15" t="s">
        <v>2087</v>
      </c>
      <c r="M500" s="15">
        <v>6</v>
      </c>
      <c r="N500" s="25">
        <v>55000</v>
      </c>
      <c r="O500" s="15">
        <v>20</v>
      </c>
      <c r="P500" s="25">
        <v>264000</v>
      </c>
      <c r="Q500" s="15">
        <v>3</v>
      </c>
      <c r="R500" s="15" t="s">
        <v>34</v>
      </c>
      <c r="S500" s="15" t="s">
        <v>151</v>
      </c>
      <c r="T500" s="15" t="s">
        <v>144</v>
      </c>
      <c r="U500" s="15">
        <v>9374249303</v>
      </c>
      <c r="V500" s="15" t="s">
        <v>38</v>
      </c>
      <c r="W500" s="29" t="str" cm="1">
        <f t="array" ref="W500">_xlfn.IFS(OR(V500="Cancelled", Q500&lt;=2), "Blacklisted", AND(P500&gt;=100000, Q500&gt;=4, O500&lt;=0.1, V500="Completed"), "Platinum", AND(P500&gt;=50000, P500&lt;=99999, Q500&gt;=3, V500="Completed"), "Gold", AND(Q500&lt;50000, V500="Completed"), "Silver", V500="Pending", "Pending")</f>
        <v>Silver</v>
      </c>
    </row>
    <row r="501" spans="1:23" x14ac:dyDescent="0.5">
      <c r="A501" s="17" t="s">
        <v>2089</v>
      </c>
      <c r="B501" s="17" t="s">
        <v>100</v>
      </c>
      <c r="C501" s="17" t="s">
        <v>92</v>
      </c>
      <c r="D501" s="17" t="s">
        <v>2090</v>
      </c>
      <c r="E501" s="17" t="s">
        <v>129</v>
      </c>
      <c r="F501" s="15" t="s">
        <v>103</v>
      </c>
      <c r="G501" s="17" t="s">
        <v>28</v>
      </c>
      <c r="H501" s="17" t="s">
        <v>2091</v>
      </c>
      <c r="I501" s="17" t="s">
        <v>59</v>
      </c>
      <c r="J501" s="17" t="s">
        <v>31</v>
      </c>
      <c r="K501" s="17" t="s">
        <v>32</v>
      </c>
      <c r="L501" s="17" t="s">
        <v>97</v>
      </c>
      <c r="M501" s="17">
        <v>20</v>
      </c>
      <c r="N501" s="26">
        <v>3500</v>
      </c>
      <c r="O501" s="17">
        <v>0</v>
      </c>
      <c r="P501" s="26">
        <v>70000</v>
      </c>
      <c r="Q501" s="17">
        <v>1</v>
      </c>
      <c r="R501" s="17" t="s">
        <v>48</v>
      </c>
      <c r="S501" s="17" t="s">
        <v>151</v>
      </c>
      <c r="T501" s="17" t="s">
        <v>144</v>
      </c>
      <c r="U501" s="17">
        <v>9810334941</v>
      </c>
      <c r="V501" s="17" t="s">
        <v>64</v>
      </c>
      <c r="W501" s="29" t="str" cm="1">
        <f t="array" ref="W501">_xlfn.IFS(OR(V501="Cancelled", Q501&lt;=2), "Blacklisted", AND(P501&gt;=100000, Q501&gt;=4, O501&lt;=0.1, V501="Completed"), "Platinum", AND(P501&gt;=50000, P501&lt;=99999, Q501&gt;=3, V501="Completed"), "Gold", AND(Q501&lt;50000, V501="Completed"), "Silver", V501="Pending", "Pending")</f>
        <v>Blacklisted</v>
      </c>
    </row>
  </sheetData>
  <conditionalFormatting sqref="A1:W501">
    <cfRule type="containsText" dxfId="28" priority="2" operator="containsText" text="Not Available">
      <formula>NOT(ISERROR(SEARCH("Not Available",A1)))</formula>
    </cfRule>
  </conditionalFormatting>
  <conditionalFormatting sqref="L409">
    <cfRule type="containsText" dxfId="27" priority="3" operator="containsText" text="Not Available">
      <formula>NOT(ISERROR(SEARCH("Not Available",L409)))</formula>
    </cfRule>
  </conditionalFormatting>
  <conditionalFormatting sqref="W1:W1048576">
    <cfRule type="containsText" dxfId="26" priority="4" operator="containsText" text="Silver">
      <formula>NOT(ISERROR(SEARCH("Silver",W1)))</formula>
    </cfRule>
    <cfRule type="containsText" dxfId="25" priority="5" operator="containsText" text="pending">
      <formula>NOT(ISERROR(SEARCH("pending",W1)))</formula>
    </cfRule>
    <cfRule type="containsText" dxfId="24" priority="7" operator="containsText" text="Blacklisted">
      <formula>NOT(ISERROR(SEARCH("Blacklisted",W1)))</formula>
    </cfRule>
    <cfRule type="containsText" dxfId="23" priority="8" operator="containsText" text="Platinum">
      <formula>NOT(ISERROR(SEARCH("Platinum",W1)))</formula>
    </cfRule>
    <cfRule type="containsText" dxfId="22" priority="9" operator="containsText" text="Silver">
      <formula>NOT(ISERROR(SEARCH("Silver",W1)))</formula>
    </cfRule>
    <cfRule type="containsText" dxfId="21" priority="10" operator="containsText" text="Blacklisted">
      <formula>NOT(ISERROR(SEARCH("Blacklisted",W1)))</formula>
    </cfRule>
    <cfRule type="containsText" dxfId="20" priority="11" operator="containsText" text="Pending">
      <formula>NOT(ISERROR(SEARCH("Pending",W1)))</formula>
    </cfRule>
  </conditionalFormatting>
  <conditionalFormatting sqref="W3">
    <cfRule type="containsText" dxfId="19" priority="6" operator="containsText" text="Blackliosted">
      <formula>NOT(ISERROR(SEARCH("Blackliosted",W3)))</formula>
    </cfRule>
  </conditionalFormatting>
  <hyperlinks>
    <hyperlink ref="T2" r:id="rId1" xr:uid="{2B34B6D2-8F56-4B4E-BB8A-1095021A8104}"/>
    <hyperlink ref="T5" r:id="rId2" xr:uid="{4AA1B816-56D9-49A4-A6BA-6CB0ADBBDF78}"/>
    <hyperlink ref="T9" r:id="rId3" xr:uid="{897D57DD-090C-49D8-86FD-EE6FD273AF25}"/>
    <hyperlink ref="T11" r:id="rId4" xr:uid="{A7AD68E5-D6A5-48FF-8BA2-5C0462E8559E}"/>
    <hyperlink ref="T16" r:id="rId5" xr:uid="{2EBC4ABA-142C-4748-B712-A6629A440ED2}"/>
    <hyperlink ref="T15" r:id="rId6" xr:uid="{7FDF41F4-AEAE-48E7-AAB9-49C299919CFE}"/>
    <hyperlink ref="T20" r:id="rId7" xr:uid="{735F8E4A-43B2-42F7-B490-715624E4F58A}"/>
    <hyperlink ref="T61" r:id="rId8" xr:uid="{A43B6CF5-3E9E-4CB2-9EFC-F88666E7060D}"/>
    <hyperlink ref="T72" r:id="rId9" xr:uid="{0DB71C72-7BED-4C28-9055-368E3079D8E0}"/>
    <hyperlink ref="T294" r:id="rId10" xr:uid="{0521300C-0F06-4775-85FE-DB022D3A4557}"/>
    <hyperlink ref="T489" r:id="rId11" xr:uid="{C2B87544-26A4-487A-8863-088154944601}"/>
    <hyperlink ref="T479" r:id="rId12" xr:uid="{C3C2C0E7-558E-45A0-BC02-20730777CC8C}"/>
    <hyperlink ref="T463" r:id="rId13" xr:uid="{A691CBB2-B22D-4F0F-80F3-FF2E4454527D}"/>
    <hyperlink ref="T450" r:id="rId14" xr:uid="{1826740B-D19F-4FF0-856C-02CCEAE7D8E5}"/>
  </hyperlinks>
  <pageMargins left="0.7" right="0.7" top="0.75" bottom="0.75" header="0.3" footer="0.3"/>
  <pageSetup orientation="portrait" r:id="rId1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A9A4F-C143-42EA-B506-0EC62890994C}">
  <dimension ref="A1:W501"/>
  <sheetViews>
    <sheetView zoomScale="55" zoomScaleNormal="55" workbookViewId="0">
      <selection activeCell="G33" sqref="G33"/>
    </sheetView>
  </sheetViews>
  <sheetFormatPr defaultColWidth="19.453125" defaultRowHeight="16.5" x14ac:dyDescent="0.5"/>
  <cols>
    <col min="14" max="14" width="19.453125" style="27"/>
    <col min="16" max="16" width="19.453125" style="27"/>
    <col min="20" max="20" width="28.36328125" customWidth="1"/>
    <col min="21" max="21" width="19.453125" style="23"/>
    <col min="23" max="23" width="19.453125" style="30"/>
  </cols>
  <sheetData>
    <row r="1" spans="1:23" x14ac:dyDescent="0.5">
      <c r="A1" s="14" t="s">
        <v>0</v>
      </c>
      <c r="B1" s="14" t="s">
        <v>1</v>
      </c>
      <c r="C1" s="14" t="s">
        <v>2</v>
      </c>
      <c r="D1" s="14" t="s">
        <v>3</v>
      </c>
      <c r="E1" s="14" t="s">
        <v>4</v>
      </c>
      <c r="F1" s="14" t="s">
        <v>5</v>
      </c>
      <c r="G1" s="14" t="s">
        <v>6</v>
      </c>
      <c r="H1" s="14" t="s">
        <v>7</v>
      </c>
      <c r="I1" s="14" t="s">
        <v>8</v>
      </c>
      <c r="J1" s="14" t="s">
        <v>9</v>
      </c>
      <c r="K1" s="14" t="s">
        <v>10</v>
      </c>
      <c r="L1" s="14" t="s">
        <v>11</v>
      </c>
      <c r="M1" s="14" t="s">
        <v>12</v>
      </c>
      <c r="N1" s="24" t="s">
        <v>13</v>
      </c>
      <c r="O1" s="14" t="s">
        <v>14</v>
      </c>
      <c r="P1" s="24" t="s">
        <v>15</v>
      </c>
      <c r="Q1" s="14" t="s">
        <v>16</v>
      </c>
      <c r="R1" s="14" t="s">
        <v>17</v>
      </c>
      <c r="S1" s="14" t="s">
        <v>18</v>
      </c>
      <c r="T1" s="14" t="s">
        <v>19</v>
      </c>
      <c r="U1" s="20" t="s">
        <v>20</v>
      </c>
      <c r="V1" s="14" t="s">
        <v>21</v>
      </c>
      <c r="W1" s="28" t="s">
        <v>2111</v>
      </c>
    </row>
    <row r="2" spans="1:23" x14ac:dyDescent="0.5">
      <c r="A2" s="15" t="s">
        <v>22</v>
      </c>
      <c r="B2" s="15" t="s">
        <v>23</v>
      </c>
      <c r="C2" s="15" t="s">
        <v>24</v>
      </c>
      <c r="D2" s="15" t="s">
        <v>25</v>
      </c>
      <c r="E2" s="15" t="s">
        <v>26</v>
      </c>
      <c r="F2" s="15" t="s">
        <v>27</v>
      </c>
      <c r="G2" s="15" t="s">
        <v>28</v>
      </c>
      <c r="H2" s="15" t="s">
        <v>29</v>
      </c>
      <c r="I2" s="15" t="s">
        <v>30</v>
      </c>
      <c r="J2" s="15" t="s">
        <v>31</v>
      </c>
      <c r="K2" s="15" t="s">
        <v>32</v>
      </c>
      <c r="L2" s="15" t="s">
        <v>33</v>
      </c>
      <c r="M2" s="15">
        <v>4</v>
      </c>
      <c r="N2" s="25">
        <v>2200</v>
      </c>
      <c r="O2" s="15">
        <v>10</v>
      </c>
      <c r="P2" s="25">
        <v>7920</v>
      </c>
      <c r="Q2" s="15">
        <v>4</v>
      </c>
      <c r="R2" s="15" t="s">
        <v>34</v>
      </c>
      <c r="S2" s="15" t="s">
        <v>35</v>
      </c>
      <c r="T2" s="15" t="s">
        <v>50</v>
      </c>
      <c r="U2" s="21">
        <v>9431429797</v>
      </c>
      <c r="V2" s="15" t="s">
        <v>38</v>
      </c>
      <c r="W2" s="29" t="str">
        <f>LEFT(F2, 3) &amp; RIGHT(B2,3) &amp; LEFT(I2,2)</f>
        <v>Kav008Hy</v>
      </c>
    </row>
    <row r="3" spans="1:23" x14ac:dyDescent="0.5">
      <c r="A3" s="17" t="s">
        <v>39</v>
      </c>
      <c r="B3" s="17" t="s">
        <v>23</v>
      </c>
      <c r="C3" s="17" t="s">
        <v>40</v>
      </c>
      <c r="D3" s="17" t="s">
        <v>41</v>
      </c>
      <c r="E3" s="17" t="s">
        <v>42</v>
      </c>
      <c r="F3" s="15" t="s">
        <v>27</v>
      </c>
      <c r="G3" s="17" t="s">
        <v>28</v>
      </c>
      <c r="H3" s="17" t="s">
        <v>43</v>
      </c>
      <c r="I3" s="17" t="s">
        <v>44</v>
      </c>
      <c r="J3" s="17" t="s">
        <v>45</v>
      </c>
      <c r="K3" s="17" t="s">
        <v>46</v>
      </c>
      <c r="L3" s="17" t="s">
        <v>47</v>
      </c>
      <c r="M3" s="17">
        <v>17</v>
      </c>
      <c r="N3" s="26">
        <v>12000</v>
      </c>
      <c r="O3" s="17">
        <v>10</v>
      </c>
      <c r="P3" s="26">
        <v>183600</v>
      </c>
      <c r="Q3" s="17">
        <v>1</v>
      </c>
      <c r="R3" s="17" t="s">
        <v>48</v>
      </c>
      <c r="S3" s="17" t="s">
        <v>49</v>
      </c>
      <c r="T3" s="15" t="s">
        <v>50</v>
      </c>
      <c r="U3" s="21">
        <v>9129865339</v>
      </c>
      <c r="V3" s="17" t="s">
        <v>38</v>
      </c>
      <c r="W3" s="29" t="str">
        <f t="shared" ref="W3:W66" si="0">LEFT(F3, 3) &amp; RIGHT(B3,3) &amp; LEFT(I3,2)</f>
        <v>Kav008De</v>
      </c>
    </row>
    <row r="4" spans="1:23" x14ac:dyDescent="0.5">
      <c r="A4" s="15" t="s">
        <v>52</v>
      </c>
      <c r="B4" s="15" t="s">
        <v>53</v>
      </c>
      <c r="C4" s="15" t="s">
        <v>54</v>
      </c>
      <c r="D4" s="15" t="s">
        <v>55</v>
      </c>
      <c r="E4" s="15" t="s">
        <v>56</v>
      </c>
      <c r="F4" s="15" t="s">
        <v>163</v>
      </c>
      <c r="G4" s="15" t="s">
        <v>28</v>
      </c>
      <c r="H4" s="15" t="s">
        <v>58</v>
      </c>
      <c r="I4" s="15" t="s">
        <v>59</v>
      </c>
      <c r="J4" s="15" t="s">
        <v>31</v>
      </c>
      <c r="K4" s="15" t="s">
        <v>46</v>
      </c>
      <c r="L4" s="15" t="s">
        <v>60</v>
      </c>
      <c r="M4" s="15">
        <v>5</v>
      </c>
      <c r="N4" s="25">
        <v>55000</v>
      </c>
      <c r="O4" s="15">
        <v>5</v>
      </c>
      <c r="P4" s="25">
        <v>261250</v>
      </c>
      <c r="Q4" s="15">
        <v>3</v>
      </c>
      <c r="R4" s="15" t="s">
        <v>48</v>
      </c>
      <c r="S4" s="15" t="s">
        <v>61</v>
      </c>
      <c r="T4" s="15" t="s">
        <v>62</v>
      </c>
      <c r="U4" s="22">
        <v>9380975626</v>
      </c>
      <c r="V4" s="15" t="s">
        <v>64</v>
      </c>
      <c r="W4" s="29" t="str">
        <f t="shared" si="0"/>
        <v>Poo010Be</v>
      </c>
    </row>
    <row r="5" spans="1:23" x14ac:dyDescent="0.5">
      <c r="A5" s="17" t="s">
        <v>39</v>
      </c>
      <c r="B5" s="17" t="s">
        <v>23</v>
      </c>
      <c r="C5" s="17" t="s">
        <v>24</v>
      </c>
      <c r="D5" s="17" t="s">
        <v>65</v>
      </c>
      <c r="E5" s="17" t="s">
        <v>66</v>
      </c>
      <c r="F5" s="15" t="s">
        <v>27</v>
      </c>
      <c r="G5" s="17" t="s">
        <v>28</v>
      </c>
      <c r="H5" s="17" t="s">
        <v>67</v>
      </c>
      <c r="I5" s="17" t="s">
        <v>59</v>
      </c>
      <c r="J5" s="17" t="s">
        <v>31</v>
      </c>
      <c r="K5" s="17" t="s">
        <v>32</v>
      </c>
      <c r="L5" s="17" t="s">
        <v>33</v>
      </c>
      <c r="M5" s="17">
        <v>5</v>
      </c>
      <c r="N5" s="26">
        <v>2200</v>
      </c>
      <c r="O5" s="17">
        <v>5</v>
      </c>
      <c r="P5" s="26">
        <v>10450</v>
      </c>
      <c r="Q5" s="17">
        <v>5</v>
      </c>
      <c r="R5" s="17" t="s">
        <v>48</v>
      </c>
      <c r="S5" s="17" t="s">
        <v>61</v>
      </c>
      <c r="T5" s="15" t="s">
        <v>50</v>
      </c>
      <c r="U5" s="21">
        <v>9600261125</v>
      </c>
      <c r="V5" s="17" t="s">
        <v>69</v>
      </c>
      <c r="W5" s="29" t="str">
        <f t="shared" si="0"/>
        <v>Kav008Be</v>
      </c>
    </row>
    <row r="6" spans="1:23" x14ac:dyDescent="0.5">
      <c r="A6" s="15" t="s">
        <v>70</v>
      </c>
      <c r="B6" s="15" t="s">
        <v>71</v>
      </c>
      <c r="C6" s="15" t="s">
        <v>72</v>
      </c>
      <c r="D6" s="15" t="s">
        <v>73</v>
      </c>
      <c r="E6" s="15" t="s">
        <v>74</v>
      </c>
      <c r="F6" s="15" t="s">
        <v>217</v>
      </c>
      <c r="G6" s="15" t="s">
        <v>76</v>
      </c>
      <c r="H6" s="15" t="s">
        <v>77</v>
      </c>
      <c r="I6" s="15" t="s">
        <v>44</v>
      </c>
      <c r="J6" s="15" t="s">
        <v>45</v>
      </c>
      <c r="K6" s="15" t="s">
        <v>46</v>
      </c>
      <c r="L6" s="15" t="s">
        <v>78</v>
      </c>
      <c r="M6" s="15">
        <v>8</v>
      </c>
      <c r="N6" s="25">
        <v>1200</v>
      </c>
      <c r="O6" s="15">
        <v>5</v>
      </c>
      <c r="P6" s="25">
        <v>9120</v>
      </c>
      <c r="Q6" s="15">
        <v>2</v>
      </c>
      <c r="R6" s="15" t="s">
        <v>79</v>
      </c>
      <c r="S6" s="15" t="s">
        <v>61</v>
      </c>
      <c r="T6" s="15" t="s">
        <v>80</v>
      </c>
      <c r="U6" s="22">
        <v>9724635978</v>
      </c>
      <c r="V6" s="15" t="s">
        <v>64</v>
      </c>
      <c r="W6" s="29" t="str">
        <f t="shared" si="0"/>
        <v>Moh009De</v>
      </c>
    </row>
    <row r="7" spans="1:23" x14ac:dyDescent="0.5">
      <c r="A7" s="17" t="s">
        <v>82</v>
      </c>
      <c r="B7" s="17" t="s">
        <v>83</v>
      </c>
      <c r="C7" s="17" t="s">
        <v>24</v>
      </c>
      <c r="D7" s="17" t="s">
        <v>84</v>
      </c>
      <c r="E7" s="17" t="s">
        <v>85</v>
      </c>
      <c r="F7" s="15" t="s">
        <v>180</v>
      </c>
      <c r="G7" s="17" t="s">
        <v>76</v>
      </c>
      <c r="H7" s="17" t="s">
        <v>87</v>
      </c>
      <c r="I7" s="17" t="s">
        <v>30</v>
      </c>
      <c r="J7" s="17" t="s">
        <v>31</v>
      </c>
      <c r="K7" s="17" t="s">
        <v>32</v>
      </c>
      <c r="L7" s="17" t="s">
        <v>33</v>
      </c>
      <c r="M7" s="17">
        <v>4</v>
      </c>
      <c r="N7" s="26">
        <v>2200</v>
      </c>
      <c r="O7" s="17">
        <v>0</v>
      </c>
      <c r="P7" s="26">
        <v>8800</v>
      </c>
      <c r="Q7" s="17">
        <v>1</v>
      </c>
      <c r="R7" s="17" t="s">
        <v>88</v>
      </c>
      <c r="S7" s="17" t="s">
        <v>35</v>
      </c>
      <c r="T7" s="15" t="s">
        <v>89</v>
      </c>
      <c r="U7" s="21">
        <v>9780584905</v>
      </c>
      <c r="V7" s="17" t="s">
        <v>38</v>
      </c>
      <c r="W7" s="29" t="str">
        <f t="shared" si="0"/>
        <v>Arj007Hy</v>
      </c>
    </row>
    <row r="8" spans="1:23" x14ac:dyDescent="0.5">
      <c r="A8" s="15" t="s">
        <v>91</v>
      </c>
      <c r="B8" s="15" t="s">
        <v>23</v>
      </c>
      <c r="C8" s="15" t="s">
        <v>92</v>
      </c>
      <c r="D8" s="15" t="s">
        <v>93</v>
      </c>
      <c r="E8" s="15" t="s">
        <v>94</v>
      </c>
      <c r="F8" s="15" t="s">
        <v>27</v>
      </c>
      <c r="G8" s="15" t="s">
        <v>28</v>
      </c>
      <c r="H8" s="15" t="s">
        <v>96</v>
      </c>
      <c r="I8" s="15" t="s">
        <v>30</v>
      </c>
      <c r="J8" s="15" t="s">
        <v>31</v>
      </c>
      <c r="K8" s="15" t="s">
        <v>32</v>
      </c>
      <c r="L8" s="15" t="s">
        <v>97</v>
      </c>
      <c r="M8" s="15">
        <v>2</v>
      </c>
      <c r="N8" s="25">
        <v>3500</v>
      </c>
      <c r="O8" s="15">
        <v>5</v>
      </c>
      <c r="P8" s="25">
        <v>6650</v>
      </c>
      <c r="Q8" s="15">
        <v>1</v>
      </c>
      <c r="R8" s="15" t="s">
        <v>88</v>
      </c>
      <c r="S8" s="15" t="s">
        <v>35</v>
      </c>
      <c r="T8" s="15" t="s">
        <v>50</v>
      </c>
      <c r="U8" s="22">
        <v>9958252176</v>
      </c>
      <c r="V8" s="15" t="s">
        <v>38</v>
      </c>
      <c r="W8" s="29" t="str">
        <f t="shared" si="0"/>
        <v>Kav008Hy</v>
      </c>
    </row>
    <row r="9" spans="1:23" x14ac:dyDescent="0.5">
      <c r="A9" s="17" t="s">
        <v>99</v>
      </c>
      <c r="B9" s="17" t="s">
        <v>100</v>
      </c>
      <c r="C9" s="17" t="s">
        <v>40</v>
      </c>
      <c r="D9" s="17" t="s">
        <v>101</v>
      </c>
      <c r="E9" s="17" t="s">
        <v>102</v>
      </c>
      <c r="F9" s="15" t="s">
        <v>103</v>
      </c>
      <c r="G9" s="17" t="s">
        <v>28</v>
      </c>
      <c r="H9" s="17" t="s">
        <v>104</v>
      </c>
      <c r="I9" s="17" t="s">
        <v>105</v>
      </c>
      <c r="J9" s="17" t="s">
        <v>106</v>
      </c>
      <c r="K9" s="17" t="s">
        <v>46</v>
      </c>
      <c r="L9" s="17" t="s">
        <v>47</v>
      </c>
      <c r="M9" s="17">
        <v>14</v>
      </c>
      <c r="N9" s="26">
        <v>12000</v>
      </c>
      <c r="O9" s="17">
        <v>15</v>
      </c>
      <c r="P9" s="26">
        <v>142800</v>
      </c>
      <c r="Q9" s="17">
        <v>4</v>
      </c>
      <c r="R9" s="17" t="s">
        <v>48</v>
      </c>
      <c r="S9" s="17" t="s">
        <v>35</v>
      </c>
      <c r="T9" s="15" t="s">
        <v>144</v>
      </c>
      <c r="U9" s="21">
        <v>9705521654</v>
      </c>
      <c r="V9" s="17" t="s">
        <v>38</v>
      </c>
      <c r="W9" s="29" t="str">
        <f t="shared" si="0"/>
        <v>Pri002Mu</v>
      </c>
    </row>
    <row r="10" spans="1:23" x14ac:dyDescent="0.5">
      <c r="A10" s="15" t="s">
        <v>109</v>
      </c>
      <c r="B10" s="15" t="s">
        <v>23</v>
      </c>
      <c r="C10" s="15" t="s">
        <v>40</v>
      </c>
      <c r="D10" s="15" t="s">
        <v>110</v>
      </c>
      <c r="E10" s="15" t="s">
        <v>111</v>
      </c>
      <c r="F10" s="15" t="s">
        <v>27</v>
      </c>
      <c r="G10" s="15" t="s">
        <v>28</v>
      </c>
      <c r="H10" s="15" t="s">
        <v>113</v>
      </c>
      <c r="I10" s="15" t="s">
        <v>114</v>
      </c>
      <c r="J10" s="15" t="s">
        <v>106</v>
      </c>
      <c r="K10" s="15" t="s">
        <v>46</v>
      </c>
      <c r="L10" s="15" t="s">
        <v>47</v>
      </c>
      <c r="M10" s="15">
        <v>4</v>
      </c>
      <c r="N10" s="25">
        <v>12000</v>
      </c>
      <c r="O10" s="15">
        <v>15</v>
      </c>
      <c r="P10" s="25">
        <v>40800</v>
      </c>
      <c r="Q10" s="15">
        <v>4</v>
      </c>
      <c r="R10" s="15" t="s">
        <v>88</v>
      </c>
      <c r="S10" s="15" t="s">
        <v>115</v>
      </c>
      <c r="T10" s="15" t="s">
        <v>50</v>
      </c>
      <c r="U10" s="22">
        <v>9588041011</v>
      </c>
      <c r="V10" s="15" t="s">
        <v>38</v>
      </c>
      <c r="W10" s="29" t="str">
        <f t="shared" si="0"/>
        <v>Kav008Pu</v>
      </c>
    </row>
    <row r="11" spans="1:23" x14ac:dyDescent="0.5">
      <c r="A11" s="17" t="s">
        <v>117</v>
      </c>
      <c r="B11" s="17" t="s">
        <v>100</v>
      </c>
      <c r="C11" s="17" t="s">
        <v>118</v>
      </c>
      <c r="D11" s="17" t="s">
        <v>119</v>
      </c>
      <c r="E11" s="17" t="s">
        <v>120</v>
      </c>
      <c r="F11" s="15" t="s">
        <v>103</v>
      </c>
      <c r="G11" s="17" t="s">
        <v>28</v>
      </c>
      <c r="H11" s="17" t="s">
        <v>121</v>
      </c>
      <c r="I11" s="17" t="s">
        <v>105</v>
      </c>
      <c r="J11" s="17" t="s">
        <v>106</v>
      </c>
      <c r="K11" s="17" t="s">
        <v>122</v>
      </c>
      <c r="L11" s="17" t="s">
        <v>123</v>
      </c>
      <c r="M11" s="17">
        <v>6</v>
      </c>
      <c r="N11" s="26">
        <v>60</v>
      </c>
      <c r="O11" s="17">
        <v>0</v>
      </c>
      <c r="P11" s="26">
        <v>360</v>
      </c>
      <c r="Q11" s="17">
        <v>4</v>
      </c>
      <c r="R11" s="17" t="s">
        <v>79</v>
      </c>
      <c r="S11" s="17" t="s">
        <v>115</v>
      </c>
      <c r="T11" s="15" t="s">
        <v>144</v>
      </c>
      <c r="U11" s="21">
        <v>9340540608</v>
      </c>
      <c r="V11" s="17" t="s">
        <v>38</v>
      </c>
      <c r="W11" s="29" t="str">
        <f t="shared" si="0"/>
        <v>Pri002Mu</v>
      </c>
    </row>
    <row r="12" spans="1:23" x14ac:dyDescent="0.5">
      <c r="A12" s="15" t="s">
        <v>126</v>
      </c>
      <c r="B12" s="15" t="s">
        <v>127</v>
      </c>
      <c r="C12" s="15" t="s">
        <v>24</v>
      </c>
      <c r="D12" s="15" t="s">
        <v>128</v>
      </c>
      <c r="E12" s="15" t="s">
        <v>129</v>
      </c>
      <c r="F12" s="15" t="s">
        <v>200</v>
      </c>
      <c r="G12" s="15" t="s">
        <v>76</v>
      </c>
      <c r="H12" s="15" t="s">
        <v>131</v>
      </c>
      <c r="I12" s="15" t="s">
        <v>44</v>
      </c>
      <c r="J12" s="15" t="s">
        <v>45</v>
      </c>
      <c r="K12" s="15" t="s">
        <v>32</v>
      </c>
      <c r="L12" s="15" t="s">
        <v>33</v>
      </c>
      <c r="M12" s="15">
        <v>-3</v>
      </c>
      <c r="N12" s="25">
        <v>2200</v>
      </c>
      <c r="O12" s="15">
        <v>0</v>
      </c>
      <c r="P12" s="25">
        <v>35200</v>
      </c>
      <c r="Q12" s="15">
        <v>2</v>
      </c>
      <c r="R12" s="15" t="s">
        <v>79</v>
      </c>
      <c r="S12" s="15" t="s">
        <v>49</v>
      </c>
      <c r="T12" s="15" t="s">
        <v>132</v>
      </c>
      <c r="U12" s="22">
        <v>9521710321</v>
      </c>
      <c r="V12" s="15" t="s">
        <v>64</v>
      </c>
      <c r="W12" s="29" t="str">
        <f t="shared" si="0"/>
        <v>Roh003De</v>
      </c>
    </row>
    <row r="13" spans="1:23" x14ac:dyDescent="0.5">
      <c r="A13" s="17" t="s">
        <v>134</v>
      </c>
      <c r="B13" s="17" t="s">
        <v>23</v>
      </c>
      <c r="C13" s="17" t="s">
        <v>92</v>
      </c>
      <c r="D13" s="17" t="s">
        <v>135</v>
      </c>
      <c r="E13" s="17" t="s">
        <v>136</v>
      </c>
      <c r="F13" s="15" t="s">
        <v>27</v>
      </c>
      <c r="G13" s="17" t="s">
        <v>28</v>
      </c>
      <c r="H13" s="17" t="s">
        <v>137</v>
      </c>
      <c r="I13" s="17" t="s">
        <v>138</v>
      </c>
      <c r="J13" s="17" t="s">
        <v>106</v>
      </c>
      <c r="K13" s="17" t="s">
        <v>32</v>
      </c>
      <c r="L13" s="17" t="s">
        <v>97</v>
      </c>
      <c r="M13" s="17">
        <v>10</v>
      </c>
      <c r="N13" s="26">
        <v>3500</v>
      </c>
      <c r="O13" s="17">
        <v>5</v>
      </c>
      <c r="P13" s="26">
        <v>33250</v>
      </c>
      <c r="Q13" s="17">
        <v>5</v>
      </c>
      <c r="R13" s="17" t="s">
        <v>79</v>
      </c>
      <c r="S13" s="17" t="s">
        <v>61</v>
      </c>
      <c r="T13" s="15" t="s">
        <v>50</v>
      </c>
      <c r="U13" s="21">
        <v>9123535241</v>
      </c>
      <c r="V13" s="17" t="s">
        <v>69</v>
      </c>
      <c r="W13" s="29" t="str">
        <f t="shared" si="0"/>
        <v>Kav008Ah</v>
      </c>
    </row>
    <row r="14" spans="1:23" x14ac:dyDescent="0.5">
      <c r="A14" s="15" t="s">
        <v>140</v>
      </c>
      <c r="B14" s="15" t="s">
        <v>100</v>
      </c>
      <c r="C14" s="15" t="s">
        <v>24</v>
      </c>
      <c r="D14" s="15" t="s">
        <v>141</v>
      </c>
      <c r="E14" s="15" t="s">
        <v>142</v>
      </c>
      <c r="F14" s="15" t="s">
        <v>103</v>
      </c>
      <c r="G14" s="15" t="s">
        <v>28</v>
      </c>
      <c r="H14" s="15" t="s">
        <v>143</v>
      </c>
      <c r="I14" s="15" t="s">
        <v>114</v>
      </c>
      <c r="J14" s="15" t="s">
        <v>106</v>
      </c>
      <c r="K14" s="15" t="s">
        <v>32</v>
      </c>
      <c r="L14" s="15" t="s">
        <v>33</v>
      </c>
      <c r="M14" s="15">
        <v>15</v>
      </c>
      <c r="N14" s="25">
        <v>2200</v>
      </c>
      <c r="O14" s="15">
        <v>10</v>
      </c>
      <c r="P14" s="25">
        <v>29700</v>
      </c>
      <c r="Q14" s="15">
        <v>1</v>
      </c>
      <c r="R14" s="15" t="s">
        <v>88</v>
      </c>
      <c r="S14" s="15" t="s">
        <v>115</v>
      </c>
      <c r="T14" s="15" t="s">
        <v>144</v>
      </c>
      <c r="U14" s="22">
        <v>9367316892</v>
      </c>
      <c r="V14" s="15" t="s">
        <v>64</v>
      </c>
      <c r="W14" s="29" t="str">
        <f t="shared" si="0"/>
        <v>Pri002Pu</v>
      </c>
    </row>
    <row r="15" spans="1:23" x14ac:dyDescent="0.5">
      <c r="A15" s="17" t="s">
        <v>146</v>
      </c>
      <c r="B15" s="17" t="s">
        <v>127</v>
      </c>
      <c r="C15" s="17" t="s">
        <v>24</v>
      </c>
      <c r="D15" s="17" t="s">
        <v>147</v>
      </c>
      <c r="E15" s="17" t="s">
        <v>148</v>
      </c>
      <c r="F15" s="15" t="s">
        <v>200</v>
      </c>
      <c r="G15" s="17" t="s">
        <v>76</v>
      </c>
      <c r="H15" s="17" t="s">
        <v>150</v>
      </c>
      <c r="I15" s="17" t="s">
        <v>105</v>
      </c>
      <c r="J15" s="17" t="s">
        <v>106</v>
      </c>
      <c r="K15" s="17" t="s">
        <v>32</v>
      </c>
      <c r="L15" s="17" t="s">
        <v>33</v>
      </c>
      <c r="M15" s="17">
        <v>17</v>
      </c>
      <c r="N15" s="26">
        <v>2200</v>
      </c>
      <c r="O15" s="17">
        <v>5</v>
      </c>
      <c r="P15" s="26">
        <v>35530</v>
      </c>
      <c r="Q15" s="17">
        <v>1</v>
      </c>
      <c r="R15" s="17" t="s">
        <v>34</v>
      </c>
      <c r="S15" s="17" t="s">
        <v>151</v>
      </c>
      <c r="T15" s="15" t="s">
        <v>132</v>
      </c>
      <c r="U15" s="21">
        <v>9778489803</v>
      </c>
      <c r="V15" s="17" t="s">
        <v>38</v>
      </c>
      <c r="W15" s="29" t="str">
        <f t="shared" si="0"/>
        <v>Roh003Mu</v>
      </c>
    </row>
    <row r="16" spans="1:23" x14ac:dyDescent="0.5">
      <c r="A16" s="15" t="s">
        <v>154</v>
      </c>
      <c r="B16" s="15" t="s">
        <v>23</v>
      </c>
      <c r="C16" s="15" t="s">
        <v>92</v>
      </c>
      <c r="D16" s="15" t="s">
        <v>155</v>
      </c>
      <c r="E16" s="15" t="s">
        <v>156</v>
      </c>
      <c r="F16" s="15" t="s">
        <v>27</v>
      </c>
      <c r="G16" s="15" t="s">
        <v>28</v>
      </c>
      <c r="H16" s="15" t="s">
        <v>158</v>
      </c>
      <c r="I16" s="15" t="s">
        <v>105</v>
      </c>
      <c r="J16" s="15" t="s">
        <v>106</v>
      </c>
      <c r="K16" s="15" t="s">
        <v>32</v>
      </c>
      <c r="L16" s="15" t="s">
        <v>97</v>
      </c>
      <c r="M16" s="15">
        <v>15</v>
      </c>
      <c r="N16" s="25">
        <v>3500</v>
      </c>
      <c r="O16" s="15">
        <v>15</v>
      </c>
      <c r="P16" s="25">
        <v>44625</v>
      </c>
      <c r="Q16" s="15">
        <v>2</v>
      </c>
      <c r="R16" s="15" t="s">
        <v>34</v>
      </c>
      <c r="S16" s="15" t="s">
        <v>115</v>
      </c>
      <c r="T16" s="15" t="s">
        <v>50</v>
      </c>
      <c r="U16" s="15">
        <v>9582960180</v>
      </c>
      <c r="V16" s="15" t="s">
        <v>69</v>
      </c>
      <c r="W16" s="29" t="str">
        <f t="shared" si="0"/>
        <v>Kav008Mu</v>
      </c>
    </row>
    <row r="17" spans="1:23" x14ac:dyDescent="0.5">
      <c r="A17" s="17" t="s">
        <v>160</v>
      </c>
      <c r="B17" s="17" t="s">
        <v>53</v>
      </c>
      <c r="C17" s="17" t="s">
        <v>72</v>
      </c>
      <c r="D17" s="17" t="s">
        <v>161</v>
      </c>
      <c r="E17" s="17" t="s">
        <v>162</v>
      </c>
      <c r="F17" s="15" t="s">
        <v>163</v>
      </c>
      <c r="G17" s="17" t="s">
        <v>28</v>
      </c>
      <c r="H17" s="17" t="s">
        <v>164</v>
      </c>
      <c r="I17" s="17" t="s">
        <v>30</v>
      </c>
      <c r="J17" s="17" t="s">
        <v>31</v>
      </c>
      <c r="K17" s="17" t="s">
        <v>46</v>
      </c>
      <c r="L17" s="17" t="s">
        <v>78</v>
      </c>
      <c r="M17" s="17">
        <v>3</v>
      </c>
      <c r="N17" s="26">
        <v>1200</v>
      </c>
      <c r="O17" s="17">
        <v>5</v>
      </c>
      <c r="P17" s="26">
        <v>3420</v>
      </c>
      <c r="Q17" s="17">
        <v>5</v>
      </c>
      <c r="R17" s="17" t="s">
        <v>88</v>
      </c>
      <c r="S17" s="17" t="s">
        <v>35</v>
      </c>
      <c r="T17" s="15" t="s">
        <v>2112</v>
      </c>
      <c r="U17" s="17">
        <v>9611394005</v>
      </c>
      <c r="V17" s="17" t="s">
        <v>38</v>
      </c>
      <c r="W17" s="29" t="str">
        <f t="shared" si="0"/>
        <v>Poo010Hy</v>
      </c>
    </row>
    <row r="18" spans="1:23" x14ac:dyDescent="0.5">
      <c r="A18" s="15" t="s">
        <v>167</v>
      </c>
      <c r="B18" s="15" t="s">
        <v>168</v>
      </c>
      <c r="C18" s="15" t="s">
        <v>169</v>
      </c>
      <c r="D18" s="15" t="s">
        <v>170</v>
      </c>
      <c r="E18" s="15" t="s">
        <v>171</v>
      </c>
      <c r="F18" s="15" t="s">
        <v>394</v>
      </c>
      <c r="G18" s="15" t="s">
        <v>28</v>
      </c>
      <c r="H18" s="15" t="s">
        <v>173</v>
      </c>
      <c r="I18" s="15" t="s">
        <v>114</v>
      </c>
      <c r="J18" s="15" t="s">
        <v>106</v>
      </c>
      <c r="K18" s="15" t="s">
        <v>32</v>
      </c>
      <c r="L18" s="15" t="s">
        <v>174</v>
      </c>
      <c r="M18" s="15">
        <v>13</v>
      </c>
      <c r="N18" s="25">
        <v>8500</v>
      </c>
      <c r="O18" s="15">
        <v>20</v>
      </c>
      <c r="P18" s="25">
        <v>88400</v>
      </c>
      <c r="Q18" s="15">
        <v>4</v>
      </c>
      <c r="R18" s="15" t="s">
        <v>79</v>
      </c>
      <c r="S18" s="15" t="s">
        <v>49</v>
      </c>
      <c r="T18" s="15" t="s">
        <v>175</v>
      </c>
      <c r="U18" s="15">
        <v>9692599404</v>
      </c>
      <c r="V18" s="15" t="s">
        <v>64</v>
      </c>
      <c r="W18" s="29" t="str">
        <f t="shared" si="0"/>
        <v>Ami004Pu</v>
      </c>
    </row>
    <row r="19" spans="1:23" x14ac:dyDescent="0.5">
      <c r="A19" s="17" t="s">
        <v>177</v>
      </c>
      <c r="B19" s="17" t="s">
        <v>83</v>
      </c>
      <c r="C19" s="17" t="s">
        <v>169</v>
      </c>
      <c r="D19" s="17" t="s">
        <v>178</v>
      </c>
      <c r="E19" s="17" t="s">
        <v>179</v>
      </c>
      <c r="F19" s="15" t="s">
        <v>180</v>
      </c>
      <c r="G19" s="17" t="s">
        <v>76</v>
      </c>
      <c r="H19" s="17" t="s">
        <v>181</v>
      </c>
      <c r="I19" s="17" t="s">
        <v>138</v>
      </c>
      <c r="J19" s="17" t="s">
        <v>106</v>
      </c>
      <c r="K19" s="17" t="s">
        <v>32</v>
      </c>
      <c r="L19" s="17" t="s">
        <v>174</v>
      </c>
      <c r="M19" s="17">
        <v>4</v>
      </c>
      <c r="N19" s="26">
        <v>8500</v>
      </c>
      <c r="O19" s="17">
        <v>20</v>
      </c>
      <c r="P19" s="26">
        <v>27200</v>
      </c>
      <c r="Q19" s="17">
        <v>5</v>
      </c>
      <c r="R19" s="17" t="s">
        <v>79</v>
      </c>
      <c r="S19" s="17" t="s">
        <v>61</v>
      </c>
      <c r="T19" s="15" t="s">
        <v>89</v>
      </c>
      <c r="U19" s="17">
        <v>9426119622</v>
      </c>
      <c r="V19" s="17" t="s">
        <v>64</v>
      </c>
      <c r="W19" s="29" t="str">
        <f t="shared" si="0"/>
        <v>Arj007Ah</v>
      </c>
    </row>
    <row r="20" spans="1:23" x14ac:dyDescent="0.5">
      <c r="A20" s="15" t="s">
        <v>183</v>
      </c>
      <c r="B20" s="15" t="s">
        <v>83</v>
      </c>
      <c r="C20" s="15" t="s">
        <v>184</v>
      </c>
      <c r="D20" s="15" t="s">
        <v>185</v>
      </c>
      <c r="E20" s="15" t="s">
        <v>186</v>
      </c>
      <c r="F20" s="15" t="s">
        <v>180</v>
      </c>
      <c r="G20" s="15" t="s">
        <v>76</v>
      </c>
      <c r="H20" s="15" t="s">
        <v>188</v>
      </c>
      <c r="I20" s="15" t="s">
        <v>105</v>
      </c>
      <c r="J20" s="15" t="s">
        <v>106</v>
      </c>
      <c r="K20" s="15" t="s">
        <v>46</v>
      </c>
      <c r="L20" s="15" t="s">
        <v>189</v>
      </c>
      <c r="M20" s="15">
        <v>9</v>
      </c>
      <c r="N20" s="25">
        <v>700</v>
      </c>
      <c r="O20" s="15">
        <v>5</v>
      </c>
      <c r="P20" s="25">
        <v>5985</v>
      </c>
      <c r="Q20" s="15">
        <v>3</v>
      </c>
      <c r="R20" s="15" t="s">
        <v>88</v>
      </c>
      <c r="S20" s="15" t="s">
        <v>35</v>
      </c>
      <c r="T20" s="15" t="s">
        <v>89</v>
      </c>
      <c r="U20" s="15">
        <v>9184436009</v>
      </c>
      <c r="V20" s="15" t="s">
        <v>64</v>
      </c>
      <c r="W20" s="29" t="str">
        <f t="shared" si="0"/>
        <v>Arj007Mu</v>
      </c>
    </row>
    <row r="21" spans="1:23" x14ac:dyDescent="0.5">
      <c r="A21" s="17" t="s">
        <v>192</v>
      </c>
      <c r="B21" s="17" t="s">
        <v>23</v>
      </c>
      <c r="C21" s="17" t="s">
        <v>54</v>
      </c>
      <c r="D21" s="17" t="s">
        <v>193</v>
      </c>
      <c r="E21" s="17" t="s">
        <v>194</v>
      </c>
      <c r="F21" s="15" t="s">
        <v>27</v>
      </c>
      <c r="G21" s="17" t="s">
        <v>28</v>
      </c>
      <c r="H21" s="17" t="s">
        <v>195</v>
      </c>
      <c r="I21" s="17" t="s">
        <v>138</v>
      </c>
      <c r="J21" s="17" t="s">
        <v>106</v>
      </c>
      <c r="K21" s="17" t="s">
        <v>46</v>
      </c>
      <c r="L21" s="17" t="s">
        <v>60</v>
      </c>
      <c r="M21" s="17">
        <v>8</v>
      </c>
      <c r="N21" s="26">
        <v>55000</v>
      </c>
      <c r="O21" s="17">
        <v>20</v>
      </c>
      <c r="P21" s="26">
        <v>352000</v>
      </c>
      <c r="Q21" s="17">
        <v>1</v>
      </c>
      <c r="R21" s="17" t="s">
        <v>34</v>
      </c>
      <c r="S21" s="17" t="s">
        <v>151</v>
      </c>
      <c r="T21" s="15" t="s">
        <v>50</v>
      </c>
      <c r="U21" s="17">
        <v>9263774934</v>
      </c>
      <c r="V21" s="17" t="s">
        <v>38</v>
      </c>
      <c r="W21" s="29" t="str">
        <f t="shared" si="0"/>
        <v>Kav008Ah</v>
      </c>
    </row>
    <row r="22" spans="1:23" x14ac:dyDescent="0.5">
      <c r="A22" s="15" t="s">
        <v>197</v>
      </c>
      <c r="B22" s="15" t="s">
        <v>127</v>
      </c>
      <c r="C22" s="15" t="s">
        <v>184</v>
      </c>
      <c r="D22" s="15" t="s">
        <v>198</v>
      </c>
      <c r="E22" s="15" t="s">
        <v>199</v>
      </c>
      <c r="F22" s="15" t="s">
        <v>200</v>
      </c>
      <c r="G22" s="15" t="s">
        <v>76</v>
      </c>
      <c r="H22" s="15" t="s">
        <v>201</v>
      </c>
      <c r="I22" s="15" t="s">
        <v>44</v>
      </c>
      <c r="J22" s="15" t="s">
        <v>45</v>
      </c>
      <c r="K22" s="15" t="s">
        <v>202</v>
      </c>
      <c r="L22" s="15" t="s">
        <v>189</v>
      </c>
      <c r="M22" s="15">
        <v>10</v>
      </c>
      <c r="N22" s="25">
        <v>700</v>
      </c>
      <c r="O22" s="15">
        <v>20</v>
      </c>
      <c r="P22" s="25">
        <v>5600</v>
      </c>
      <c r="Q22" s="15">
        <v>4</v>
      </c>
      <c r="R22" s="15" t="s">
        <v>79</v>
      </c>
      <c r="S22" s="15" t="s">
        <v>61</v>
      </c>
      <c r="T22" s="15" t="s">
        <v>132</v>
      </c>
      <c r="U22" s="15">
        <v>9473159572</v>
      </c>
      <c r="V22" s="15" t="s">
        <v>69</v>
      </c>
      <c r="W22" s="29" t="str">
        <f t="shared" si="0"/>
        <v>Roh003De</v>
      </c>
    </row>
    <row r="23" spans="1:23" x14ac:dyDescent="0.5">
      <c r="A23" s="17" t="s">
        <v>204</v>
      </c>
      <c r="B23" s="17" t="s">
        <v>23</v>
      </c>
      <c r="C23" s="17" t="s">
        <v>92</v>
      </c>
      <c r="D23" s="17" t="s">
        <v>205</v>
      </c>
      <c r="E23" s="17" t="s">
        <v>206</v>
      </c>
      <c r="F23" s="15" t="s">
        <v>27</v>
      </c>
      <c r="G23" s="17" t="s">
        <v>28</v>
      </c>
      <c r="H23" s="17" t="s">
        <v>207</v>
      </c>
      <c r="I23" s="17" t="s">
        <v>59</v>
      </c>
      <c r="J23" s="17" t="s">
        <v>31</v>
      </c>
      <c r="K23" s="17" t="s">
        <v>32</v>
      </c>
      <c r="L23" s="17" t="s">
        <v>97</v>
      </c>
      <c r="M23" s="17">
        <v>1</v>
      </c>
      <c r="N23" s="26">
        <v>3500</v>
      </c>
      <c r="O23" s="17">
        <v>5</v>
      </c>
      <c r="P23" s="26">
        <v>3325</v>
      </c>
      <c r="Q23" s="17">
        <v>3</v>
      </c>
      <c r="R23" s="17" t="s">
        <v>88</v>
      </c>
      <c r="S23" s="17" t="s">
        <v>115</v>
      </c>
      <c r="T23" s="15" t="s">
        <v>50</v>
      </c>
      <c r="U23" s="17">
        <v>9660493688</v>
      </c>
      <c r="V23" s="17" t="s">
        <v>69</v>
      </c>
      <c r="W23" s="29" t="str">
        <f t="shared" si="0"/>
        <v>Kav008Be</v>
      </c>
    </row>
    <row r="24" spans="1:23" x14ac:dyDescent="0.5">
      <c r="A24" s="15" t="s">
        <v>209</v>
      </c>
      <c r="B24" s="15" t="s">
        <v>100</v>
      </c>
      <c r="C24" s="15" t="s">
        <v>184</v>
      </c>
      <c r="D24" s="15" t="s">
        <v>102</v>
      </c>
      <c r="E24" s="15" t="s">
        <v>210</v>
      </c>
      <c r="F24" s="15" t="s">
        <v>103</v>
      </c>
      <c r="G24" s="15" t="s">
        <v>28</v>
      </c>
      <c r="H24" s="15" t="s">
        <v>211</v>
      </c>
      <c r="I24" s="15" t="s">
        <v>212</v>
      </c>
      <c r="J24" s="15" t="s">
        <v>45</v>
      </c>
      <c r="K24" s="15" t="s">
        <v>46</v>
      </c>
      <c r="L24" s="15" t="s">
        <v>189</v>
      </c>
      <c r="M24" s="15">
        <v>19</v>
      </c>
      <c r="N24" s="25">
        <v>700</v>
      </c>
      <c r="O24" s="15">
        <v>15</v>
      </c>
      <c r="P24" s="25">
        <v>11305</v>
      </c>
      <c r="Q24" s="15">
        <v>3</v>
      </c>
      <c r="R24" s="15" t="s">
        <v>48</v>
      </c>
      <c r="S24" s="15" t="s">
        <v>151</v>
      </c>
      <c r="T24" s="15" t="s">
        <v>144</v>
      </c>
      <c r="U24" s="15">
        <v>9513325819</v>
      </c>
      <c r="V24" s="15" t="s">
        <v>64</v>
      </c>
      <c r="W24" s="29" t="str">
        <f t="shared" si="0"/>
        <v>Pri002Ja</v>
      </c>
    </row>
    <row r="25" spans="1:23" x14ac:dyDescent="0.5">
      <c r="A25" s="17" t="s">
        <v>214</v>
      </c>
      <c r="B25" s="17" t="s">
        <v>71</v>
      </c>
      <c r="C25" s="17" t="s">
        <v>54</v>
      </c>
      <c r="D25" s="17" t="s">
        <v>215</v>
      </c>
      <c r="E25" s="17" t="s">
        <v>216</v>
      </c>
      <c r="F25" s="15" t="s">
        <v>217</v>
      </c>
      <c r="G25" s="17" t="s">
        <v>76</v>
      </c>
      <c r="H25" s="17" t="s">
        <v>218</v>
      </c>
      <c r="I25" s="17" t="s">
        <v>59</v>
      </c>
      <c r="J25" s="17" t="s">
        <v>31</v>
      </c>
      <c r="K25" s="17" t="s">
        <v>46</v>
      </c>
      <c r="L25" s="17" t="s">
        <v>60</v>
      </c>
      <c r="M25" s="17">
        <v>12</v>
      </c>
      <c r="N25" s="26">
        <v>55000</v>
      </c>
      <c r="O25" s="17">
        <v>0</v>
      </c>
      <c r="P25" s="26">
        <v>660000</v>
      </c>
      <c r="Q25" s="17">
        <v>1</v>
      </c>
      <c r="R25" s="17" t="s">
        <v>79</v>
      </c>
      <c r="S25" s="17" t="s">
        <v>49</v>
      </c>
      <c r="T25" s="15" t="s">
        <v>80</v>
      </c>
      <c r="U25" s="17">
        <v>9641063242</v>
      </c>
      <c r="V25" s="17" t="s">
        <v>64</v>
      </c>
      <c r="W25" s="29" t="str">
        <f t="shared" si="0"/>
        <v>Moh009Be</v>
      </c>
    </row>
    <row r="26" spans="1:23" x14ac:dyDescent="0.5">
      <c r="A26" s="15" t="s">
        <v>220</v>
      </c>
      <c r="B26" s="15" t="s">
        <v>221</v>
      </c>
      <c r="C26" s="15" t="s">
        <v>222</v>
      </c>
      <c r="D26" s="15" t="s">
        <v>223</v>
      </c>
      <c r="E26" s="15" t="s">
        <v>224</v>
      </c>
      <c r="F26" s="15" t="s">
        <v>225</v>
      </c>
      <c r="G26" s="15" t="s">
        <v>76</v>
      </c>
      <c r="H26" s="15" t="s">
        <v>226</v>
      </c>
      <c r="I26" s="15" t="s">
        <v>105</v>
      </c>
      <c r="J26" s="15" t="s">
        <v>106</v>
      </c>
      <c r="K26" s="15" t="s">
        <v>122</v>
      </c>
      <c r="L26" s="15" t="s">
        <v>227</v>
      </c>
      <c r="M26" s="15">
        <v>1</v>
      </c>
      <c r="N26" s="25">
        <v>20</v>
      </c>
      <c r="O26" s="15">
        <v>5</v>
      </c>
      <c r="P26" s="25">
        <v>19</v>
      </c>
      <c r="Q26" s="15">
        <v>5</v>
      </c>
      <c r="R26" s="15" t="s">
        <v>79</v>
      </c>
      <c r="S26" s="15" t="s">
        <v>35</v>
      </c>
      <c r="T26" s="15" t="s">
        <v>228</v>
      </c>
      <c r="U26" s="15">
        <v>9277372518</v>
      </c>
      <c r="V26" s="15" t="s">
        <v>69</v>
      </c>
      <c r="W26" s="29" t="str">
        <f t="shared" si="0"/>
        <v>Vik005Mu</v>
      </c>
    </row>
    <row r="27" spans="1:23" x14ac:dyDescent="0.5">
      <c r="A27" s="17" t="s">
        <v>230</v>
      </c>
      <c r="B27" s="17" t="s">
        <v>83</v>
      </c>
      <c r="C27" s="17" t="s">
        <v>222</v>
      </c>
      <c r="D27" s="17" t="s">
        <v>231</v>
      </c>
      <c r="E27" s="17" t="s">
        <v>232</v>
      </c>
      <c r="F27" s="15" t="s">
        <v>180</v>
      </c>
      <c r="G27" s="17" t="s">
        <v>76</v>
      </c>
      <c r="H27" s="17" t="s">
        <v>233</v>
      </c>
      <c r="I27" s="17" t="s">
        <v>105</v>
      </c>
      <c r="J27" s="17" t="s">
        <v>106</v>
      </c>
      <c r="K27" s="17" t="s">
        <v>122</v>
      </c>
      <c r="L27" s="17" t="s">
        <v>227</v>
      </c>
      <c r="M27" s="17">
        <v>2</v>
      </c>
      <c r="N27" s="26">
        <v>20</v>
      </c>
      <c r="O27" s="17">
        <v>15</v>
      </c>
      <c r="P27" s="26">
        <v>34</v>
      </c>
      <c r="Q27" s="17">
        <v>1</v>
      </c>
      <c r="R27" s="17" t="s">
        <v>88</v>
      </c>
      <c r="S27" s="17" t="s">
        <v>35</v>
      </c>
      <c r="T27" s="15" t="s">
        <v>89</v>
      </c>
      <c r="U27" s="17">
        <v>9193154372</v>
      </c>
      <c r="V27" s="17" t="s">
        <v>64</v>
      </c>
      <c r="W27" s="29" t="str">
        <f t="shared" si="0"/>
        <v>Arj007Mu</v>
      </c>
    </row>
    <row r="28" spans="1:23" x14ac:dyDescent="0.5">
      <c r="A28" s="15" t="s">
        <v>235</v>
      </c>
      <c r="B28" s="15" t="s">
        <v>71</v>
      </c>
      <c r="C28" s="15" t="s">
        <v>92</v>
      </c>
      <c r="D28" s="15" t="s">
        <v>236</v>
      </c>
      <c r="E28" s="15" t="s">
        <v>237</v>
      </c>
      <c r="F28" s="15" t="s">
        <v>217</v>
      </c>
      <c r="G28" s="15" t="s">
        <v>76</v>
      </c>
      <c r="H28" s="15" t="s">
        <v>238</v>
      </c>
      <c r="I28" s="15" t="s">
        <v>138</v>
      </c>
      <c r="J28" s="15" t="s">
        <v>106</v>
      </c>
      <c r="K28" s="15" t="s">
        <v>32</v>
      </c>
      <c r="L28" s="15" t="s">
        <v>97</v>
      </c>
      <c r="M28" s="15">
        <v>12</v>
      </c>
      <c r="N28" s="25">
        <v>3500</v>
      </c>
      <c r="O28" s="15">
        <v>15</v>
      </c>
      <c r="P28" s="25">
        <v>35700</v>
      </c>
      <c r="Q28" s="15">
        <v>4</v>
      </c>
      <c r="R28" s="15" t="s">
        <v>34</v>
      </c>
      <c r="S28" s="15" t="s">
        <v>49</v>
      </c>
      <c r="T28" s="15" t="s">
        <v>80</v>
      </c>
      <c r="U28" s="15">
        <v>9400073244</v>
      </c>
      <c r="V28" s="15" t="s">
        <v>69</v>
      </c>
      <c r="W28" s="29" t="str">
        <f t="shared" si="0"/>
        <v>Moh009Ah</v>
      </c>
    </row>
    <row r="29" spans="1:23" x14ac:dyDescent="0.5">
      <c r="A29" s="17" t="s">
        <v>240</v>
      </c>
      <c r="B29" s="17" t="s">
        <v>23</v>
      </c>
      <c r="C29" s="17" t="s">
        <v>72</v>
      </c>
      <c r="D29" s="17" t="s">
        <v>241</v>
      </c>
      <c r="E29" s="17" t="s">
        <v>242</v>
      </c>
      <c r="F29" s="15" t="s">
        <v>27</v>
      </c>
      <c r="G29" s="17" t="s">
        <v>28</v>
      </c>
      <c r="H29" s="17" t="s">
        <v>243</v>
      </c>
      <c r="I29" s="17" t="s">
        <v>138</v>
      </c>
      <c r="J29" s="17" t="s">
        <v>106</v>
      </c>
      <c r="K29" s="17" t="s">
        <v>46</v>
      </c>
      <c r="L29" s="17" t="s">
        <v>78</v>
      </c>
      <c r="M29" s="17">
        <v>11</v>
      </c>
      <c r="N29" s="26">
        <v>1200</v>
      </c>
      <c r="O29" s="17">
        <v>0</v>
      </c>
      <c r="P29" s="26">
        <v>13200</v>
      </c>
      <c r="Q29" s="17">
        <v>2</v>
      </c>
      <c r="R29" s="17" t="s">
        <v>88</v>
      </c>
      <c r="S29" s="17" t="s">
        <v>151</v>
      </c>
      <c r="T29" s="15" t="s">
        <v>50</v>
      </c>
      <c r="U29" s="17">
        <v>9771556720</v>
      </c>
      <c r="V29" s="17" t="s">
        <v>38</v>
      </c>
      <c r="W29" s="29" t="str">
        <f t="shared" si="0"/>
        <v>Kav008Ah</v>
      </c>
    </row>
    <row r="30" spans="1:23" x14ac:dyDescent="0.5">
      <c r="A30" s="15" t="s">
        <v>245</v>
      </c>
      <c r="B30" s="15" t="s">
        <v>127</v>
      </c>
      <c r="C30" s="15" t="s">
        <v>169</v>
      </c>
      <c r="D30" s="15" t="s">
        <v>246</v>
      </c>
      <c r="E30" s="15" t="s">
        <v>247</v>
      </c>
      <c r="F30" s="15" t="s">
        <v>200</v>
      </c>
      <c r="G30" s="15" t="s">
        <v>76</v>
      </c>
      <c r="H30" s="15" t="s">
        <v>248</v>
      </c>
      <c r="I30" s="15" t="s">
        <v>114</v>
      </c>
      <c r="J30" s="15" t="s">
        <v>106</v>
      </c>
      <c r="K30" s="15" t="s">
        <v>32</v>
      </c>
      <c r="L30" s="15" t="s">
        <v>174</v>
      </c>
      <c r="M30" s="15">
        <v>6</v>
      </c>
      <c r="N30" s="25">
        <v>8500</v>
      </c>
      <c r="O30" s="15">
        <v>65</v>
      </c>
      <c r="P30" s="25">
        <v>51000</v>
      </c>
      <c r="Q30" s="15">
        <v>1</v>
      </c>
      <c r="R30" s="15" t="s">
        <v>79</v>
      </c>
      <c r="S30" s="15" t="s">
        <v>61</v>
      </c>
      <c r="T30" s="15" t="s">
        <v>132</v>
      </c>
      <c r="U30" s="15">
        <v>9127480734</v>
      </c>
      <c r="V30" s="15" t="s">
        <v>38</v>
      </c>
      <c r="W30" s="29" t="str">
        <f t="shared" si="0"/>
        <v>Roh003Pu</v>
      </c>
    </row>
    <row r="31" spans="1:23" x14ac:dyDescent="0.5">
      <c r="A31" s="17" t="s">
        <v>250</v>
      </c>
      <c r="B31" s="17" t="s">
        <v>251</v>
      </c>
      <c r="C31" s="17" t="s">
        <v>118</v>
      </c>
      <c r="D31" s="17" t="s">
        <v>252</v>
      </c>
      <c r="E31" s="17" t="s">
        <v>253</v>
      </c>
      <c r="F31" s="15" t="s">
        <v>254</v>
      </c>
      <c r="G31" s="17" t="s">
        <v>28</v>
      </c>
      <c r="H31" s="17" t="s">
        <v>255</v>
      </c>
      <c r="I31" s="17" t="s">
        <v>114</v>
      </c>
      <c r="J31" s="17" t="s">
        <v>106</v>
      </c>
      <c r="K31" s="17" t="s">
        <v>122</v>
      </c>
      <c r="L31" s="17" t="s">
        <v>123</v>
      </c>
      <c r="M31" s="17">
        <v>2</v>
      </c>
      <c r="N31" s="26">
        <v>60</v>
      </c>
      <c r="O31" s="17">
        <v>5</v>
      </c>
      <c r="P31" s="26">
        <v>114</v>
      </c>
      <c r="Q31" s="17">
        <v>3</v>
      </c>
      <c r="R31" s="17" t="s">
        <v>34</v>
      </c>
      <c r="S31" s="17" t="s">
        <v>151</v>
      </c>
      <c r="T31" s="15" t="s">
        <v>256</v>
      </c>
      <c r="U31" s="17">
        <v>9512997042</v>
      </c>
      <c r="V31" s="17" t="s">
        <v>69</v>
      </c>
      <c r="W31" s="29" t="str">
        <f t="shared" si="0"/>
        <v>Sne006Pu</v>
      </c>
    </row>
    <row r="32" spans="1:23" x14ac:dyDescent="0.5">
      <c r="A32" s="15" t="s">
        <v>258</v>
      </c>
      <c r="B32" s="15" t="s">
        <v>23</v>
      </c>
      <c r="C32" s="15" t="s">
        <v>259</v>
      </c>
      <c r="D32" s="15" t="s">
        <v>260</v>
      </c>
      <c r="E32" s="15" t="s">
        <v>261</v>
      </c>
      <c r="F32" s="15" t="s">
        <v>27</v>
      </c>
      <c r="G32" s="15" t="s">
        <v>28</v>
      </c>
      <c r="H32" s="15" t="s">
        <v>262</v>
      </c>
      <c r="I32" s="15" t="s">
        <v>59</v>
      </c>
      <c r="J32" s="15" t="s">
        <v>31</v>
      </c>
      <c r="K32" s="15" t="s">
        <v>122</v>
      </c>
      <c r="L32" s="15" t="s">
        <v>263</v>
      </c>
      <c r="M32" s="15">
        <v>19</v>
      </c>
      <c r="N32" s="25">
        <v>45</v>
      </c>
      <c r="O32" s="15">
        <v>20</v>
      </c>
      <c r="P32" s="25">
        <v>684</v>
      </c>
      <c r="Q32" s="15">
        <v>4</v>
      </c>
      <c r="R32" s="15" t="s">
        <v>48</v>
      </c>
      <c r="S32" s="15" t="s">
        <v>61</v>
      </c>
      <c r="T32" s="15" t="s">
        <v>50</v>
      </c>
      <c r="U32" s="15">
        <v>9372748661</v>
      </c>
      <c r="V32" s="15" t="s">
        <v>69</v>
      </c>
      <c r="W32" s="29" t="str">
        <f t="shared" si="0"/>
        <v>Kav008Be</v>
      </c>
    </row>
    <row r="33" spans="1:23" x14ac:dyDescent="0.5">
      <c r="A33" s="17" t="s">
        <v>265</v>
      </c>
      <c r="B33" s="17" t="s">
        <v>100</v>
      </c>
      <c r="C33" s="17" t="s">
        <v>40</v>
      </c>
      <c r="D33" s="17" t="s">
        <v>266</v>
      </c>
      <c r="E33" s="17" t="s">
        <v>267</v>
      </c>
      <c r="F33" s="15" t="s">
        <v>103</v>
      </c>
      <c r="G33" s="17" t="s">
        <v>28</v>
      </c>
      <c r="H33" s="17" t="s">
        <v>269</v>
      </c>
      <c r="I33" s="17" t="s">
        <v>138</v>
      </c>
      <c r="J33" s="17" t="s">
        <v>106</v>
      </c>
      <c r="K33" s="17" t="s">
        <v>46</v>
      </c>
      <c r="L33" s="17" t="s">
        <v>47</v>
      </c>
      <c r="M33" s="17">
        <v>11</v>
      </c>
      <c r="N33" s="26">
        <v>12000</v>
      </c>
      <c r="O33" s="17">
        <v>0</v>
      </c>
      <c r="P33" s="26">
        <v>132000</v>
      </c>
      <c r="Q33" s="17">
        <v>3</v>
      </c>
      <c r="R33" s="17" t="s">
        <v>88</v>
      </c>
      <c r="S33" s="17" t="s">
        <v>35</v>
      </c>
      <c r="T33" s="15" t="s">
        <v>144</v>
      </c>
      <c r="U33" s="17">
        <v>9570437805</v>
      </c>
      <c r="V33" s="17" t="s">
        <v>64</v>
      </c>
      <c r="W33" s="29" t="str">
        <f t="shared" si="0"/>
        <v>Pri002Ah</v>
      </c>
    </row>
    <row r="34" spans="1:23" x14ac:dyDescent="0.5">
      <c r="A34" s="15" t="s">
        <v>271</v>
      </c>
      <c r="B34" s="15" t="s">
        <v>251</v>
      </c>
      <c r="C34" s="15" t="s">
        <v>24</v>
      </c>
      <c r="D34" s="15" t="s">
        <v>272</v>
      </c>
      <c r="E34" s="15" t="s">
        <v>136</v>
      </c>
      <c r="F34" s="15" t="s">
        <v>254</v>
      </c>
      <c r="G34" s="15" t="s">
        <v>28</v>
      </c>
      <c r="H34" s="15" t="s">
        <v>273</v>
      </c>
      <c r="I34" s="15" t="s">
        <v>59</v>
      </c>
      <c r="J34" s="15" t="s">
        <v>31</v>
      </c>
      <c r="K34" s="15" t="s">
        <v>32</v>
      </c>
      <c r="L34" s="15" t="s">
        <v>33</v>
      </c>
      <c r="M34" s="15">
        <v>20</v>
      </c>
      <c r="N34" s="25">
        <v>2200</v>
      </c>
      <c r="O34" s="15">
        <v>5</v>
      </c>
      <c r="P34" s="25">
        <v>41800</v>
      </c>
      <c r="Q34" s="15">
        <v>1</v>
      </c>
      <c r="R34" s="15" t="s">
        <v>34</v>
      </c>
      <c r="S34" s="15" t="s">
        <v>49</v>
      </c>
      <c r="T34" s="15" t="s">
        <v>256</v>
      </c>
      <c r="U34" s="15">
        <v>9310669113</v>
      </c>
      <c r="V34" s="15" t="s">
        <v>64</v>
      </c>
      <c r="W34" s="29" t="str">
        <f t="shared" si="0"/>
        <v>Sne006Be</v>
      </c>
    </row>
    <row r="35" spans="1:23" x14ac:dyDescent="0.5">
      <c r="A35" s="17" t="s">
        <v>275</v>
      </c>
      <c r="B35" s="17" t="s">
        <v>83</v>
      </c>
      <c r="C35" s="17" t="s">
        <v>222</v>
      </c>
      <c r="D35" s="17" t="s">
        <v>231</v>
      </c>
      <c r="E35" s="17" t="s">
        <v>276</v>
      </c>
      <c r="F35" s="15" t="s">
        <v>180</v>
      </c>
      <c r="G35" s="17" t="s">
        <v>76</v>
      </c>
      <c r="H35" s="17" t="s">
        <v>277</v>
      </c>
      <c r="I35" s="17" t="s">
        <v>138</v>
      </c>
      <c r="J35" s="17" t="s">
        <v>106</v>
      </c>
      <c r="K35" s="17" t="s">
        <v>122</v>
      </c>
      <c r="L35" s="17" t="s">
        <v>227</v>
      </c>
      <c r="M35" s="17">
        <v>3</v>
      </c>
      <c r="N35" s="26">
        <v>20</v>
      </c>
      <c r="O35" s="17">
        <v>0</v>
      </c>
      <c r="P35" s="26">
        <v>60</v>
      </c>
      <c r="Q35" s="17">
        <v>2</v>
      </c>
      <c r="R35" s="17" t="s">
        <v>79</v>
      </c>
      <c r="S35" s="17" t="s">
        <v>35</v>
      </c>
      <c r="T35" s="15" t="s">
        <v>2112</v>
      </c>
      <c r="U35" s="17">
        <v>9437132894</v>
      </c>
      <c r="V35" s="17" t="s">
        <v>69</v>
      </c>
      <c r="W35" s="29" t="str">
        <f t="shared" si="0"/>
        <v>Arj007Ah</v>
      </c>
    </row>
    <row r="36" spans="1:23" x14ac:dyDescent="0.5">
      <c r="A36" s="15" t="s">
        <v>280</v>
      </c>
      <c r="B36" s="15" t="s">
        <v>127</v>
      </c>
      <c r="C36" s="15" t="s">
        <v>259</v>
      </c>
      <c r="D36" s="15" t="s">
        <v>281</v>
      </c>
      <c r="E36" s="15" t="s">
        <v>282</v>
      </c>
      <c r="F36" s="15" t="s">
        <v>200</v>
      </c>
      <c r="G36" s="15" t="s">
        <v>76</v>
      </c>
      <c r="H36" s="15" t="s">
        <v>283</v>
      </c>
      <c r="I36" s="15" t="s">
        <v>114</v>
      </c>
      <c r="J36" s="15" t="s">
        <v>106</v>
      </c>
      <c r="K36" s="15" t="s">
        <v>122</v>
      </c>
      <c r="L36" s="15" t="s">
        <v>263</v>
      </c>
      <c r="M36" s="15">
        <v>18</v>
      </c>
      <c r="N36" s="25">
        <v>45</v>
      </c>
      <c r="O36" s="15">
        <v>20</v>
      </c>
      <c r="P36" s="25">
        <v>648</v>
      </c>
      <c r="Q36" s="15">
        <v>4</v>
      </c>
      <c r="R36" s="15" t="s">
        <v>48</v>
      </c>
      <c r="S36" s="15" t="s">
        <v>35</v>
      </c>
      <c r="T36" s="15" t="s">
        <v>132</v>
      </c>
      <c r="U36" s="15">
        <v>9762437243</v>
      </c>
      <c r="V36" s="15" t="s">
        <v>69</v>
      </c>
      <c r="W36" s="29" t="str">
        <f t="shared" si="0"/>
        <v>Roh003Pu</v>
      </c>
    </row>
    <row r="37" spans="1:23" x14ac:dyDescent="0.5">
      <c r="A37" s="17" t="s">
        <v>285</v>
      </c>
      <c r="B37" s="17" t="s">
        <v>127</v>
      </c>
      <c r="C37" s="17" t="s">
        <v>72</v>
      </c>
      <c r="D37" s="17" t="s">
        <v>286</v>
      </c>
      <c r="E37" s="17" t="s">
        <v>287</v>
      </c>
      <c r="F37" s="15" t="s">
        <v>200</v>
      </c>
      <c r="G37" s="17" t="s">
        <v>76</v>
      </c>
      <c r="H37" s="17" t="s">
        <v>288</v>
      </c>
      <c r="I37" s="17" t="s">
        <v>59</v>
      </c>
      <c r="J37" s="17" t="s">
        <v>31</v>
      </c>
      <c r="K37" s="17" t="s">
        <v>46</v>
      </c>
      <c r="L37" s="17" t="s">
        <v>78</v>
      </c>
      <c r="M37" s="17">
        <v>4</v>
      </c>
      <c r="N37" s="26">
        <v>1200</v>
      </c>
      <c r="O37" s="17">
        <v>20</v>
      </c>
      <c r="P37" s="26">
        <v>3840</v>
      </c>
      <c r="Q37" s="17">
        <v>3</v>
      </c>
      <c r="R37" s="17" t="s">
        <v>48</v>
      </c>
      <c r="S37" s="17" t="s">
        <v>61</v>
      </c>
      <c r="T37" s="15" t="s">
        <v>132</v>
      </c>
      <c r="U37" s="17">
        <v>9149046970</v>
      </c>
      <c r="V37" s="17" t="s">
        <v>38</v>
      </c>
      <c r="W37" s="29" t="str">
        <f t="shared" si="0"/>
        <v>Roh003Be</v>
      </c>
    </row>
    <row r="38" spans="1:23" x14ac:dyDescent="0.5">
      <c r="A38" s="15" t="s">
        <v>290</v>
      </c>
      <c r="B38" s="15" t="s">
        <v>71</v>
      </c>
      <c r="C38" s="15" t="s">
        <v>54</v>
      </c>
      <c r="D38" s="15" t="s">
        <v>291</v>
      </c>
      <c r="E38" s="15" t="s">
        <v>292</v>
      </c>
      <c r="F38" s="15" t="s">
        <v>217</v>
      </c>
      <c r="G38" s="15" t="s">
        <v>76</v>
      </c>
      <c r="H38" s="15" t="s">
        <v>293</v>
      </c>
      <c r="I38" s="15" t="s">
        <v>294</v>
      </c>
      <c r="J38" s="15" t="s">
        <v>295</v>
      </c>
      <c r="K38" s="15" t="s">
        <v>46</v>
      </c>
      <c r="L38" s="15" t="s">
        <v>60</v>
      </c>
      <c r="M38" s="15">
        <v>10</v>
      </c>
      <c r="N38" s="25">
        <v>55000</v>
      </c>
      <c r="O38" s="15">
        <v>0</v>
      </c>
      <c r="P38" s="25">
        <v>550000</v>
      </c>
      <c r="Q38" s="15">
        <v>1</v>
      </c>
      <c r="R38" s="15" t="s">
        <v>88</v>
      </c>
      <c r="S38" s="15" t="s">
        <v>49</v>
      </c>
      <c r="T38" s="15" t="s">
        <v>80</v>
      </c>
      <c r="U38" s="15">
        <v>9869182901</v>
      </c>
      <c r="V38" s="15" t="s">
        <v>69</v>
      </c>
      <c r="W38" s="29" t="str">
        <f t="shared" si="0"/>
        <v>Moh009Ko</v>
      </c>
    </row>
    <row r="39" spans="1:23" x14ac:dyDescent="0.5">
      <c r="A39" s="17" t="s">
        <v>297</v>
      </c>
      <c r="B39" s="17" t="s">
        <v>251</v>
      </c>
      <c r="C39" s="17" t="s">
        <v>92</v>
      </c>
      <c r="D39" s="17" t="s">
        <v>298</v>
      </c>
      <c r="E39" s="17" t="s">
        <v>242</v>
      </c>
      <c r="F39" s="15" t="s">
        <v>254</v>
      </c>
      <c r="G39" s="17" t="s">
        <v>28</v>
      </c>
      <c r="H39" s="17" t="s">
        <v>299</v>
      </c>
      <c r="I39" s="17" t="s">
        <v>44</v>
      </c>
      <c r="J39" s="17" t="s">
        <v>45</v>
      </c>
      <c r="K39" s="17" t="s">
        <v>32</v>
      </c>
      <c r="L39" s="17" t="s">
        <v>97</v>
      </c>
      <c r="M39" s="17">
        <v>20</v>
      </c>
      <c r="N39" s="26">
        <v>3500</v>
      </c>
      <c r="O39" s="17">
        <v>10</v>
      </c>
      <c r="P39" s="26">
        <v>63000</v>
      </c>
      <c r="Q39" s="17">
        <v>3</v>
      </c>
      <c r="R39" s="17" t="s">
        <v>79</v>
      </c>
      <c r="S39" s="17" t="s">
        <v>49</v>
      </c>
      <c r="T39" s="15" t="s">
        <v>256</v>
      </c>
      <c r="U39" s="17">
        <v>9283578533</v>
      </c>
      <c r="V39" s="17" t="s">
        <v>69</v>
      </c>
      <c r="W39" s="29" t="str">
        <f t="shared" si="0"/>
        <v>Sne006De</v>
      </c>
    </row>
    <row r="40" spans="1:23" x14ac:dyDescent="0.5">
      <c r="A40" s="15" t="s">
        <v>301</v>
      </c>
      <c r="B40" s="15" t="s">
        <v>23</v>
      </c>
      <c r="C40" s="15" t="s">
        <v>222</v>
      </c>
      <c r="D40" s="15" t="s">
        <v>302</v>
      </c>
      <c r="E40" s="15" t="s">
        <v>303</v>
      </c>
      <c r="F40" s="15" t="s">
        <v>27</v>
      </c>
      <c r="G40" s="15" t="s">
        <v>28</v>
      </c>
      <c r="H40" s="15" t="s">
        <v>304</v>
      </c>
      <c r="I40" s="15" t="s">
        <v>114</v>
      </c>
      <c r="J40" s="15" t="s">
        <v>106</v>
      </c>
      <c r="K40" s="15" t="s">
        <v>122</v>
      </c>
      <c r="L40" s="15" t="s">
        <v>227</v>
      </c>
      <c r="M40" s="15">
        <v>5</v>
      </c>
      <c r="N40" s="25" t="s">
        <v>305</v>
      </c>
      <c r="O40" s="15">
        <v>0</v>
      </c>
      <c r="P40" s="25">
        <v>100</v>
      </c>
      <c r="Q40" s="15">
        <v>1</v>
      </c>
      <c r="R40" s="15" t="s">
        <v>34</v>
      </c>
      <c r="S40" s="15" t="s">
        <v>49</v>
      </c>
      <c r="T40" s="15" t="s">
        <v>50</v>
      </c>
      <c r="U40" s="15">
        <v>9963005771</v>
      </c>
      <c r="V40" s="15" t="s">
        <v>69</v>
      </c>
      <c r="W40" s="29" t="str">
        <f t="shared" si="0"/>
        <v>Kav008Pu</v>
      </c>
    </row>
    <row r="41" spans="1:23" x14ac:dyDescent="0.5">
      <c r="A41" s="17" t="s">
        <v>307</v>
      </c>
      <c r="B41" s="17" t="s">
        <v>53</v>
      </c>
      <c r="C41" s="17" t="s">
        <v>169</v>
      </c>
      <c r="D41" s="17" t="s">
        <v>308</v>
      </c>
      <c r="E41" s="17" t="s">
        <v>309</v>
      </c>
      <c r="F41" s="15" t="s">
        <v>163</v>
      </c>
      <c r="G41" s="17" t="s">
        <v>28</v>
      </c>
      <c r="H41" s="17" t="s">
        <v>310</v>
      </c>
      <c r="I41" s="17" t="s">
        <v>105</v>
      </c>
      <c r="J41" s="17" t="s">
        <v>106</v>
      </c>
      <c r="K41" s="17" t="s">
        <v>32</v>
      </c>
      <c r="L41" s="17" t="s">
        <v>174</v>
      </c>
      <c r="M41" s="17">
        <v>20</v>
      </c>
      <c r="N41" s="26">
        <v>8500</v>
      </c>
      <c r="O41" s="17">
        <v>0</v>
      </c>
      <c r="P41" s="26">
        <v>170000</v>
      </c>
      <c r="Q41" s="17">
        <v>1</v>
      </c>
      <c r="R41" s="17" t="s">
        <v>88</v>
      </c>
      <c r="S41" s="17" t="s">
        <v>115</v>
      </c>
      <c r="T41" s="15" t="s">
        <v>62</v>
      </c>
      <c r="U41" s="17">
        <v>9484632635</v>
      </c>
      <c r="V41" s="17" t="s">
        <v>69</v>
      </c>
      <c r="W41" s="29" t="str">
        <f t="shared" si="0"/>
        <v>Poo010Mu</v>
      </c>
    </row>
    <row r="42" spans="1:23" x14ac:dyDescent="0.5">
      <c r="A42" s="15" t="s">
        <v>312</v>
      </c>
      <c r="B42" s="15" t="s">
        <v>83</v>
      </c>
      <c r="C42" s="15" t="s">
        <v>118</v>
      </c>
      <c r="D42" s="15" t="s">
        <v>313</v>
      </c>
      <c r="E42" s="15" t="s">
        <v>314</v>
      </c>
      <c r="F42" s="15" t="s">
        <v>180</v>
      </c>
      <c r="G42" s="15" t="s">
        <v>76</v>
      </c>
      <c r="H42" s="15" t="s">
        <v>315</v>
      </c>
      <c r="I42" s="15" t="s">
        <v>59</v>
      </c>
      <c r="J42" s="15" t="s">
        <v>31</v>
      </c>
      <c r="K42" s="15" t="s">
        <v>122</v>
      </c>
      <c r="L42" s="15" t="s">
        <v>123</v>
      </c>
      <c r="M42" s="15">
        <v>8</v>
      </c>
      <c r="N42" s="25">
        <v>60</v>
      </c>
      <c r="O42" s="15">
        <v>15</v>
      </c>
      <c r="P42" s="25">
        <v>408</v>
      </c>
      <c r="Q42" s="15">
        <v>5</v>
      </c>
      <c r="R42" s="15" t="s">
        <v>88</v>
      </c>
      <c r="S42" s="15" t="s">
        <v>49</v>
      </c>
      <c r="T42" s="15" t="s">
        <v>89</v>
      </c>
      <c r="U42" s="15">
        <v>9276319484</v>
      </c>
      <c r="V42" s="15" t="s">
        <v>64</v>
      </c>
      <c r="W42" s="29" t="str">
        <f t="shared" si="0"/>
        <v>Arj007Be</v>
      </c>
    </row>
    <row r="43" spans="1:23" x14ac:dyDescent="0.5">
      <c r="A43" s="17" t="s">
        <v>317</v>
      </c>
      <c r="B43" s="17" t="s">
        <v>53</v>
      </c>
      <c r="C43" s="17" t="s">
        <v>92</v>
      </c>
      <c r="D43" s="17" t="s">
        <v>318</v>
      </c>
      <c r="E43" s="17" t="s">
        <v>260</v>
      </c>
      <c r="F43" s="15" t="s">
        <v>163</v>
      </c>
      <c r="G43" s="17" t="s">
        <v>28</v>
      </c>
      <c r="H43" s="17" t="s">
        <v>319</v>
      </c>
      <c r="I43" s="17" t="s">
        <v>114</v>
      </c>
      <c r="J43" s="17" t="s">
        <v>106</v>
      </c>
      <c r="K43" s="17" t="s">
        <v>32</v>
      </c>
      <c r="L43" s="17" t="s">
        <v>97</v>
      </c>
      <c r="M43" s="17">
        <v>8</v>
      </c>
      <c r="N43" s="26">
        <v>3500</v>
      </c>
      <c r="O43" s="17">
        <v>5</v>
      </c>
      <c r="P43" s="26">
        <v>26600</v>
      </c>
      <c r="Q43" s="17">
        <v>1</v>
      </c>
      <c r="R43" s="17" t="s">
        <v>79</v>
      </c>
      <c r="S43" s="17" t="s">
        <v>115</v>
      </c>
      <c r="T43" s="15" t="s">
        <v>62</v>
      </c>
      <c r="U43" s="17">
        <v>9619034852</v>
      </c>
      <c r="V43" s="17" t="s">
        <v>64</v>
      </c>
      <c r="W43" s="29" t="str">
        <f t="shared" si="0"/>
        <v>Poo010Pu</v>
      </c>
    </row>
    <row r="44" spans="1:23" x14ac:dyDescent="0.5">
      <c r="A44" s="15" t="s">
        <v>321</v>
      </c>
      <c r="B44" s="15" t="s">
        <v>71</v>
      </c>
      <c r="C44" s="15" t="s">
        <v>169</v>
      </c>
      <c r="D44" s="15" t="s">
        <v>322</v>
      </c>
      <c r="E44" s="15" t="s">
        <v>323</v>
      </c>
      <c r="F44" s="15" t="s">
        <v>217</v>
      </c>
      <c r="G44" s="15" t="s">
        <v>76</v>
      </c>
      <c r="H44" s="15" t="s">
        <v>324</v>
      </c>
      <c r="I44" s="15" t="s">
        <v>212</v>
      </c>
      <c r="J44" s="15" t="s">
        <v>45</v>
      </c>
      <c r="K44" s="15" t="s">
        <v>32</v>
      </c>
      <c r="L44" s="15" t="s">
        <v>174</v>
      </c>
      <c r="M44" s="15">
        <v>1</v>
      </c>
      <c r="N44" s="25">
        <v>8500</v>
      </c>
      <c r="O44" s="15">
        <v>0</v>
      </c>
      <c r="P44" s="25">
        <v>8500</v>
      </c>
      <c r="Q44" s="15">
        <v>2</v>
      </c>
      <c r="R44" s="15" t="s">
        <v>79</v>
      </c>
      <c r="S44" s="15" t="s">
        <v>115</v>
      </c>
      <c r="T44" s="15" t="s">
        <v>80</v>
      </c>
      <c r="U44" s="15">
        <v>9636416962</v>
      </c>
      <c r="V44" s="15" t="s">
        <v>64</v>
      </c>
      <c r="W44" s="29" t="str">
        <f t="shared" si="0"/>
        <v>Moh009Ja</v>
      </c>
    </row>
    <row r="45" spans="1:23" x14ac:dyDescent="0.5">
      <c r="A45" s="17" t="s">
        <v>326</v>
      </c>
      <c r="B45" s="17" t="s">
        <v>327</v>
      </c>
      <c r="C45" s="17" t="s">
        <v>259</v>
      </c>
      <c r="D45" s="17" t="s">
        <v>328</v>
      </c>
      <c r="E45" s="17" t="s">
        <v>329</v>
      </c>
      <c r="F45" s="15" t="s">
        <v>394</v>
      </c>
      <c r="G45" s="17" t="s">
        <v>76</v>
      </c>
      <c r="H45" s="17" t="s">
        <v>331</v>
      </c>
      <c r="I45" s="17" t="s">
        <v>114</v>
      </c>
      <c r="J45" s="17" t="s">
        <v>106</v>
      </c>
      <c r="K45" s="17" t="s">
        <v>122</v>
      </c>
      <c r="L45" s="17" t="s">
        <v>263</v>
      </c>
      <c r="M45" s="17">
        <v>8</v>
      </c>
      <c r="N45" s="26">
        <v>45</v>
      </c>
      <c r="O45" s="17">
        <v>15</v>
      </c>
      <c r="P45" s="26">
        <v>306</v>
      </c>
      <c r="Q45" s="17">
        <v>2</v>
      </c>
      <c r="R45" s="17" t="s">
        <v>79</v>
      </c>
      <c r="S45" s="17" t="s">
        <v>61</v>
      </c>
      <c r="T45" s="15" t="s">
        <v>332</v>
      </c>
      <c r="U45" s="17">
        <v>9357133880</v>
      </c>
      <c r="V45" s="17" t="s">
        <v>38</v>
      </c>
      <c r="W45" s="29" t="str">
        <f t="shared" si="0"/>
        <v>Ami001Pu</v>
      </c>
    </row>
    <row r="46" spans="1:23" x14ac:dyDescent="0.5">
      <c r="A46" s="15" t="s">
        <v>334</v>
      </c>
      <c r="B46" s="15" t="s">
        <v>251</v>
      </c>
      <c r="C46" s="15" t="s">
        <v>24</v>
      </c>
      <c r="D46" s="15" t="s">
        <v>335</v>
      </c>
      <c r="E46" s="15" t="s">
        <v>336</v>
      </c>
      <c r="F46" s="15" t="s">
        <v>254</v>
      </c>
      <c r="G46" s="15" t="s">
        <v>28</v>
      </c>
      <c r="H46" s="15" t="s">
        <v>337</v>
      </c>
      <c r="I46" s="15" t="s">
        <v>114</v>
      </c>
      <c r="J46" s="15" t="s">
        <v>106</v>
      </c>
      <c r="K46" s="15" t="s">
        <v>32</v>
      </c>
      <c r="L46" s="15" t="s">
        <v>33</v>
      </c>
      <c r="M46" s="15">
        <v>16</v>
      </c>
      <c r="N46" s="25">
        <v>2200</v>
      </c>
      <c r="O46" s="15">
        <v>5</v>
      </c>
      <c r="P46" s="25">
        <v>33440</v>
      </c>
      <c r="Q46" s="15">
        <v>5</v>
      </c>
      <c r="R46" s="15" t="s">
        <v>79</v>
      </c>
      <c r="S46" s="15" t="s">
        <v>61</v>
      </c>
      <c r="T46" s="15" t="s">
        <v>256</v>
      </c>
      <c r="U46" s="15">
        <v>9575210324</v>
      </c>
      <c r="V46" s="15" t="s">
        <v>69</v>
      </c>
      <c r="W46" s="29" t="str">
        <f t="shared" si="0"/>
        <v>Sne006Pu</v>
      </c>
    </row>
    <row r="47" spans="1:23" x14ac:dyDescent="0.5">
      <c r="A47" s="17" t="s">
        <v>339</v>
      </c>
      <c r="B47" s="17" t="s">
        <v>71</v>
      </c>
      <c r="C47" s="17" t="s">
        <v>92</v>
      </c>
      <c r="D47" s="17" t="s">
        <v>340</v>
      </c>
      <c r="E47" s="17" t="s">
        <v>341</v>
      </c>
      <c r="F47" s="15" t="s">
        <v>217</v>
      </c>
      <c r="G47" s="17" t="s">
        <v>76</v>
      </c>
      <c r="H47" s="17" t="s">
        <v>342</v>
      </c>
      <c r="I47" s="17" t="s">
        <v>59</v>
      </c>
      <c r="J47" s="17" t="s">
        <v>31</v>
      </c>
      <c r="K47" s="17" t="s">
        <v>32</v>
      </c>
      <c r="L47" s="17" t="s">
        <v>97</v>
      </c>
      <c r="M47" s="17">
        <v>19</v>
      </c>
      <c r="N47" s="26">
        <v>3500</v>
      </c>
      <c r="O47" s="17">
        <v>20</v>
      </c>
      <c r="P47" s="26">
        <v>53200</v>
      </c>
      <c r="Q47" s="17">
        <v>3</v>
      </c>
      <c r="R47" s="17" t="s">
        <v>34</v>
      </c>
      <c r="S47" s="17" t="s">
        <v>151</v>
      </c>
      <c r="T47" s="15" t="s">
        <v>80</v>
      </c>
      <c r="U47" s="17">
        <v>9276080204</v>
      </c>
      <c r="V47" s="17" t="s">
        <v>69</v>
      </c>
      <c r="W47" s="29" t="str">
        <f t="shared" si="0"/>
        <v>Moh009Be</v>
      </c>
    </row>
    <row r="48" spans="1:23" x14ac:dyDescent="0.5">
      <c r="A48" s="15" t="s">
        <v>344</v>
      </c>
      <c r="B48" s="15" t="s">
        <v>251</v>
      </c>
      <c r="C48" s="15" t="s">
        <v>184</v>
      </c>
      <c r="D48" s="15" t="s">
        <v>345</v>
      </c>
      <c r="E48" s="15" t="s">
        <v>346</v>
      </c>
      <c r="F48" s="15" t="s">
        <v>254</v>
      </c>
      <c r="G48" s="15" t="s">
        <v>28</v>
      </c>
      <c r="H48" s="15" t="s">
        <v>347</v>
      </c>
      <c r="I48" s="15" t="s">
        <v>114</v>
      </c>
      <c r="J48" s="15" t="s">
        <v>106</v>
      </c>
      <c r="K48" s="15" t="s">
        <v>46</v>
      </c>
      <c r="L48" s="15" t="s">
        <v>189</v>
      </c>
      <c r="M48" s="15">
        <v>15</v>
      </c>
      <c r="N48" s="25">
        <v>700</v>
      </c>
      <c r="O48" s="15">
        <v>15</v>
      </c>
      <c r="P48" s="25">
        <v>8925</v>
      </c>
      <c r="Q48" s="15">
        <v>4</v>
      </c>
      <c r="R48" s="15" t="s">
        <v>88</v>
      </c>
      <c r="S48" s="15" t="s">
        <v>115</v>
      </c>
      <c r="T48" s="15" t="s">
        <v>2112</v>
      </c>
      <c r="U48" s="15">
        <v>9856624471</v>
      </c>
      <c r="V48" s="15" t="s">
        <v>38</v>
      </c>
      <c r="W48" s="29" t="str">
        <f t="shared" si="0"/>
        <v>Sne006Pu</v>
      </c>
    </row>
    <row r="49" spans="1:23" x14ac:dyDescent="0.5">
      <c r="A49" s="17" t="s">
        <v>350</v>
      </c>
      <c r="B49" s="17" t="s">
        <v>251</v>
      </c>
      <c r="C49" s="17" t="s">
        <v>184</v>
      </c>
      <c r="D49" s="17" t="s">
        <v>351</v>
      </c>
      <c r="E49" s="17" t="s">
        <v>352</v>
      </c>
      <c r="F49" s="15" t="s">
        <v>254</v>
      </c>
      <c r="G49" s="17" t="s">
        <v>28</v>
      </c>
      <c r="H49" s="17" t="s">
        <v>353</v>
      </c>
      <c r="I49" s="17" t="s">
        <v>212</v>
      </c>
      <c r="J49" s="17" t="s">
        <v>45</v>
      </c>
      <c r="K49" s="17" t="s">
        <v>46</v>
      </c>
      <c r="L49" s="17" t="s">
        <v>189</v>
      </c>
      <c r="M49" s="17">
        <v>19</v>
      </c>
      <c r="N49" s="26">
        <v>700</v>
      </c>
      <c r="O49" s="17">
        <v>20</v>
      </c>
      <c r="P49" s="26">
        <v>10640</v>
      </c>
      <c r="Q49" s="17">
        <v>1</v>
      </c>
      <c r="R49" s="17" t="s">
        <v>34</v>
      </c>
      <c r="S49" s="17" t="s">
        <v>115</v>
      </c>
      <c r="T49" s="15" t="s">
        <v>256</v>
      </c>
      <c r="U49" s="17">
        <v>9238141322</v>
      </c>
      <c r="V49" s="17" t="s">
        <v>38</v>
      </c>
      <c r="W49" s="29" t="str">
        <f t="shared" si="0"/>
        <v>Sne006Ja</v>
      </c>
    </row>
    <row r="50" spans="1:23" x14ac:dyDescent="0.5">
      <c r="A50" s="15" t="s">
        <v>355</v>
      </c>
      <c r="B50" s="15" t="s">
        <v>71</v>
      </c>
      <c r="C50" s="15" t="s">
        <v>40</v>
      </c>
      <c r="D50" s="15" t="s">
        <v>356</v>
      </c>
      <c r="E50" s="19" t="s">
        <v>2109</v>
      </c>
      <c r="F50" s="15" t="s">
        <v>217</v>
      </c>
      <c r="G50" s="15" t="s">
        <v>76</v>
      </c>
      <c r="H50" s="15" t="s">
        <v>357</v>
      </c>
      <c r="I50" s="15" t="s">
        <v>44</v>
      </c>
      <c r="J50" s="15" t="s">
        <v>45</v>
      </c>
      <c r="K50" s="15" t="s">
        <v>46</v>
      </c>
      <c r="L50" s="15" t="s">
        <v>47</v>
      </c>
      <c r="M50" s="15">
        <v>19</v>
      </c>
      <c r="N50" s="25">
        <v>12000</v>
      </c>
      <c r="O50" s="15">
        <v>0</v>
      </c>
      <c r="P50" s="25">
        <v>228000</v>
      </c>
      <c r="Q50" s="15">
        <v>1</v>
      </c>
      <c r="R50" s="15" t="s">
        <v>48</v>
      </c>
      <c r="S50" s="15" t="s">
        <v>61</v>
      </c>
      <c r="T50" s="15" t="s">
        <v>80</v>
      </c>
      <c r="U50" s="15">
        <v>9890380030</v>
      </c>
      <c r="V50" s="15" t="s">
        <v>38</v>
      </c>
      <c r="W50" s="29" t="str">
        <f t="shared" si="0"/>
        <v>Moh009De</v>
      </c>
    </row>
    <row r="51" spans="1:23" x14ac:dyDescent="0.5">
      <c r="A51" s="17" t="s">
        <v>359</v>
      </c>
      <c r="B51" s="17" t="s">
        <v>168</v>
      </c>
      <c r="C51" s="17" t="s">
        <v>72</v>
      </c>
      <c r="D51" s="17" t="s">
        <v>356</v>
      </c>
      <c r="E51" s="17" t="s">
        <v>360</v>
      </c>
      <c r="F51" s="15" t="s">
        <v>361</v>
      </c>
      <c r="G51" s="17" t="s">
        <v>28</v>
      </c>
      <c r="H51" s="17" t="s">
        <v>362</v>
      </c>
      <c r="I51" s="17" t="s">
        <v>114</v>
      </c>
      <c r="J51" s="17" t="s">
        <v>106</v>
      </c>
      <c r="K51" s="17" t="s">
        <v>46</v>
      </c>
      <c r="L51" s="17" t="s">
        <v>78</v>
      </c>
      <c r="M51" s="17">
        <v>6</v>
      </c>
      <c r="N51" s="26">
        <v>1200</v>
      </c>
      <c r="O51" s="17">
        <v>5</v>
      </c>
      <c r="P51" s="26">
        <v>6840</v>
      </c>
      <c r="Q51" s="17">
        <v>2</v>
      </c>
      <c r="R51" s="17" t="s">
        <v>34</v>
      </c>
      <c r="S51" s="17" t="s">
        <v>35</v>
      </c>
      <c r="T51" s="15" t="s">
        <v>175</v>
      </c>
      <c r="U51" s="17">
        <v>9495893170</v>
      </c>
      <c r="V51" s="17" t="s">
        <v>64</v>
      </c>
      <c r="W51" s="29" t="str">
        <f t="shared" si="0"/>
        <v>Ani004Pu</v>
      </c>
    </row>
    <row r="52" spans="1:23" x14ac:dyDescent="0.5">
      <c r="A52" s="15" t="s">
        <v>364</v>
      </c>
      <c r="B52" s="15" t="s">
        <v>53</v>
      </c>
      <c r="C52" s="15" t="s">
        <v>24</v>
      </c>
      <c r="D52" s="15" t="s">
        <v>365</v>
      </c>
      <c r="E52" s="15" t="s">
        <v>366</v>
      </c>
      <c r="F52" s="15" t="s">
        <v>163</v>
      </c>
      <c r="G52" s="15" t="s">
        <v>28</v>
      </c>
      <c r="H52" s="15" t="s">
        <v>368</v>
      </c>
      <c r="I52" s="15" t="s">
        <v>59</v>
      </c>
      <c r="J52" s="15" t="s">
        <v>31</v>
      </c>
      <c r="K52" s="15" t="s">
        <v>32</v>
      </c>
      <c r="L52" s="15" t="s">
        <v>33</v>
      </c>
      <c r="M52" s="15">
        <v>7</v>
      </c>
      <c r="N52" s="25">
        <v>2200</v>
      </c>
      <c r="O52" s="15">
        <v>15</v>
      </c>
      <c r="P52" s="25">
        <v>13090</v>
      </c>
      <c r="Q52" s="15">
        <v>1</v>
      </c>
      <c r="R52" s="15" t="s">
        <v>88</v>
      </c>
      <c r="S52" s="15" t="s">
        <v>61</v>
      </c>
      <c r="T52" s="15" t="s">
        <v>62</v>
      </c>
      <c r="U52" s="15">
        <v>9485166307</v>
      </c>
      <c r="V52" s="15" t="s">
        <v>38</v>
      </c>
      <c r="W52" s="29" t="str">
        <f t="shared" si="0"/>
        <v>Poo010Be</v>
      </c>
    </row>
    <row r="53" spans="1:23" x14ac:dyDescent="0.5">
      <c r="A53" s="17" t="s">
        <v>370</v>
      </c>
      <c r="B53" s="17" t="s">
        <v>100</v>
      </c>
      <c r="C53" s="17" t="s">
        <v>118</v>
      </c>
      <c r="D53" s="17" t="s">
        <v>371</v>
      </c>
      <c r="E53" s="17" t="s">
        <v>372</v>
      </c>
      <c r="F53" s="15" t="s">
        <v>103</v>
      </c>
      <c r="G53" s="17" t="s">
        <v>28</v>
      </c>
      <c r="H53" s="17" t="s">
        <v>373</v>
      </c>
      <c r="I53" s="17" t="s">
        <v>212</v>
      </c>
      <c r="J53" s="17" t="s">
        <v>45</v>
      </c>
      <c r="K53" s="17" t="s">
        <v>122</v>
      </c>
      <c r="L53" s="17" t="s">
        <v>123</v>
      </c>
      <c r="M53" s="17">
        <v>8</v>
      </c>
      <c r="N53" s="26">
        <v>60</v>
      </c>
      <c r="O53" s="17">
        <v>10</v>
      </c>
      <c r="P53" s="26">
        <v>432</v>
      </c>
      <c r="Q53" s="17">
        <v>5</v>
      </c>
      <c r="R53" s="17" t="s">
        <v>79</v>
      </c>
      <c r="S53" s="17" t="s">
        <v>61</v>
      </c>
      <c r="T53" s="15" t="s">
        <v>144</v>
      </c>
      <c r="U53" s="17">
        <v>9924709648</v>
      </c>
      <c r="V53" s="17" t="s">
        <v>69</v>
      </c>
      <c r="W53" s="29" t="str">
        <f t="shared" si="0"/>
        <v>Pri002Ja</v>
      </c>
    </row>
    <row r="54" spans="1:23" x14ac:dyDescent="0.5">
      <c r="A54" s="15" t="s">
        <v>375</v>
      </c>
      <c r="B54" s="15" t="s">
        <v>221</v>
      </c>
      <c r="C54" s="15" t="s">
        <v>54</v>
      </c>
      <c r="D54" s="15" t="s">
        <v>376</v>
      </c>
      <c r="E54" s="15" t="s">
        <v>377</v>
      </c>
      <c r="F54" s="15" t="s">
        <v>225</v>
      </c>
      <c r="G54" s="15" t="s">
        <v>76</v>
      </c>
      <c r="H54" s="15" t="s">
        <v>378</v>
      </c>
      <c r="I54" s="15" t="s">
        <v>294</v>
      </c>
      <c r="J54" s="15" t="s">
        <v>295</v>
      </c>
      <c r="K54" s="15" t="s">
        <v>46</v>
      </c>
      <c r="L54" s="15" t="s">
        <v>60</v>
      </c>
      <c r="M54" s="15">
        <v>12</v>
      </c>
      <c r="N54" s="25">
        <v>55000</v>
      </c>
      <c r="O54" s="15">
        <v>5</v>
      </c>
      <c r="P54" s="25">
        <v>627000</v>
      </c>
      <c r="Q54" s="15">
        <v>2</v>
      </c>
      <c r="R54" s="15" t="s">
        <v>88</v>
      </c>
      <c r="S54" s="15" t="s">
        <v>49</v>
      </c>
      <c r="T54" s="15" t="s">
        <v>228</v>
      </c>
      <c r="U54" s="15">
        <v>9350554626</v>
      </c>
      <c r="V54" s="15" t="s">
        <v>64</v>
      </c>
      <c r="W54" s="29" t="str">
        <f t="shared" si="0"/>
        <v>Vik005Ko</v>
      </c>
    </row>
    <row r="55" spans="1:23" x14ac:dyDescent="0.5">
      <c r="A55" s="17" t="s">
        <v>380</v>
      </c>
      <c r="B55" s="17" t="s">
        <v>23</v>
      </c>
      <c r="C55" s="17" t="s">
        <v>184</v>
      </c>
      <c r="D55" s="17" t="s">
        <v>381</v>
      </c>
      <c r="E55" s="17" t="s">
        <v>382</v>
      </c>
      <c r="F55" s="15" t="s">
        <v>27</v>
      </c>
      <c r="G55" s="17" t="s">
        <v>28</v>
      </c>
      <c r="H55" s="17" t="s">
        <v>383</v>
      </c>
      <c r="I55" s="17" t="s">
        <v>212</v>
      </c>
      <c r="J55" s="17" t="s">
        <v>45</v>
      </c>
      <c r="K55" s="17" t="s">
        <v>46</v>
      </c>
      <c r="L55" s="17" t="s">
        <v>189</v>
      </c>
      <c r="M55" s="17">
        <v>3</v>
      </c>
      <c r="N55" s="26">
        <v>700</v>
      </c>
      <c r="O55" s="17">
        <v>0</v>
      </c>
      <c r="P55" s="26">
        <v>2100</v>
      </c>
      <c r="Q55" s="17">
        <v>3</v>
      </c>
      <c r="R55" s="17" t="s">
        <v>79</v>
      </c>
      <c r="S55" s="17" t="s">
        <v>151</v>
      </c>
      <c r="T55" s="15" t="s">
        <v>50</v>
      </c>
      <c r="U55" s="17">
        <v>9743295580</v>
      </c>
      <c r="V55" s="17" t="s">
        <v>69</v>
      </c>
      <c r="W55" s="29" t="str">
        <f t="shared" si="0"/>
        <v>Kav008Ja</v>
      </c>
    </row>
    <row r="56" spans="1:23" x14ac:dyDescent="0.5">
      <c r="A56" s="15" t="s">
        <v>385</v>
      </c>
      <c r="B56" s="15" t="s">
        <v>127</v>
      </c>
      <c r="C56" s="15" t="s">
        <v>118</v>
      </c>
      <c r="D56" s="15" t="s">
        <v>386</v>
      </c>
      <c r="E56" s="15" t="s">
        <v>387</v>
      </c>
      <c r="F56" s="15" t="s">
        <v>200</v>
      </c>
      <c r="G56" s="15" t="s">
        <v>76</v>
      </c>
      <c r="H56" s="15" t="s">
        <v>389</v>
      </c>
      <c r="I56" s="15" t="s">
        <v>138</v>
      </c>
      <c r="J56" s="15" t="s">
        <v>106</v>
      </c>
      <c r="K56" s="15" t="s">
        <v>122</v>
      </c>
      <c r="L56" s="15" t="s">
        <v>123</v>
      </c>
      <c r="M56" s="15">
        <v>19</v>
      </c>
      <c r="N56" s="25">
        <v>60</v>
      </c>
      <c r="O56" s="15">
        <v>15</v>
      </c>
      <c r="P56" s="25">
        <v>969</v>
      </c>
      <c r="Q56" s="15">
        <v>4</v>
      </c>
      <c r="R56" s="15" t="s">
        <v>79</v>
      </c>
      <c r="S56" s="15" t="s">
        <v>49</v>
      </c>
      <c r="T56" s="15" t="s">
        <v>132</v>
      </c>
      <c r="U56" s="15">
        <v>9822926495</v>
      </c>
      <c r="V56" s="15" t="s">
        <v>69</v>
      </c>
      <c r="W56" s="29" t="str">
        <f t="shared" si="0"/>
        <v>Roh003Ah</v>
      </c>
    </row>
    <row r="57" spans="1:23" x14ac:dyDescent="0.5">
      <c r="A57" s="17" t="s">
        <v>391</v>
      </c>
      <c r="B57" s="17" t="s">
        <v>327</v>
      </c>
      <c r="C57" s="17" t="s">
        <v>118</v>
      </c>
      <c r="D57" s="17" t="s">
        <v>392</v>
      </c>
      <c r="E57" s="17" t="s">
        <v>393</v>
      </c>
      <c r="F57" s="15" t="s">
        <v>394</v>
      </c>
      <c r="G57" s="17" t="s">
        <v>76</v>
      </c>
      <c r="H57" s="17" t="s">
        <v>395</v>
      </c>
      <c r="I57" s="17" t="s">
        <v>212</v>
      </c>
      <c r="J57" s="17" t="s">
        <v>45</v>
      </c>
      <c r="K57" s="17" t="s">
        <v>122</v>
      </c>
      <c r="L57" s="17" t="s">
        <v>123</v>
      </c>
      <c r="M57" s="17">
        <v>9</v>
      </c>
      <c r="N57" s="26">
        <v>60</v>
      </c>
      <c r="O57" s="17">
        <v>20</v>
      </c>
      <c r="P57" s="26">
        <v>432</v>
      </c>
      <c r="Q57" s="17">
        <v>1</v>
      </c>
      <c r="R57" s="17" t="s">
        <v>48</v>
      </c>
      <c r="S57" s="17" t="s">
        <v>115</v>
      </c>
      <c r="T57" s="15" t="s">
        <v>332</v>
      </c>
      <c r="U57" s="17">
        <v>9518298190</v>
      </c>
      <c r="V57" s="17" t="s">
        <v>64</v>
      </c>
      <c r="W57" s="29" t="str">
        <f t="shared" si="0"/>
        <v>Ami001Ja</v>
      </c>
    </row>
    <row r="58" spans="1:23" x14ac:dyDescent="0.5">
      <c r="A58" s="15" t="s">
        <v>397</v>
      </c>
      <c r="B58" s="15" t="s">
        <v>327</v>
      </c>
      <c r="C58" s="15" t="s">
        <v>184</v>
      </c>
      <c r="D58" s="15" t="s">
        <v>398</v>
      </c>
      <c r="E58" s="15" t="s">
        <v>399</v>
      </c>
      <c r="F58" s="15" t="s">
        <v>394</v>
      </c>
      <c r="G58" s="15" t="s">
        <v>76</v>
      </c>
      <c r="H58" s="15" t="s">
        <v>400</v>
      </c>
      <c r="I58" s="15" t="s">
        <v>59</v>
      </c>
      <c r="J58" s="15" t="s">
        <v>31</v>
      </c>
      <c r="K58" s="15" t="s">
        <v>46</v>
      </c>
      <c r="L58" s="15" t="s">
        <v>189</v>
      </c>
      <c r="M58" s="15">
        <v>6</v>
      </c>
      <c r="N58" s="25">
        <v>700</v>
      </c>
      <c r="O58" s="15">
        <v>0</v>
      </c>
      <c r="P58" s="25">
        <v>4200</v>
      </c>
      <c r="Q58" s="15">
        <v>4</v>
      </c>
      <c r="R58" s="15" t="s">
        <v>88</v>
      </c>
      <c r="S58" s="15" t="s">
        <v>49</v>
      </c>
      <c r="T58" s="15" t="s">
        <v>2112</v>
      </c>
      <c r="U58" s="15">
        <v>9366223547</v>
      </c>
      <c r="V58" s="15" t="s">
        <v>69</v>
      </c>
      <c r="W58" s="29" t="str">
        <f t="shared" si="0"/>
        <v>Ami001Be</v>
      </c>
    </row>
    <row r="59" spans="1:23" x14ac:dyDescent="0.5">
      <c r="A59" s="17" t="s">
        <v>403</v>
      </c>
      <c r="B59" s="17" t="s">
        <v>127</v>
      </c>
      <c r="C59" s="17" t="s">
        <v>259</v>
      </c>
      <c r="D59" s="17" t="s">
        <v>241</v>
      </c>
      <c r="E59" s="17" t="s">
        <v>404</v>
      </c>
      <c r="F59" s="15" t="s">
        <v>200</v>
      </c>
      <c r="G59" s="17" t="s">
        <v>76</v>
      </c>
      <c r="H59" s="17" t="s">
        <v>405</v>
      </c>
      <c r="I59" s="17" t="s">
        <v>44</v>
      </c>
      <c r="J59" s="17" t="s">
        <v>45</v>
      </c>
      <c r="K59" s="17" t="s">
        <v>122</v>
      </c>
      <c r="L59" s="17" t="s">
        <v>263</v>
      </c>
      <c r="M59" s="17">
        <v>18</v>
      </c>
      <c r="N59" s="26">
        <v>45</v>
      </c>
      <c r="O59" s="17">
        <v>5</v>
      </c>
      <c r="P59" s="26">
        <v>769.5</v>
      </c>
      <c r="Q59" s="17">
        <v>1</v>
      </c>
      <c r="R59" s="17" t="s">
        <v>79</v>
      </c>
      <c r="S59" s="17" t="s">
        <v>61</v>
      </c>
      <c r="T59" s="15" t="s">
        <v>132</v>
      </c>
      <c r="U59" s="17">
        <v>9701988524</v>
      </c>
      <c r="V59" s="17" t="s">
        <v>64</v>
      </c>
      <c r="W59" s="29" t="str">
        <f t="shared" si="0"/>
        <v>Roh003De</v>
      </c>
    </row>
    <row r="60" spans="1:23" x14ac:dyDescent="0.5">
      <c r="A60" s="15" t="s">
        <v>407</v>
      </c>
      <c r="B60" s="15" t="s">
        <v>83</v>
      </c>
      <c r="C60" s="15" t="s">
        <v>222</v>
      </c>
      <c r="D60" s="15" t="s">
        <v>408</v>
      </c>
      <c r="E60" s="15" t="s">
        <v>261</v>
      </c>
      <c r="F60" s="15" t="s">
        <v>180</v>
      </c>
      <c r="G60" s="15" t="s">
        <v>76</v>
      </c>
      <c r="H60" s="15" t="s">
        <v>409</v>
      </c>
      <c r="I60" s="15" t="s">
        <v>212</v>
      </c>
      <c r="J60" s="15" t="s">
        <v>45</v>
      </c>
      <c r="K60" s="15" t="s">
        <v>122</v>
      </c>
      <c r="L60" s="15" t="s">
        <v>227</v>
      </c>
      <c r="M60" s="15">
        <v>8</v>
      </c>
      <c r="N60" s="25">
        <v>20</v>
      </c>
      <c r="O60" s="15">
        <v>5</v>
      </c>
      <c r="P60" s="25">
        <v>152</v>
      </c>
      <c r="Q60" s="15">
        <v>1</v>
      </c>
      <c r="R60" s="15" t="s">
        <v>79</v>
      </c>
      <c r="S60" s="15" t="s">
        <v>35</v>
      </c>
      <c r="T60" s="15" t="s">
        <v>89</v>
      </c>
      <c r="U60" s="15">
        <v>9836327649</v>
      </c>
      <c r="V60" s="15" t="s">
        <v>411</v>
      </c>
      <c r="W60" s="29" t="str">
        <f t="shared" si="0"/>
        <v>Arj007Ja</v>
      </c>
    </row>
    <row r="61" spans="1:23" x14ac:dyDescent="0.5">
      <c r="A61" s="17" t="s">
        <v>412</v>
      </c>
      <c r="B61" s="17" t="s">
        <v>221</v>
      </c>
      <c r="C61" s="17" t="s">
        <v>184</v>
      </c>
      <c r="D61" s="17" t="s">
        <v>413</v>
      </c>
      <c r="E61" s="17" t="s">
        <v>414</v>
      </c>
      <c r="F61" s="15" t="s">
        <v>225</v>
      </c>
      <c r="G61" s="17" t="s">
        <v>76</v>
      </c>
      <c r="H61" s="17" t="s">
        <v>415</v>
      </c>
      <c r="I61" s="17" t="s">
        <v>212</v>
      </c>
      <c r="J61" s="17" t="s">
        <v>45</v>
      </c>
      <c r="K61" s="17" t="s">
        <v>46</v>
      </c>
      <c r="L61" s="17" t="s">
        <v>189</v>
      </c>
      <c r="M61" s="17">
        <v>8</v>
      </c>
      <c r="N61" s="26">
        <v>700</v>
      </c>
      <c r="O61" s="17">
        <v>10</v>
      </c>
      <c r="P61" s="26">
        <v>5040</v>
      </c>
      <c r="Q61" s="17">
        <v>1</v>
      </c>
      <c r="R61" s="17" t="s">
        <v>48</v>
      </c>
      <c r="S61" s="17" t="s">
        <v>61</v>
      </c>
      <c r="T61" s="15" t="s">
        <v>228</v>
      </c>
      <c r="U61" s="17">
        <v>9261800516</v>
      </c>
      <c r="V61" s="17" t="s">
        <v>69</v>
      </c>
      <c r="W61" s="29" t="str">
        <f t="shared" si="0"/>
        <v>Vik005Ja</v>
      </c>
    </row>
    <row r="62" spans="1:23" x14ac:dyDescent="0.5">
      <c r="A62" s="15" t="s">
        <v>418</v>
      </c>
      <c r="B62" s="15" t="s">
        <v>23</v>
      </c>
      <c r="C62" s="15" t="s">
        <v>222</v>
      </c>
      <c r="D62" s="15" t="s">
        <v>223</v>
      </c>
      <c r="E62" s="15" t="s">
        <v>356</v>
      </c>
      <c r="F62" s="15" t="s">
        <v>27</v>
      </c>
      <c r="G62" s="15" t="s">
        <v>28</v>
      </c>
      <c r="H62" s="15" t="s">
        <v>419</v>
      </c>
      <c r="I62" s="15" t="s">
        <v>44</v>
      </c>
      <c r="J62" s="15" t="s">
        <v>45</v>
      </c>
      <c r="K62" s="15" t="s">
        <v>122</v>
      </c>
      <c r="L62" s="15" t="s">
        <v>227</v>
      </c>
      <c r="M62" s="15">
        <v>7</v>
      </c>
      <c r="N62" s="25">
        <v>20</v>
      </c>
      <c r="O62" s="15">
        <v>15</v>
      </c>
      <c r="P62" s="25">
        <v>119</v>
      </c>
      <c r="Q62" s="15">
        <v>5</v>
      </c>
      <c r="R62" s="15" t="s">
        <v>79</v>
      </c>
      <c r="S62" s="15" t="s">
        <v>49</v>
      </c>
      <c r="T62" s="15" t="s">
        <v>50</v>
      </c>
      <c r="U62" s="15">
        <v>9950802015</v>
      </c>
      <c r="V62" s="15" t="s">
        <v>38</v>
      </c>
      <c r="W62" s="29" t="str">
        <f t="shared" si="0"/>
        <v>Kav008De</v>
      </c>
    </row>
    <row r="63" spans="1:23" x14ac:dyDescent="0.5">
      <c r="A63" s="17" t="s">
        <v>421</v>
      </c>
      <c r="B63" s="17" t="s">
        <v>100</v>
      </c>
      <c r="C63" s="17" t="s">
        <v>222</v>
      </c>
      <c r="D63" s="17" t="s">
        <v>422</v>
      </c>
      <c r="E63" s="17" t="s">
        <v>371</v>
      </c>
      <c r="F63" s="15" t="s">
        <v>103</v>
      </c>
      <c r="G63" s="17" t="s">
        <v>28</v>
      </c>
      <c r="H63" s="17" t="s">
        <v>423</v>
      </c>
      <c r="I63" s="17" t="s">
        <v>114</v>
      </c>
      <c r="J63" s="17" t="s">
        <v>106</v>
      </c>
      <c r="K63" s="17" t="s">
        <v>122</v>
      </c>
      <c r="L63" s="17" t="s">
        <v>227</v>
      </c>
      <c r="M63" s="17">
        <v>16</v>
      </c>
      <c r="N63" s="26">
        <v>20</v>
      </c>
      <c r="O63" s="17">
        <v>0</v>
      </c>
      <c r="P63" s="26">
        <v>320</v>
      </c>
      <c r="Q63" s="17">
        <v>5</v>
      </c>
      <c r="R63" s="17" t="s">
        <v>48</v>
      </c>
      <c r="S63" s="17" t="s">
        <v>61</v>
      </c>
      <c r="T63" s="15" t="s">
        <v>144</v>
      </c>
      <c r="U63" s="17">
        <v>9595183767</v>
      </c>
      <c r="V63" s="17" t="s">
        <v>64</v>
      </c>
      <c r="W63" s="29" t="str">
        <f t="shared" si="0"/>
        <v>Pri002Pu</v>
      </c>
    </row>
    <row r="64" spans="1:23" x14ac:dyDescent="0.5">
      <c r="A64" s="15" t="s">
        <v>425</v>
      </c>
      <c r="B64" s="15" t="s">
        <v>53</v>
      </c>
      <c r="C64" s="15" t="s">
        <v>259</v>
      </c>
      <c r="D64" s="15" t="s">
        <v>426</v>
      </c>
      <c r="E64" s="15" t="s">
        <v>427</v>
      </c>
      <c r="F64" s="15" t="s">
        <v>163</v>
      </c>
      <c r="G64" s="15" t="s">
        <v>28</v>
      </c>
      <c r="H64" s="15" t="s">
        <v>428</v>
      </c>
      <c r="I64" s="15" t="s">
        <v>105</v>
      </c>
      <c r="J64" s="15" t="s">
        <v>106</v>
      </c>
      <c r="K64" s="15" t="s">
        <v>122</v>
      </c>
      <c r="L64" s="15" t="s">
        <v>263</v>
      </c>
      <c r="M64" s="15">
        <v>15</v>
      </c>
      <c r="N64" s="25">
        <v>45</v>
      </c>
      <c r="O64" s="15">
        <v>0</v>
      </c>
      <c r="P64" s="25">
        <v>675</v>
      </c>
      <c r="Q64" s="15">
        <v>4</v>
      </c>
      <c r="R64" s="15" t="s">
        <v>34</v>
      </c>
      <c r="S64" s="15" t="s">
        <v>61</v>
      </c>
      <c r="T64" s="15" t="s">
        <v>62</v>
      </c>
      <c r="U64" s="15">
        <v>9560201307</v>
      </c>
      <c r="V64" s="15" t="s">
        <v>69</v>
      </c>
      <c r="W64" s="29" t="str">
        <f t="shared" si="0"/>
        <v>Poo010Mu</v>
      </c>
    </row>
    <row r="65" spans="1:23" x14ac:dyDescent="0.5">
      <c r="A65" s="17" t="s">
        <v>430</v>
      </c>
      <c r="B65" s="17" t="s">
        <v>251</v>
      </c>
      <c r="C65" s="17" t="s">
        <v>184</v>
      </c>
      <c r="D65" s="17" t="s">
        <v>431</v>
      </c>
      <c r="E65" s="17" t="s">
        <v>413</v>
      </c>
      <c r="F65" s="15" t="s">
        <v>254</v>
      </c>
      <c r="G65" s="17" t="s">
        <v>28</v>
      </c>
      <c r="H65" s="17" t="s">
        <v>432</v>
      </c>
      <c r="I65" s="17" t="s">
        <v>138</v>
      </c>
      <c r="J65" s="17" t="s">
        <v>106</v>
      </c>
      <c r="K65" s="17" t="s">
        <v>46</v>
      </c>
      <c r="L65" s="17" t="s">
        <v>189</v>
      </c>
      <c r="M65" s="17">
        <v>15</v>
      </c>
      <c r="N65" s="26">
        <v>700</v>
      </c>
      <c r="O65" s="17">
        <v>10</v>
      </c>
      <c r="P65" s="26">
        <v>9450</v>
      </c>
      <c r="Q65" s="17">
        <v>3</v>
      </c>
      <c r="R65" s="17" t="s">
        <v>48</v>
      </c>
      <c r="S65" s="17" t="s">
        <v>151</v>
      </c>
      <c r="T65" s="15" t="s">
        <v>256</v>
      </c>
      <c r="U65" s="17">
        <v>9826484650</v>
      </c>
      <c r="V65" s="17" t="s">
        <v>38</v>
      </c>
      <c r="W65" s="29" t="str">
        <f t="shared" si="0"/>
        <v>Sne006Ah</v>
      </c>
    </row>
    <row r="66" spans="1:23" x14ac:dyDescent="0.5">
      <c r="A66" s="15" t="s">
        <v>434</v>
      </c>
      <c r="B66" s="15" t="s">
        <v>53</v>
      </c>
      <c r="C66" s="15" t="s">
        <v>259</v>
      </c>
      <c r="D66" s="15" t="s">
        <v>435</v>
      </c>
      <c r="E66" s="15" t="s">
        <v>436</v>
      </c>
      <c r="F66" s="15" t="s">
        <v>163</v>
      </c>
      <c r="G66" s="15" t="s">
        <v>28</v>
      </c>
      <c r="H66" s="15" t="s">
        <v>437</v>
      </c>
      <c r="I66" s="15" t="s">
        <v>294</v>
      </c>
      <c r="J66" s="15" t="s">
        <v>295</v>
      </c>
      <c r="K66" s="15" t="s">
        <v>122</v>
      </c>
      <c r="L66" s="15" t="s">
        <v>263</v>
      </c>
      <c r="M66" s="15">
        <v>3</v>
      </c>
      <c r="N66" s="25">
        <v>45</v>
      </c>
      <c r="O66" s="15">
        <v>15</v>
      </c>
      <c r="P66" s="25">
        <v>114.75</v>
      </c>
      <c r="Q66" s="15">
        <v>2</v>
      </c>
      <c r="R66" s="15" t="s">
        <v>88</v>
      </c>
      <c r="S66" s="15" t="s">
        <v>115</v>
      </c>
      <c r="T66" s="15" t="s">
        <v>62</v>
      </c>
      <c r="U66" s="15">
        <v>9219978007</v>
      </c>
      <c r="V66" s="15" t="s">
        <v>64</v>
      </c>
      <c r="W66" s="29" t="str">
        <f t="shared" si="0"/>
        <v>Poo010Ko</v>
      </c>
    </row>
    <row r="67" spans="1:23" x14ac:dyDescent="0.5">
      <c r="A67" s="17" t="s">
        <v>439</v>
      </c>
      <c r="B67" s="17" t="s">
        <v>100</v>
      </c>
      <c r="C67" s="17" t="s">
        <v>24</v>
      </c>
      <c r="D67" s="17" t="s">
        <v>440</v>
      </c>
      <c r="E67" s="17" t="s">
        <v>441</v>
      </c>
      <c r="F67" s="15" t="s">
        <v>103</v>
      </c>
      <c r="G67" s="17" t="s">
        <v>28</v>
      </c>
      <c r="H67" s="17" t="s">
        <v>442</v>
      </c>
      <c r="I67" s="17" t="s">
        <v>294</v>
      </c>
      <c r="J67" s="17" t="s">
        <v>295</v>
      </c>
      <c r="K67" s="17" t="s">
        <v>32</v>
      </c>
      <c r="L67" s="17" t="s">
        <v>33</v>
      </c>
      <c r="M67" s="17">
        <v>7</v>
      </c>
      <c r="N67" s="26">
        <v>2200</v>
      </c>
      <c r="O67" s="17">
        <v>15</v>
      </c>
      <c r="P67" s="26">
        <v>13090</v>
      </c>
      <c r="Q67" s="17">
        <v>5</v>
      </c>
      <c r="R67" s="17" t="s">
        <v>88</v>
      </c>
      <c r="S67" s="17" t="s">
        <v>115</v>
      </c>
      <c r="T67" s="15" t="s">
        <v>144</v>
      </c>
      <c r="U67" s="17">
        <v>9662063276</v>
      </c>
      <c r="V67" s="17" t="s">
        <v>38</v>
      </c>
      <c r="W67" s="29" t="str">
        <f t="shared" ref="W67:W130" si="1">LEFT(F67, 3) &amp; RIGHT(B67,3) &amp; LEFT(I67,2)</f>
        <v>Pri002Ko</v>
      </c>
    </row>
    <row r="68" spans="1:23" x14ac:dyDescent="0.5">
      <c r="A68" s="15" t="s">
        <v>444</v>
      </c>
      <c r="B68" s="15" t="s">
        <v>23</v>
      </c>
      <c r="C68" s="15" t="s">
        <v>259</v>
      </c>
      <c r="D68" s="15" t="s">
        <v>445</v>
      </c>
      <c r="E68" s="15" t="s">
        <v>446</v>
      </c>
      <c r="F68" s="15" t="s">
        <v>27</v>
      </c>
      <c r="G68" s="15" t="s">
        <v>28</v>
      </c>
      <c r="H68" s="15" t="s">
        <v>447</v>
      </c>
      <c r="I68" s="15" t="s">
        <v>44</v>
      </c>
      <c r="J68" s="15" t="s">
        <v>45</v>
      </c>
      <c r="K68" s="15" t="s">
        <v>122</v>
      </c>
      <c r="L68" s="15" t="s">
        <v>263</v>
      </c>
      <c r="M68" s="15">
        <v>19</v>
      </c>
      <c r="N68" s="25">
        <v>45</v>
      </c>
      <c r="O68" s="15">
        <v>10</v>
      </c>
      <c r="P68" s="25">
        <v>769.5</v>
      </c>
      <c r="Q68" s="15">
        <v>5</v>
      </c>
      <c r="R68" s="15" t="s">
        <v>79</v>
      </c>
      <c r="S68" s="15" t="s">
        <v>115</v>
      </c>
      <c r="T68" s="15" t="s">
        <v>50</v>
      </c>
      <c r="U68" s="15">
        <v>9190393639</v>
      </c>
      <c r="V68" s="15" t="s">
        <v>69</v>
      </c>
      <c r="W68" s="29" t="str">
        <f t="shared" si="1"/>
        <v>Kav008De</v>
      </c>
    </row>
    <row r="69" spans="1:23" x14ac:dyDescent="0.5">
      <c r="A69" s="17" t="s">
        <v>449</v>
      </c>
      <c r="B69" s="17" t="s">
        <v>251</v>
      </c>
      <c r="C69" s="17" t="s">
        <v>92</v>
      </c>
      <c r="D69" s="17" t="s">
        <v>450</v>
      </c>
      <c r="E69" s="17" t="s">
        <v>323</v>
      </c>
      <c r="F69" s="15" t="s">
        <v>254</v>
      </c>
      <c r="G69" s="17" t="s">
        <v>28</v>
      </c>
      <c r="H69" s="17" t="s">
        <v>451</v>
      </c>
      <c r="I69" s="17" t="s">
        <v>30</v>
      </c>
      <c r="J69" s="17" t="s">
        <v>31</v>
      </c>
      <c r="K69" s="17" t="s">
        <v>32</v>
      </c>
      <c r="L69" s="17" t="s">
        <v>97</v>
      </c>
      <c r="M69" s="17">
        <v>7</v>
      </c>
      <c r="N69" s="26">
        <v>3500</v>
      </c>
      <c r="O69" s="17">
        <v>15</v>
      </c>
      <c r="P69" s="26">
        <v>20825</v>
      </c>
      <c r="Q69" s="17">
        <v>1</v>
      </c>
      <c r="R69" s="17" t="s">
        <v>34</v>
      </c>
      <c r="S69" s="17" t="s">
        <v>151</v>
      </c>
      <c r="T69" s="15" t="s">
        <v>256</v>
      </c>
      <c r="U69" s="17">
        <v>9106328582</v>
      </c>
      <c r="V69" s="17" t="s">
        <v>64</v>
      </c>
      <c r="W69" s="29" t="str">
        <f t="shared" si="1"/>
        <v>Sne006Hy</v>
      </c>
    </row>
    <row r="70" spans="1:23" x14ac:dyDescent="0.5">
      <c r="A70" s="15" t="s">
        <v>453</v>
      </c>
      <c r="B70" s="15" t="s">
        <v>53</v>
      </c>
      <c r="C70" s="15" t="s">
        <v>169</v>
      </c>
      <c r="D70" s="15" t="s">
        <v>454</v>
      </c>
      <c r="E70" s="15" t="s">
        <v>455</v>
      </c>
      <c r="F70" s="15" t="s">
        <v>163</v>
      </c>
      <c r="G70" s="15" t="s">
        <v>28</v>
      </c>
      <c r="H70" s="15" t="s">
        <v>456</v>
      </c>
      <c r="I70" s="15" t="s">
        <v>212</v>
      </c>
      <c r="J70" s="15" t="s">
        <v>45</v>
      </c>
      <c r="K70" s="15" t="s">
        <v>32</v>
      </c>
      <c r="L70" s="15" t="s">
        <v>174</v>
      </c>
      <c r="M70" s="15">
        <v>7</v>
      </c>
      <c r="N70" s="25">
        <v>8500</v>
      </c>
      <c r="O70" s="15">
        <v>20</v>
      </c>
      <c r="P70" s="25">
        <v>47600</v>
      </c>
      <c r="Q70" s="15">
        <v>4</v>
      </c>
      <c r="R70" s="15" t="s">
        <v>48</v>
      </c>
      <c r="S70" s="15" t="s">
        <v>115</v>
      </c>
      <c r="T70" s="15" t="s">
        <v>62</v>
      </c>
      <c r="U70" s="15">
        <v>9264401015</v>
      </c>
      <c r="V70" s="15" t="s">
        <v>38</v>
      </c>
      <c r="W70" s="29" t="str">
        <f t="shared" si="1"/>
        <v>Poo010Ja</v>
      </c>
    </row>
    <row r="71" spans="1:23" x14ac:dyDescent="0.5">
      <c r="A71" s="17" t="s">
        <v>458</v>
      </c>
      <c r="B71" s="17" t="s">
        <v>23</v>
      </c>
      <c r="C71" s="17" t="s">
        <v>54</v>
      </c>
      <c r="D71" s="17" t="s">
        <v>366</v>
      </c>
      <c r="E71" s="17" t="s">
        <v>459</v>
      </c>
      <c r="F71" s="15" t="s">
        <v>27</v>
      </c>
      <c r="G71" s="17" t="s">
        <v>28</v>
      </c>
      <c r="H71" s="17" t="s">
        <v>460</v>
      </c>
      <c r="I71" s="17" t="s">
        <v>59</v>
      </c>
      <c r="J71" s="17" t="s">
        <v>31</v>
      </c>
      <c r="K71" s="17" t="s">
        <v>46</v>
      </c>
      <c r="L71" s="17" t="s">
        <v>60</v>
      </c>
      <c r="M71" s="17">
        <v>16</v>
      </c>
      <c r="N71" s="26">
        <v>55000</v>
      </c>
      <c r="O71" s="17">
        <v>10</v>
      </c>
      <c r="P71" s="26">
        <v>792000</v>
      </c>
      <c r="Q71" s="17">
        <v>1</v>
      </c>
      <c r="R71" s="17" t="s">
        <v>79</v>
      </c>
      <c r="S71" s="17" t="s">
        <v>61</v>
      </c>
      <c r="T71" s="15" t="s">
        <v>50</v>
      </c>
      <c r="U71" s="17">
        <v>9959237375</v>
      </c>
      <c r="V71" s="17" t="s">
        <v>38</v>
      </c>
      <c r="W71" s="29" t="str">
        <f t="shared" si="1"/>
        <v>Kav008Be</v>
      </c>
    </row>
    <row r="72" spans="1:23" x14ac:dyDescent="0.5">
      <c r="A72" s="15" t="s">
        <v>462</v>
      </c>
      <c r="B72" s="15" t="s">
        <v>168</v>
      </c>
      <c r="C72" s="15" t="s">
        <v>40</v>
      </c>
      <c r="D72" s="15" t="s">
        <v>463</v>
      </c>
      <c r="E72" s="15" t="s">
        <v>464</v>
      </c>
      <c r="F72" s="15" t="s">
        <v>361</v>
      </c>
      <c r="G72" s="15" t="s">
        <v>28</v>
      </c>
      <c r="H72" s="15" t="s">
        <v>465</v>
      </c>
      <c r="I72" s="15" t="s">
        <v>105</v>
      </c>
      <c r="J72" s="15" t="s">
        <v>106</v>
      </c>
      <c r="K72" s="15" t="s">
        <v>46</v>
      </c>
      <c r="L72" s="15" t="s">
        <v>47</v>
      </c>
      <c r="M72" s="15">
        <v>2</v>
      </c>
      <c r="N72" s="25">
        <v>12000</v>
      </c>
      <c r="O72" s="15">
        <v>20</v>
      </c>
      <c r="P72" s="25">
        <v>19200</v>
      </c>
      <c r="Q72" s="15">
        <v>1</v>
      </c>
      <c r="R72" s="15" t="s">
        <v>34</v>
      </c>
      <c r="S72" s="15" t="s">
        <v>151</v>
      </c>
      <c r="T72" s="15" t="s">
        <v>175</v>
      </c>
      <c r="U72" s="15">
        <v>9561836580</v>
      </c>
      <c r="V72" s="15" t="s">
        <v>64</v>
      </c>
      <c r="W72" s="29" t="str">
        <f t="shared" si="1"/>
        <v>Ani004Mu</v>
      </c>
    </row>
    <row r="73" spans="1:23" x14ac:dyDescent="0.5">
      <c r="A73" s="17" t="s">
        <v>468</v>
      </c>
      <c r="B73" s="17" t="s">
        <v>127</v>
      </c>
      <c r="C73" s="17" t="s">
        <v>259</v>
      </c>
      <c r="D73" s="17" t="s">
        <v>469</v>
      </c>
      <c r="E73" s="17" t="s">
        <v>446</v>
      </c>
      <c r="F73" s="15" t="s">
        <v>200</v>
      </c>
      <c r="G73" s="17" t="s">
        <v>76</v>
      </c>
      <c r="H73" s="17" t="s">
        <v>470</v>
      </c>
      <c r="I73" s="17" t="s">
        <v>59</v>
      </c>
      <c r="J73" s="17" t="s">
        <v>31</v>
      </c>
      <c r="K73" s="17" t="s">
        <v>122</v>
      </c>
      <c r="L73" s="17" t="s">
        <v>263</v>
      </c>
      <c r="M73" s="17">
        <v>4</v>
      </c>
      <c r="N73" s="26">
        <v>45</v>
      </c>
      <c r="O73" s="17">
        <v>5</v>
      </c>
      <c r="P73" s="26">
        <v>171</v>
      </c>
      <c r="Q73" s="17">
        <v>1</v>
      </c>
      <c r="R73" s="17" t="s">
        <v>79</v>
      </c>
      <c r="S73" s="17" t="s">
        <v>49</v>
      </c>
      <c r="T73" s="15" t="s">
        <v>132</v>
      </c>
      <c r="U73" s="17">
        <v>9512666401</v>
      </c>
      <c r="V73" s="17" t="s">
        <v>64</v>
      </c>
      <c r="W73" s="29" t="str">
        <f t="shared" si="1"/>
        <v>Roh003Be</v>
      </c>
    </row>
    <row r="74" spans="1:23" x14ac:dyDescent="0.5">
      <c r="A74" s="15" t="s">
        <v>472</v>
      </c>
      <c r="B74" s="15" t="s">
        <v>23</v>
      </c>
      <c r="C74" s="15" t="s">
        <v>72</v>
      </c>
      <c r="D74" s="15" t="s">
        <v>473</v>
      </c>
      <c r="E74" s="15" t="s">
        <v>474</v>
      </c>
      <c r="F74" s="15" t="s">
        <v>27</v>
      </c>
      <c r="G74" s="15" t="s">
        <v>28</v>
      </c>
      <c r="H74" s="15" t="s">
        <v>475</v>
      </c>
      <c r="I74" s="15" t="s">
        <v>212</v>
      </c>
      <c r="J74" s="15" t="s">
        <v>45</v>
      </c>
      <c r="K74" s="15" t="s">
        <v>46</v>
      </c>
      <c r="L74" s="15" t="s">
        <v>78</v>
      </c>
      <c r="M74" s="15">
        <v>1</v>
      </c>
      <c r="N74" s="25">
        <v>1200</v>
      </c>
      <c r="O74" s="15">
        <v>5</v>
      </c>
      <c r="P74" s="25">
        <v>1140</v>
      </c>
      <c r="Q74" s="15">
        <v>3</v>
      </c>
      <c r="R74" s="15" t="s">
        <v>88</v>
      </c>
      <c r="S74" s="15" t="s">
        <v>61</v>
      </c>
      <c r="T74" s="15" t="s">
        <v>50</v>
      </c>
      <c r="U74" s="15">
        <v>9808988530</v>
      </c>
      <c r="V74" s="15" t="s">
        <v>69</v>
      </c>
      <c r="W74" s="29" t="str">
        <f t="shared" si="1"/>
        <v>Kav008Ja</v>
      </c>
    </row>
    <row r="75" spans="1:23" x14ac:dyDescent="0.5">
      <c r="A75" s="17" t="s">
        <v>477</v>
      </c>
      <c r="B75" s="17" t="s">
        <v>53</v>
      </c>
      <c r="C75" s="17" t="s">
        <v>24</v>
      </c>
      <c r="D75" s="17" t="s">
        <v>478</v>
      </c>
      <c r="E75" s="17" t="s">
        <v>479</v>
      </c>
      <c r="F75" s="15" t="s">
        <v>163</v>
      </c>
      <c r="G75" s="17" t="s">
        <v>28</v>
      </c>
      <c r="H75" s="17" t="s">
        <v>480</v>
      </c>
      <c r="I75" s="17" t="s">
        <v>2109</v>
      </c>
      <c r="J75" s="17" t="s">
        <v>31</v>
      </c>
      <c r="K75" s="17" t="s">
        <v>32</v>
      </c>
      <c r="L75" s="17" t="s">
        <v>33</v>
      </c>
      <c r="M75" s="17">
        <v>1</v>
      </c>
      <c r="N75" s="26">
        <v>2200</v>
      </c>
      <c r="O75" s="17">
        <v>15</v>
      </c>
      <c r="P75" s="26">
        <v>1870</v>
      </c>
      <c r="Q75" s="17">
        <v>4</v>
      </c>
      <c r="R75" s="17" t="s">
        <v>79</v>
      </c>
      <c r="S75" s="17" t="s">
        <v>61</v>
      </c>
      <c r="T75" s="15" t="s">
        <v>62</v>
      </c>
      <c r="U75" s="17">
        <v>9286410494</v>
      </c>
      <c r="V75" s="17" t="s">
        <v>38</v>
      </c>
      <c r="W75" s="29" t="str">
        <f t="shared" si="1"/>
        <v>Poo010No</v>
      </c>
    </row>
    <row r="76" spans="1:23" x14ac:dyDescent="0.5">
      <c r="A76" s="15" t="s">
        <v>482</v>
      </c>
      <c r="B76" s="15" t="s">
        <v>127</v>
      </c>
      <c r="C76" s="15" t="s">
        <v>72</v>
      </c>
      <c r="D76" s="15" t="s">
        <v>483</v>
      </c>
      <c r="E76" s="15" t="s">
        <v>484</v>
      </c>
      <c r="F76" s="15" t="s">
        <v>200</v>
      </c>
      <c r="G76" s="15" t="s">
        <v>76</v>
      </c>
      <c r="H76" s="15" t="s">
        <v>485</v>
      </c>
      <c r="I76" s="15" t="s">
        <v>114</v>
      </c>
      <c r="J76" s="15" t="s">
        <v>106</v>
      </c>
      <c r="K76" s="15" t="s">
        <v>46</v>
      </c>
      <c r="L76" s="15" t="s">
        <v>78</v>
      </c>
      <c r="M76" s="15">
        <v>3</v>
      </c>
      <c r="N76" s="25">
        <v>1200</v>
      </c>
      <c r="O76" s="15">
        <v>10</v>
      </c>
      <c r="P76" s="25">
        <v>3240</v>
      </c>
      <c r="Q76" s="15">
        <v>5</v>
      </c>
      <c r="R76" s="15" t="s">
        <v>34</v>
      </c>
      <c r="S76" s="15" t="s">
        <v>49</v>
      </c>
      <c r="T76" s="15" t="s">
        <v>132</v>
      </c>
      <c r="U76" s="15">
        <v>9311555196</v>
      </c>
      <c r="V76" s="15" t="s">
        <v>38</v>
      </c>
      <c r="W76" s="29" t="str">
        <f t="shared" si="1"/>
        <v>Roh003Pu</v>
      </c>
    </row>
    <row r="77" spans="1:23" x14ac:dyDescent="0.5">
      <c r="A77" s="17" t="s">
        <v>487</v>
      </c>
      <c r="B77" s="17" t="s">
        <v>23</v>
      </c>
      <c r="C77" s="17" t="s">
        <v>92</v>
      </c>
      <c r="D77" s="17" t="s">
        <v>488</v>
      </c>
      <c r="E77" s="17" t="s">
        <v>489</v>
      </c>
      <c r="F77" s="15" t="s">
        <v>27</v>
      </c>
      <c r="G77" s="17" t="s">
        <v>28</v>
      </c>
      <c r="H77" s="17" t="s">
        <v>490</v>
      </c>
      <c r="I77" s="17" t="s">
        <v>59</v>
      </c>
      <c r="J77" s="17" t="s">
        <v>31</v>
      </c>
      <c r="K77" s="17" t="s">
        <v>32</v>
      </c>
      <c r="L77" s="17" t="s">
        <v>97</v>
      </c>
      <c r="M77" s="17">
        <v>10</v>
      </c>
      <c r="N77" s="26">
        <v>3500</v>
      </c>
      <c r="O77" s="17">
        <v>20</v>
      </c>
      <c r="P77" s="26">
        <v>28000</v>
      </c>
      <c r="Q77" s="17">
        <v>5</v>
      </c>
      <c r="R77" s="17" t="s">
        <v>79</v>
      </c>
      <c r="S77" s="17" t="s">
        <v>35</v>
      </c>
      <c r="T77" s="15" t="s">
        <v>50</v>
      </c>
      <c r="U77" s="17">
        <v>9101810266</v>
      </c>
      <c r="V77" s="17" t="s">
        <v>38</v>
      </c>
      <c r="W77" s="29" t="str">
        <f t="shared" si="1"/>
        <v>Kav008Be</v>
      </c>
    </row>
    <row r="78" spans="1:23" x14ac:dyDescent="0.5">
      <c r="A78" s="15" t="s">
        <v>492</v>
      </c>
      <c r="B78" s="15" t="s">
        <v>83</v>
      </c>
      <c r="C78" s="15" t="s">
        <v>184</v>
      </c>
      <c r="D78" s="15" t="s">
        <v>493</v>
      </c>
      <c r="E78" s="15" t="s">
        <v>404</v>
      </c>
      <c r="F78" s="15" t="s">
        <v>180</v>
      </c>
      <c r="G78" s="15" t="s">
        <v>76</v>
      </c>
      <c r="H78" s="15" t="s">
        <v>494</v>
      </c>
      <c r="I78" s="15" t="s">
        <v>44</v>
      </c>
      <c r="J78" s="15" t="s">
        <v>45</v>
      </c>
      <c r="K78" s="15" t="s">
        <v>46</v>
      </c>
      <c r="L78" s="15" t="s">
        <v>189</v>
      </c>
      <c r="M78" s="15">
        <v>18</v>
      </c>
      <c r="N78" s="25">
        <v>700</v>
      </c>
      <c r="O78" s="15">
        <v>5</v>
      </c>
      <c r="P78" s="25">
        <v>11970</v>
      </c>
      <c r="Q78" s="15">
        <v>3</v>
      </c>
      <c r="R78" s="15" t="s">
        <v>79</v>
      </c>
      <c r="S78" s="15" t="s">
        <v>115</v>
      </c>
      <c r="T78" s="15" t="s">
        <v>89</v>
      </c>
      <c r="U78" s="15">
        <v>9464556593</v>
      </c>
      <c r="V78" s="15" t="s">
        <v>69</v>
      </c>
      <c r="W78" s="29" t="str">
        <f t="shared" si="1"/>
        <v>Arj007De</v>
      </c>
    </row>
    <row r="79" spans="1:23" x14ac:dyDescent="0.5">
      <c r="A79" s="17" t="s">
        <v>496</v>
      </c>
      <c r="B79" s="17" t="s">
        <v>221</v>
      </c>
      <c r="C79" s="17" t="s">
        <v>184</v>
      </c>
      <c r="D79" s="17" t="s">
        <v>497</v>
      </c>
      <c r="E79" s="17" t="s">
        <v>498</v>
      </c>
      <c r="F79" s="15" t="s">
        <v>225</v>
      </c>
      <c r="G79" s="17" t="s">
        <v>76</v>
      </c>
      <c r="H79" s="17" t="s">
        <v>499</v>
      </c>
      <c r="I79" s="17" t="s">
        <v>59</v>
      </c>
      <c r="J79" s="17" t="s">
        <v>31</v>
      </c>
      <c r="K79" s="17" t="s">
        <v>46</v>
      </c>
      <c r="L79" s="17" t="s">
        <v>189</v>
      </c>
      <c r="M79" s="17">
        <v>12</v>
      </c>
      <c r="N79" s="26">
        <v>700</v>
      </c>
      <c r="O79" s="17">
        <v>15</v>
      </c>
      <c r="P79" s="26">
        <v>7140</v>
      </c>
      <c r="Q79" s="17">
        <v>2</v>
      </c>
      <c r="R79" s="17" t="s">
        <v>88</v>
      </c>
      <c r="S79" s="17" t="s">
        <v>49</v>
      </c>
      <c r="T79" s="15" t="s">
        <v>228</v>
      </c>
      <c r="U79" s="17">
        <v>9338278358</v>
      </c>
      <c r="V79" s="17" t="s">
        <v>38</v>
      </c>
      <c r="W79" s="29" t="str">
        <f t="shared" si="1"/>
        <v>Vik005Be</v>
      </c>
    </row>
    <row r="80" spans="1:23" x14ac:dyDescent="0.5">
      <c r="A80" s="15" t="s">
        <v>501</v>
      </c>
      <c r="B80" s="15" t="s">
        <v>71</v>
      </c>
      <c r="C80" s="15" t="s">
        <v>72</v>
      </c>
      <c r="D80" s="15" t="s">
        <v>502</v>
      </c>
      <c r="E80" s="15" t="s">
        <v>503</v>
      </c>
      <c r="F80" s="15" t="s">
        <v>217</v>
      </c>
      <c r="G80" s="15" t="s">
        <v>76</v>
      </c>
      <c r="H80" s="15" t="s">
        <v>504</v>
      </c>
      <c r="I80" s="15" t="s">
        <v>105</v>
      </c>
      <c r="J80" s="15" t="s">
        <v>106</v>
      </c>
      <c r="K80" s="15" t="s">
        <v>46</v>
      </c>
      <c r="L80" s="15" t="s">
        <v>78</v>
      </c>
      <c r="M80" s="15">
        <v>8</v>
      </c>
      <c r="N80" s="25">
        <v>1200</v>
      </c>
      <c r="O80" s="15">
        <v>0</v>
      </c>
      <c r="P80" s="25">
        <v>9600</v>
      </c>
      <c r="Q80" s="15">
        <v>4</v>
      </c>
      <c r="R80" s="15" t="s">
        <v>79</v>
      </c>
      <c r="S80" s="15" t="s">
        <v>49</v>
      </c>
      <c r="T80" s="15" t="s">
        <v>80</v>
      </c>
      <c r="U80" s="15">
        <v>9621410770</v>
      </c>
      <c r="V80" s="15" t="s">
        <v>64</v>
      </c>
      <c r="W80" s="29" t="str">
        <f t="shared" si="1"/>
        <v>Moh009Mu</v>
      </c>
    </row>
    <row r="81" spans="1:23" x14ac:dyDescent="0.5">
      <c r="A81" s="17" t="s">
        <v>506</v>
      </c>
      <c r="B81" s="17" t="s">
        <v>127</v>
      </c>
      <c r="C81" s="17" t="s">
        <v>118</v>
      </c>
      <c r="D81" s="17" t="s">
        <v>507</v>
      </c>
      <c r="E81" s="17" t="s">
        <v>508</v>
      </c>
      <c r="F81" s="15" t="s">
        <v>200</v>
      </c>
      <c r="G81" s="17" t="s">
        <v>76</v>
      </c>
      <c r="H81" s="17" t="s">
        <v>509</v>
      </c>
      <c r="I81" s="17" t="s">
        <v>114</v>
      </c>
      <c r="J81" s="17" t="s">
        <v>106</v>
      </c>
      <c r="K81" s="17" t="s">
        <v>122</v>
      </c>
      <c r="L81" s="17" t="s">
        <v>123</v>
      </c>
      <c r="M81" s="17">
        <v>2</v>
      </c>
      <c r="N81" s="26">
        <v>60</v>
      </c>
      <c r="O81" s="17">
        <v>0</v>
      </c>
      <c r="P81" s="26">
        <v>120</v>
      </c>
      <c r="Q81" s="17">
        <v>2</v>
      </c>
      <c r="R81" s="17" t="s">
        <v>88</v>
      </c>
      <c r="S81" s="17" t="s">
        <v>49</v>
      </c>
      <c r="T81" s="15" t="s">
        <v>132</v>
      </c>
      <c r="U81" s="17">
        <v>9981333189</v>
      </c>
      <c r="V81" s="17" t="s">
        <v>38</v>
      </c>
      <c r="W81" s="29" t="str">
        <f t="shared" si="1"/>
        <v>Roh003Pu</v>
      </c>
    </row>
    <row r="82" spans="1:23" x14ac:dyDescent="0.5">
      <c r="A82" s="15" t="s">
        <v>511</v>
      </c>
      <c r="B82" s="15" t="s">
        <v>327</v>
      </c>
      <c r="C82" s="15" t="s">
        <v>259</v>
      </c>
      <c r="D82" s="15" t="s">
        <v>512</v>
      </c>
      <c r="E82" s="15" t="s">
        <v>513</v>
      </c>
      <c r="F82" s="15" t="s">
        <v>394</v>
      </c>
      <c r="G82" s="15" t="s">
        <v>76</v>
      </c>
      <c r="H82" s="15" t="s">
        <v>514</v>
      </c>
      <c r="I82" s="15" t="s">
        <v>114</v>
      </c>
      <c r="J82" s="15" t="s">
        <v>106</v>
      </c>
      <c r="K82" s="15" t="s">
        <v>122</v>
      </c>
      <c r="L82" s="15" t="s">
        <v>263</v>
      </c>
      <c r="M82" s="15">
        <v>10</v>
      </c>
      <c r="N82" s="25">
        <v>45</v>
      </c>
      <c r="O82" s="15">
        <v>15</v>
      </c>
      <c r="P82" s="25">
        <v>382.5</v>
      </c>
      <c r="Q82" s="15">
        <v>3</v>
      </c>
      <c r="R82" s="15" t="s">
        <v>48</v>
      </c>
      <c r="S82" s="15" t="s">
        <v>35</v>
      </c>
      <c r="T82" s="15" t="s">
        <v>332</v>
      </c>
      <c r="U82" s="15">
        <v>9723450355</v>
      </c>
      <c r="V82" s="15" t="s">
        <v>69</v>
      </c>
      <c r="W82" s="29" t="str">
        <f t="shared" si="1"/>
        <v>Ami001Pu</v>
      </c>
    </row>
    <row r="83" spans="1:23" x14ac:dyDescent="0.5">
      <c r="A83" s="17" t="s">
        <v>516</v>
      </c>
      <c r="B83" s="17" t="s">
        <v>221</v>
      </c>
      <c r="C83" s="17" t="s">
        <v>92</v>
      </c>
      <c r="D83" s="17" t="s">
        <v>517</v>
      </c>
      <c r="E83" s="17" t="s">
        <v>518</v>
      </c>
      <c r="F83" s="15" t="s">
        <v>225</v>
      </c>
      <c r="G83" s="17" t="s">
        <v>76</v>
      </c>
      <c r="H83" s="17" t="s">
        <v>519</v>
      </c>
      <c r="I83" s="17" t="s">
        <v>294</v>
      </c>
      <c r="J83" s="17" t="s">
        <v>295</v>
      </c>
      <c r="K83" s="17" t="s">
        <v>32</v>
      </c>
      <c r="L83" s="17" t="s">
        <v>97</v>
      </c>
      <c r="M83" s="17">
        <v>12</v>
      </c>
      <c r="N83" s="26">
        <v>3500</v>
      </c>
      <c r="O83" s="17">
        <v>5</v>
      </c>
      <c r="P83" s="26">
        <v>39900</v>
      </c>
      <c r="Q83" s="17">
        <v>3</v>
      </c>
      <c r="R83" s="17" t="s">
        <v>48</v>
      </c>
      <c r="S83" s="17" t="s">
        <v>61</v>
      </c>
      <c r="T83" s="15" t="s">
        <v>228</v>
      </c>
      <c r="U83" s="17">
        <v>9886243907</v>
      </c>
      <c r="V83" s="17" t="s">
        <v>64</v>
      </c>
      <c r="W83" s="29" t="str">
        <f t="shared" si="1"/>
        <v>Vik005Ko</v>
      </c>
    </row>
    <row r="84" spans="1:23" x14ac:dyDescent="0.5">
      <c r="A84" s="15" t="s">
        <v>521</v>
      </c>
      <c r="B84" s="15" t="s">
        <v>127</v>
      </c>
      <c r="C84" s="15" t="s">
        <v>118</v>
      </c>
      <c r="D84" s="15" t="s">
        <v>128</v>
      </c>
      <c r="E84" s="15" t="s">
        <v>73</v>
      </c>
      <c r="F84" s="15" t="s">
        <v>200</v>
      </c>
      <c r="G84" s="15" t="s">
        <v>76</v>
      </c>
      <c r="H84" s="15" t="s">
        <v>522</v>
      </c>
      <c r="I84" s="15" t="s">
        <v>105</v>
      </c>
      <c r="J84" s="15" t="s">
        <v>106</v>
      </c>
      <c r="K84" s="15" t="s">
        <v>122</v>
      </c>
      <c r="L84" s="15" t="s">
        <v>123</v>
      </c>
      <c r="M84" s="15">
        <v>2</v>
      </c>
      <c r="N84" s="25">
        <v>60</v>
      </c>
      <c r="O84" s="15">
        <v>15</v>
      </c>
      <c r="P84" s="25">
        <v>102</v>
      </c>
      <c r="Q84" s="15">
        <v>1</v>
      </c>
      <c r="R84" s="15" t="s">
        <v>88</v>
      </c>
      <c r="S84" s="15" t="s">
        <v>115</v>
      </c>
      <c r="T84" s="15" t="s">
        <v>132</v>
      </c>
      <c r="U84" s="15">
        <v>9473931904</v>
      </c>
      <c r="V84" s="15" t="s">
        <v>38</v>
      </c>
      <c r="W84" s="29" t="str">
        <f t="shared" si="1"/>
        <v>Roh003Mu</v>
      </c>
    </row>
    <row r="85" spans="1:23" x14ac:dyDescent="0.5">
      <c r="A85" s="17" t="s">
        <v>524</v>
      </c>
      <c r="B85" s="17" t="s">
        <v>127</v>
      </c>
      <c r="C85" s="17" t="s">
        <v>72</v>
      </c>
      <c r="D85" s="17" t="s">
        <v>525</v>
      </c>
      <c r="E85" s="17" t="s">
        <v>526</v>
      </c>
      <c r="F85" s="15" t="s">
        <v>200</v>
      </c>
      <c r="G85" s="17" t="s">
        <v>76</v>
      </c>
      <c r="H85" s="17" t="s">
        <v>527</v>
      </c>
      <c r="I85" s="17" t="s">
        <v>30</v>
      </c>
      <c r="J85" s="17" t="s">
        <v>31</v>
      </c>
      <c r="K85" s="17" t="s">
        <v>46</v>
      </c>
      <c r="L85" s="17" t="s">
        <v>78</v>
      </c>
      <c r="M85" s="17">
        <v>18</v>
      </c>
      <c r="N85" s="26">
        <v>1200</v>
      </c>
      <c r="O85" s="17">
        <v>15</v>
      </c>
      <c r="P85" s="26">
        <v>18360</v>
      </c>
      <c r="Q85" s="17">
        <v>3</v>
      </c>
      <c r="R85" s="17" t="s">
        <v>79</v>
      </c>
      <c r="S85" s="17" t="s">
        <v>115</v>
      </c>
      <c r="T85" s="15" t="s">
        <v>132</v>
      </c>
      <c r="U85" s="17">
        <v>9287159610</v>
      </c>
      <c r="V85" s="17" t="s">
        <v>64</v>
      </c>
      <c r="W85" s="29" t="str">
        <f t="shared" si="1"/>
        <v>Roh003Hy</v>
      </c>
    </row>
    <row r="86" spans="1:23" x14ac:dyDescent="0.5">
      <c r="A86" s="15" t="s">
        <v>529</v>
      </c>
      <c r="B86" s="15" t="s">
        <v>23</v>
      </c>
      <c r="C86" s="15" t="s">
        <v>40</v>
      </c>
      <c r="D86" s="15" t="s">
        <v>530</v>
      </c>
      <c r="E86" s="15" t="s">
        <v>531</v>
      </c>
      <c r="F86" s="15" t="s">
        <v>27</v>
      </c>
      <c r="G86" s="15" t="s">
        <v>28</v>
      </c>
      <c r="H86" s="15" t="s">
        <v>532</v>
      </c>
      <c r="I86" s="15" t="s">
        <v>105</v>
      </c>
      <c r="J86" s="15" t="s">
        <v>106</v>
      </c>
      <c r="K86" s="15" t="s">
        <v>46</v>
      </c>
      <c r="L86" s="15" t="s">
        <v>47</v>
      </c>
      <c r="M86" s="15">
        <v>18</v>
      </c>
      <c r="N86" s="25">
        <v>12000</v>
      </c>
      <c r="O86" s="15">
        <v>15</v>
      </c>
      <c r="P86" s="25">
        <v>183600</v>
      </c>
      <c r="Q86" s="15">
        <v>2</v>
      </c>
      <c r="R86" s="15" t="s">
        <v>34</v>
      </c>
      <c r="S86" s="15" t="s">
        <v>49</v>
      </c>
      <c r="T86" s="15" t="s">
        <v>50</v>
      </c>
      <c r="U86" s="15">
        <v>9876513858</v>
      </c>
      <c r="V86" s="15" t="s">
        <v>38</v>
      </c>
      <c r="W86" s="29" t="str">
        <f t="shared" si="1"/>
        <v>Kav008Mu</v>
      </c>
    </row>
    <row r="87" spans="1:23" x14ac:dyDescent="0.5">
      <c r="A87" s="17" t="s">
        <v>534</v>
      </c>
      <c r="B87" s="17" t="s">
        <v>83</v>
      </c>
      <c r="C87" s="17" t="s">
        <v>222</v>
      </c>
      <c r="D87" s="17" t="s">
        <v>531</v>
      </c>
      <c r="E87" s="17" t="s">
        <v>535</v>
      </c>
      <c r="F87" s="15" t="s">
        <v>180</v>
      </c>
      <c r="G87" s="17" t="s">
        <v>76</v>
      </c>
      <c r="H87" s="17" t="s">
        <v>536</v>
      </c>
      <c r="I87" s="17" t="s">
        <v>138</v>
      </c>
      <c r="J87" s="17" t="s">
        <v>106</v>
      </c>
      <c r="K87" s="17" t="s">
        <v>122</v>
      </c>
      <c r="L87" s="17" t="s">
        <v>227</v>
      </c>
      <c r="M87" s="17">
        <v>7</v>
      </c>
      <c r="N87" s="26">
        <v>20</v>
      </c>
      <c r="O87" s="17">
        <v>0</v>
      </c>
      <c r="P87" s="26">
        <v>140</v>
      </c>
      <c r="Q87" s="17">
        <v>2</v>
      </c>
      <c r="R87" s="17" t="s">
        <v>79</v>
      </c>
      <c r="S87" s="17" t="s">
        <v>35</v>
      </c>
      <c r="T87" s="15" t="s">
        <v>89</v>
      </c>
      <c r="U87" s="17">
        <v>9237400853</v>
      </c>
      <c r="V87" s="17" t="s">
        <v>69</v>
      </c>
      <c r="W87" s="29" t="str">
        <f t="shared" si="1"/>
        <v>Arj007Ah</v>
      </c>
    </row>
    <row r="88" spans="1:23" x14ac:dyDescent="0.5">
      <c r="A88" s="15" t="s">
        <v>538</v>
      </c>
      <c r="B88" s="15" t="s">
        <v>251</v>
      </c>
      <c r="C88" s="15" t="s">
        <v>92</v>
      </c>
      <c r="D88" s="15" t="s">
        <v>459</v>
      </c>
      <c r="E88" s="15" t="s">
        <v>539</v>
      </c>
      <c r="F88" s="15" t="s">
        <v>254</v>
      </c>
      <c r="G88" s="15" t="s">
        <v>28</v>
      </c>
      <c r="H88" s="15" t="s">
        <v>540</v>
      </c>
      <c r="I88" s="15" t="s">
        <v>114</v>
      </c>
      <c r="J88" s="15" t="s">
        <v>106</v>
      </c>
      <c r="K88" s="15" t="s">
        <v>32</v>
      </c>
      <c r="L88" s="15" t="s">
        <v>97</v>
      </c>
      <c r="M88" s="15">
        <v>20</v>
      </c>
      <c r="N88" s="25">
        <v>3500</v>
      </c>
      <c r="O88" s="15">
        <v>20</v>
      </c>
      <c r="P88" s="25">
        <v>56000</v>
      </c>
      <c r="Q88" s="15">
        <v>4</v>
      </c>
      <c r="R88" s="15" t="s">
        <v>79</v>
      </c>
      <c r="S88" s="15" t="s">
        <v>115</v>
      </c>
      <c r="T88" s="15" t="s">
        <v>256</v>
      </c>
      <c r="U88" s="15">
        <v>9599597595</v>
      </c>
      <c r="V88" s="15" t="s">
        <v>64</v>
      </c>
      <c r="W88" s="29" t="str">
        <f t="shared" si="1"/>
        <v>Sne006Pu</v>
      </c>
    </row>
    <row r="89" spans="1:23" x14ac:dyDescent="0.5">
      <c r="A89" s="17" t="s">
        <v>542</v>
      </c>
      <c r="B89" s="17" t="s">
        <v>100</v>
      </c>
      <c r="C89" s="17" t="s">
        <v>169</v>
      </c>
      <c r="D89" s="17" t="s">
        <v>543</v>
      </c>
      <c r="E89" s="17" t="s">
        <v>544</v>
      </c>
      <c r="F89" s="15" t="s">
        <v>103</v>
      </c>
      <c r="G89" s="17" t="s">
        <v>28</v>
      </c>
      <c r="H89" s="17" t="s">
        <v>545</v>
      </c>
      <c r="I89" s="17" t="s">
        <v>138</v>
      </c>
      <c r="J89" s="17" t="s">
        <v>106</v>
      </c>
      <c r="K89" s="17" t="s">
        <v>32</v>
      </c>
      <c r="L89" s="17" t="s">
        <v>174</v>
      </c>
      <c r="M89" s="17">
        <v>8</v>
      </c>
      <c r="N89" s="26">
        <v>8500</v>
      </c>
      <c r="O89" s="17">
        <v>20</v>
      </c>
      <c r="P89" s="26">
        <v>54400</v>
      </c>
      <c r="Q89" s="17">
        <v>3</v>
      </c>
      <c r="R89" s="17" t="s">
        <v>79</v>
      </c>
      <c r="S89" s="17" t="s">
        <v>115</v>
      </c>
      <c r="T89" s="15" t="s">
        <v>144</v>
      </c>
      <c r="U89" s="17">
        <v>9230007509</v>
      </c>
      <c r="V89" s="17" t="s">
        <v>64</v>
      </c>
      <c r="W89" s="29" t="str">
        <f t="shared" si="1"/>
        <v>Pri002Ah</v>
      </c>
    </row>
    <row r="90" spans="1:23" x14ac:dyDescent="0.5">
      <c r="A90" s="15" t="s">
        <v>547</v>
      </c>
      <c r="B90" s="15" t="s">
        <v>327</v>
      </c>
      <c r="C90" s="15" t="s">
        <v>40</v>
      </c>
      <c r="D90" s="15" t="s">
        <v>548</v>
      </c>
      <c r="E90" s="15" t="s">
        <v>549</v>
      </c>
      <c r="F90" s="15" t="s">
        <v>394</v>
      </c>
      <c r="G90" s="15" t="s">
        <v>76</v>
      </c>
      <c r="H90" s="15" t="s">
        <v>550</v>
      </c>
      <c r="I90" s="15" t="s">
        <v>138</v>
      </c>
      <c r="J90" s="15" t="s">
        <v>551</v>
      </c>
      <c r="K90" s="15" t="s">
        <v>46</v>
      </c>
      <c r="L90" s="15" t="s">
        <v>47</v>
      </c>
      <c r="M90" s="15">
        <v>6</v>
      </c>
      <c r="N90" s="25">
        <v>12000</v>
      </c>
      <c r="O90" s="15">
        <v>5</v>
      </c>
      <c r="P90" s="25">
        <v>68400</v>
      </c>
      <c r="Q90" s="15">
        <v>4</v>
      </c>
      <c r="R90" s="15" t="s">
        <v>48</v>
      </c>
      <c r="S90" s="15" t="s">
        <v>35</v>
      </c>
      <c r="T90" s="15" t="s">
        <v>332</v>
      </c>
      <c r="U90" s="15">
        <v>9823428025</v>
      </c>
      <c r="V90" s="15" t="s">
        <v>38</v>
      </c>
      <c r="W90" s="29" t="str">
        <f t="shared" si="1"/>
        <v>Ami001Ah</v>
      </c>
    </row>
    <row r="91" spans="1:23" x14ac:dyDescent="0.5">
      <c r="A91" s="17" t="s">
        <v>553</v>
      </c>
      <c r="B91" s="17" t="s">
        <v>23</v>
      </c>
      <c r="C91" s="17" t="s">
        <v>169</v>
      </c>
      <c r="D91" s="17" t="s">
        <v>554</v>
      </c>
      <c r="E91" s="17" t="s">
        <v>404</v>
      </c>
      <c r="F91" s="15" t="s">
        <v>27</v>
      </c>
      <c r="G91" s="17" t="s">
        <v>28</v>
      </c>
      <c r="H91" s="17" t="s">
        <v>555</v>
      </c>
      <c r="I91" s="17" t="s">
        <v>114</v>
      </c>
      <c r="J91" s="17" t="s">
        <v>106</v>
      </c>
      <c r="K91" s="17" t="s">
        <v>32</v>
      </c>
      <c r="L91" s="17" t="s">
        <v>174</v>
      </c>
      <c r="M91" s="17">
        <v>15</v>
      </c>
      <c r="N91" s="26">
        <v>8500</v>
      </c>
      <c r="O91" s="17">
        <v>0</v>
      </c>
      <c r="P91" s="26">
        <v>127500</v>
      </c>
      <c r="Q91" s="17">
        <v>4</v>
      </c>
      <c r="R91" s="17" t="s">
        <v>48</v>
      </c>
      <c r="S91" s="17" t="s">
        <v>35</v>
      </c>
      <c r="T91" s="15" t="s">
        <v>50</v>
      </c>
      <c r="U91" s="17">
        <v>9505048912</v>
      </c>
      <c r="V91" s="17" t="s">
        <v>69</v>
      </c>
      <c r="W91" s="29" t="str">
        <f t="shared" si="1"/>
        <v>Kav008Pu</v>
      </c>
    </row>
    <row r="92" spans="1:23" x14ac:dyDescent="0.5">
      <c r="A92" s="15" t="s">
        <v>557</v>
      </c>
      <c r="B92" s="15" t="s">
        <v>53</v>
      </c>
      <c r="C92" s="15" t="s">
        <v>72</v>
      </c>
      <c r="D92" s="15" t="s">
        <v>558</v>
      </c>
      <c r="E92" s="15" t="s">
        <v>377</v>
      </c>
      <c r="F92" s="15" t="s">
        <v>163</v>
      </c>
      <c r="G92" s="15" t="s">
        <v>28</v>
      </c>
      <c r="H92" s="15" t="s">
        <v>559</v>
      </c>
      <c r="I92" s="15" t="s">
        <v>212</v>
      </c>
      <c r="J92" s="15" t="s">
        <v>45</v>
      </c>
      <c r="K92" s="15" t="s">
        <v>46</v>
      </c>
      <c r="L92" s="15" t="s">
        <v>78</v>
      </c>
      <c r="M92" s="15">
        <v>5</v>
      </c>
      <c r="N92" s="25">
        <v>1200</v>
      </c>
      <c r="O92" s="15">
        <v>15</v>
      </c>
      <c r="P92" s="25">
        <v>5100</v>
      </c>
      <c r="Q92" s="15">
        <v>1</v>
      </c>
      <c r="R92" s="15" t="s">
        <v>48</v>
      </c>
      <c r="S92" s="15" t="s">
        <v>35</v>
      </c>
      <c r="T92" s="15" t="s">
        <v>62</v>
      </c>
      <c r="U92" s="15">
        <v>9508068393</v>
      </c>
      <c r="V92" s="15" t="s">
        <v>69</v>
      </c>
      <c r="W92" s="29" t="str">
        <f t="shared" si="1"/>
        <v>Poo010Ja</v>
      </c>
    </row>
    <row r="93" spans="1:23" x14ac:dyDescent="0.5">
      <c r="A93" s="17" t="s">
        <v>561</v>
      </c>
      <c r="B93" s="17" t="s">
        <v>53</v>
      </c>
      <c r="C93" s="17" t="s">
        <v>222</v>
      </c>
      <c r="D93" s="17" t="s">
        <v>562</v>
      </c>
      <c r="E93" s="17" t="s">
        <v>563</v>
      </c>
      <c r="F93" s="15" t="s">
        <v>163</v>
      </c>
      <c r="G93" s="17" t="s">
        <v>28</v>
      </c>
      <c r="H93" s="17" t="s">
        <v>564</v>
      </c>
      <c r="I93" s="17" t="s">
        <v>30</v>
      </c>
      <c r="J93" s="17" t="s">
        <v>31</v>
      </c>
      <c r="K93" s="17" t="s">
        <v>122</v>
      </c>
      <c r="L93" s="17" t="s">
        <v>227</v>
      </c>
      <c r="M93" s="17">
        <v>4</v>
      </c>
      <c r="N93" s="26">
        <v>20</v>
      </c>
      <c r="O93" s="17">
        <v>0</v>
      </c>
      <c r="P93" s="26">
        <v>80</v>
      </c>
      <c r="Q93" s="17">
        <v>4</v>
      </c>
      <c r="R93" s="17" t="s">
        <v>48</v>
      </c>
      <c r="S93" s="17" t="s">
        <v>49</v>
      </c>
      <c r="T93" s="15" t="s">
        <v>62</v>
      </c>
      <c r="U93" s="17">
        <v>9785807771</v>
      </c>
      <c r="V93" s="17" t="s">
        <v>38</v>
      </c>
      <c r="W93" s="29" t="str">
        <f t="shared" si="1"/>
        <v>Poo010Hy</v>
      </c>
    </row>
    <row r="94" spans="1:23" x14ac:dyDescent="0.5">
      <c r="A94" s="15" t="s">
        <v>566</v>
      </c>
      <c r="B94" s="15" t="s">
        <v>23</v>
      </c>
      <c r="C94" s="15" t="s">
        <v>222</v>
      </c>
      <c r="D94" s="15" t="s">
        <v>567</v>
      </c>
      <c r="E94" s="15" t="s">
        <v>568</v>
      </c>
      <c r="F94" s="15" t="s">
        <v>27</v>
      </c>
      <c r="G94" s="15" t="s">
        <v>28</v>
      </c>
      <c r="H94" s="15" t="s">
        <v>569</v>
      </c>
      <c r="I94" s="15" t="s">
        <v>59</v>
      </c>
      <c r="J94" s="15" t="s">
        <v>31</v>
      </c>
      <c r="K94" s="15" t="s">
        <v>122</v>
      </c>
      <c r="L94" s="15" t="s">
        <v>227</v>
      </c>
      <c r="M94" s="15">
        <v>10</v>
      </c>
      <c r="N94" s="25">
        <v>20</v>
      </c>
      <c r="O94" s="15">
        <v>0</v>
      </c>
      <c r="P94" s="25">
        <v>200</v>
      </c>
      <c r="Q94" s="15">
        <v>3</v>
      </c>
      <c r="R94" s="15" t="s">
        <v>34</v>
      </c>
      <c r="S94" s="15" t="s">
        <v>151</v>
      </c>
      <c r="T94" s="15" t="s">
        <v>50</v>
      </c>
      <c r="U94" s="15">
        <v>9215250979</v>
      </c>
      <c r="V94" s="15" t="s">
        <v>64</v>
      </c>
      <c r="W94" s="29" t="str">
        <f t="shared" si="1"/>
        <v>Kav008Be</v>
      </c>
    </row>
    <row r="95" spans="1:23" x14ac:dyDescent="0.5">
      <c r="A95" s="17" t="s">
        <v>571</v>
      </c>
      <c r="B95" s="17" t="s">
        <v>168</v>
      </c>
      <c r="C95" s="17" t="s">
        <v>24</v>
      </c>
      <c r="D95" s="17" t="s">
        <v>572</v>
      </c>
      <c r="E95" s="17" t="s">
        <v>573</v>
      </c>
      <c r="F95" s="15" t="s">
        <v>361</v>
      </c>
      <c r="G95" s="17" t="s">
        <v>28</v>
      </c>
      <c r="H95" s="17" t="s">
        <v>574</v>
      </c>
      <c r="I95" s="17" t="s">
        <v>44</v>
      </c>
      <c r="J95" s="17" t="s">
        <v>45</v>
      </c>
      <c r="K95" s="17" t="s">
        <v>32</v>
      </c>
      <c r="L95" s="17" t="s">
        <v>33</v>
      </c>
      <c r="M95" s="17">
        <v>18</v>
      </c>
      <c r="N95" s="26">
        <v>2200</v>
      </c>
      <c r="O95" s="17">
        <v>10</v>
      </c>
      <c r="P95" s="26">
        <v>35640</v>
      </c>
      <c r="Q95" s="17">
        <v>3</v>
      </c>
      <c r="R95" s="17" t="s">
        <v>34</v>
      </c>
      <c r="S95" s="17" t="s">
        <v>35</v>
      </c>
      <c r="T95" s="15" t="s">
        <v>175</v>
      </c>
      <c r="U95" s="17">
        <v>9845884906</v>
      </c>
      <c r="V95" s="17" t="s">
        <v>69</v>
      </c>
      <c r="W95" s="29" t="str">
        <f t="shared" si="1"/>
        <v>Ani004De</v>
      </c>
    </row>
    <row r="96" spans="1:23" x14ac:dyDescent="0.5">
      <c r="A96" s="15" t="s">
        <v>576</v>
      </c>
      <c r="B96" s="15" t="s">
        <v>327</v>
      </c>
      <c r="C96" s="15" t="s">
        <v>92</v>
      </c>
      <c r="D96" s="15" t="s">
        <v>577</v>
      </c>
      <c r="E96" s="15" t="s">
        <v>578</v>
      </c>
      <c r="F96" s="15" t="s">
        <v>394</v>
      </c>
      <c r="G96" s="15" t="s">
        <v>76</v>
      </c>
      <c r="H96" s="15" t="s">
        <v>579</v>
      </c>
      <c r="I96" s="15" t="s">
        <v>44</v>
      </c>
      <c r="J96" s="15" t="s">
        <v>45</v>
      </c>
      <c r="K96" s="15" t="s">
        <v>32</v>
      </c>
      <c r="L96" s="15" t="s">
        <v>97</v>
      </c>
      <c r="M96" s="15">
        <v>7</v>
      </c>
      <c r="N96" s="25">
        <v>3500</v>
      </c>
      <c r="O96" s="15">
        <v>15</v>
      </c>
      <c r="P96" s="25">
        <v>20825</v>
      </c>
      <c r="Q96" s="15">
        <v>3</v>
      </c>
      <c r="R96" s="15" t="s">
        <v>48</v>
      </c>
      <c r="S96" s="15" t="s">
        <v>49</v>
      </c>
      <c r="T96" s="15" t="s">
        <v>332</v>
      </c>
      <c r="U96" s="15">
        <v>9393097397</v>
      </c>
      <c r="V96" s="15" t="s">
        <v>38</v>
      </c>
      <c r="W96" s="29" t="str">
        <f t="shared" si="1"/>
        <v>Ami001De</v>
      </c>
    </row>
    <row r="97" spans="1:23" x14ac:dyDescent="0.5">
      <c r="A97" s="17" t="s">
        <v>581</v>
      </c>
      <c r="B97" s="17" t="s">
        <v>100</v>
      </c>
      <c r="C97" s="17" t="s">
        <v>169</v>
      </c>
      <c r="D97" s="17" t="s">
        <v>582</v>
      </c>
      <c r="E97" s="17" t="s">
        <v>583</v>
      </c>
      <c r="F97" s="15" t="s">
        <v>103</v>
      </c>
      <c r="G97" s="17" t="s">
        <v>28</v>
      </c>
      <c r="H97" s="17" t="s">
        <v>584</v>
      </c>
      <c r="I97" s="17" t="s">
        <v>294</v>
      </c>
      <c r="J97" s="17" t="s">
        <v>295</v>
      </c>
      <c r="K97" s="17" t="s">
        <v>32</v>
      </c>
      <c r="L97" s="17" t="s">
        <v>174</v>
      </c>
      <c r="M97" s="17">
        <v>19</v>
      </c>
      <c r="N97" s="26">
        <v>8500</v>
      </c>
      <c r="O97" s="17">
        <v>15</v>
      </c>
      <c r="P97" s="26">
        <v>137275</v>
      </c>
      <c r="Q97" s="17">
        <v>4</v>
      </c>
      <c r="R97" s="17" t="s">
        <v>79</v>
      </c>
      <c r="S97" s="17" t="s">
        <v>151</v>
      </c>
      <c r="T97" s="15" t="s">
        <v>144</v>
      </c>
      <c r="U97" s="17">
        <v>9958032109</v>
      </c>
      <c r="V97" s="17" t="s">
        <v>64</v>
      </c>
      <c r="W97" s="29" t="str">
        <f t="shared" si="1"/>
        <v>Pri002Ko</v>
      </c>
    </row>
    <row r="98" spans="1:23" x14ac:dyDescent="0.5">
      <c r="A98" s="15" t="s">
        <v>586</v>
      </c>
      <c r="B98" s="15" t="s">
        <v>251</v>
      </c>
      <c r="C98" s="15" t="s">
        <v>40</v>
      </c>
      <c r="D98" s="15" t="s">
        <v>587</v>
      </c>
      <c r="E98" s="15" t="s">
        <v>588</v>
      </c>
      <c r="F98" s="15" t="s">
        <v>254</v>
      </c>
      <c r="G98" s="15" t="s">
        <v>28</v>
      </c>
      <c r="H98" s="15" t="s">
        <v>589</v>
      </c>
      <c r="I98" s="15" t="s">
        <v>138</v>
      </c>
      <c r="J98" s="15" t="s">
        <v>106</v>
      </c>
      <c r="K98" s="15" t="s">
        <v>46</v>
      </c>
      <c r="L98" s="15" t="s">
        <v>47</v>
      </c>
      <c r="M98" s="15">
        <v>13</v>
      </c>
      <c r="N98" s="25">
        <v>12000</v>
      </c>
      <c r="O98" s="15">
        <v>15</v>
      </c>
      <c r="P98" s="25">
        <v>132600</v>
      </c>
      <c r="Q98" s="15">
        <v>4</v>
      </c>
      <c r="R98" s="15" t="s">
        <v>34</v>
      </c>
      <c r="S98" s="15" t="s">
        <v>49</v>
      </c>
      <c r="T98" s="15" t="s">
        <v>256</v>
      </c>
      <c r="U98" s="15">
        <v>9755082957</v>
      </c>
      <c r="V98" s="15" t="s">
        <v>38</v>
      </c>
      <c r="W98" s="29" t="str">
        <f t="shared" si="1"/>
        <v>Sne006Ah</v>
      </c>
    </row>
    <row r="99" spans="1:23" x14ac:dyDescent="0.5">
      <c r="A99" s="17" t="s">
        <v>591</v>
      </c>
      <c r="B99" s="17" t="s">
        <v>327</v>
      </c>
      <c r="C99" s="17" t="s">
        <v>222</v>
      </c>
      <c r="D99" s="17" t="s">
        <v>592</v>
      </c>
      <c r="E99" s="17" t="s">
        <v>398</v>
      </c>
      <c r="F99" s="15" t="s">
        <v>394</v>
      </c>
      <c r="G99" s="17" t="s">
        <v>76</v>
      </c>
      <c r="H99" s="17" t="s">
        <v>593</v>
      </c>
      <c r="I99" s="17" t="s">
        <v>114</v>
      </c>
      <c r="J99" s="17" t="s">
        <v>106</v>
      </c>
      <c r="K99" s="17" t="s">
        <v>122</v>
      </c>
      <c r="L99" s="17" t="s">
        <v>227</v>
      </c>
      <c r="M99" s="17">
        <v>7</v>
      </c>
      <c r="N99" s="26">
        <v>20</v>
      </c>
      <c r="O99" s="17">
        <v>0</v>
      </c>
      <c r="P99" s="26">
        <v>140</v>
      </c>
      <c r="Q99" s="17">
        <v>1</v>
      </c>
      <c r="R99" s="17" t="s">
        <v>79</v>
      </c>
      <c r="S99" s="17" t="s">
        <v>151</v>
      </c>
      <c r="T99" s="15" t="s">
        <v>332</v>
      </c>
      <c r="U99" s="17">
        <v>9872235856</v>
      </c>
      <c r="V99" s="17" t="s">
        <v>69</v>
      </c>
      <c r="W99" s="29" t="str">
        <f t="shared" si="1"/>
        <v>Ami001Pu</v>
      </c>
    </row>
    <row r="100" spans="1:23" x14ac:dyDescent="0.5">
      <c r="A100" s="15" t="s">
        <v>595</v>
      </c>
      <c r="B100" s="15" t="s">
        <v>168</v>
      </c>
      <c r="C100" s="15" t="s">
        <v>184</v>
      </c>
      <c r="D100" s="15" t="s">
        <v>596</v>
      </c>
      <c r="E100" s="15" t="s">
        <v>597</v>
      </c>
      <c r="F100" s="15" t="s">
        <v>361</v>
      </c>
      <c r="G100" s="15" t="s">
        <v>28</v>
      </c>
      <c r="H100" s="15" t="s">
        <v>598</v>
      </c>
      <c r="I100" s="15" t="s">
        <v>44</v>
      </c>
      <c r="J100" s="15" t="s">
        <v>45</v>
      </c>
      <c r="K100" s="15" t="s">
        <v>46</v>
      </c>
      <c r="L100" s="15" t="s">
        <v>189</v>
      </c>
      <c r="M100" s="15">
        <v>5</v>
      </c>
      <c r="N100" s="25">
        <v>700</v>
      </c>
      <c r="O100" s="15">
        <v>15</v>
      </c>
      <c r="P100" s="25">
        <v>999999</v>
      </c>
      <c r="Q100" s="15">
        <v>4</v>
      </c>
      <c r="R100" s="15" t="s">
        <v>79</v>
      </c>
      <c r="S100" s="15" t="s">
        <v>35</v>
      </c>
      <c r="T100" s="15" t="s">
        <v>175</v>
      </c>
      <c r="U100" s="15">
        <v>9335138816</v>
      </c>
      <c r="V100" s="15" t="s">
        <v>64</v>
      </c>
      <c r="W100" s="29" t="str">
        <f t="shared" si="1"/>
        <v>Ani004De</v>
      </c>
    </row>
    <row r="101" spans="1:23" x14ac:dyDescent="0.5">
      <c r="A101" s="17" t="s">
        <v>600</v>
      </c>
      <c r="B101" s="17" t="s">
        <v>83</v>
      </c>
      <c r="C101" s="17" t="s">
        <v>259</v>
      </c>
      <c r="D101" s="17" t="s">
        <v>583</v>
      </c>
      <c r="E101" s="17" t="s">
        <v>601</v>
      </c>
      <c r="F101" s="15" t="s">
        <v>180</v>
      </c>
      <c r="G101" s="17" t="s">
        <v>76</v>
      </c>
      <c r="H101" s="17" t="s">
        <v>602</v>
      </c>
      <c r="I101" s="17" t="s">
        <v>59</v>
      </c>
      <c r="J101" s="17" t="s">
        <v>31</v>
      </c>
      <c r="K101" s="17" t="s">
        <v>122</v>
      </c>
      <c r="L101" s="17" t="s">
        <v>263</v>
      </c>
      <c r="M101" s="17">
        <v>9</v>
      </c>
      <c r="N101" s="26">
        <v>45</v>
      </c>
      <c r="O101" s="17">
        <v>5</v>
      </c>
      <c r="P101" s="26">
        <v>384.75</v>
      </c>
      <c r="Q101" s="17">
        <v>3</v>
      </c>
      <c r="R101" s="17" t="s">
        <v>34</v>
      </c>
      <c r="S101" s="17" t="s">
        <v>35</v>
      </c>
      <c r="T101" s="15" t="s">
        <v>89</v>
      </c>
      <c r="U101" s="17">
        <v>9750365609</v>
      </c>
      <c r="V101" s="17" t="s">
        <v>38</v>
      </c>
      <c r="W101" s="29" t="str">
        <f t="shared" si="1"/>
        <v>Arj007Be</v>
      </c>
    </row>
    <row r="102" spans="1:23" x14ac:dyDescent="0.5">
      <c r="A102" s="15" t="s">
        <v>604</v>
      </c>
      <c r="B102" s="15" t="s">
        <v>127</v>
      </c>
      <c r="C102" s="15" t="s">
        <v>118</v>
      </c>
      <c r="D102" s="15" t="s">
        <v>605</v>
      </c>
      <c r="E102" s="15" t="s">
        <v>606</v>
      </c>
      <c r="F102" s="15" t="s">
        <v>200</v>
      </c>
      <c r="G102" s="15" t="s">
        <v>76</v>
      </c>
      <c r="H102" s="15" t="s">
        <v>607</v>
      </c>
      <c r="I102" s="15" t="s">
        <v>294</v>
      </c>
      <c r="J102" s="15" t="s">
        <v>295</v>
      </c>
      <c r="K102" s="15" t="s">
        <v>122</v>
      </c>
      <c r="L102" s="15" t="s">
        <v>123</v>
      </c>
      <c r="M102" s="15">
        <v>19</v>
      </c>
      <c r="N102" s="25">
        <v>60</v>
      </c>
      <c r="O102" s="15">
        <v>10</v>
      </c>
      <c r="P102" s="25">
        <v>1026</v>
      </c>
      <c r="Q102" s="15">
        <v>5</v>
      </c>
      <c r="R102" s="15" t="s">
        <v>48</v>
      </c>
      <c r="S102" s="15" t="s">
        <v>115</v>
      </c>
      <c r="T102" s="15" t="s">
        <v>132</v>
      </c>
      <c r="U102" s="15">
        <v>9736812737</v>
      </c>
      <c r="V102" s="15" t="s">
        <v>38</v>
      </c>
      <c r="W102" s="29" t="str">
        <f t="shared" si="1"/>
        <v>Roh003Ko</v>
      </c>
    </row>
    <row r="103" spans="1:23" x14ac:dyDescent="0.5">
      <c r="A103" s="17" t="s">
        <v>609</v>
      </c>
      <c r="B103" s="17" t="s">
        <v>327</v>
      </c>
      <c r="C103" s="17" t="s">
        <v>184</v>
      </c>
      <c r="D103" s="17" t="s">
        <v>610</v>
      </c>
      <c r="E103" s="17" t="s">
        <v>611</v>
      </c>
      <c r="F103" s="15" t="s">
        <v>394</v>
      </c>
      <c r="G103" s="17" t="s">
        <v>76</v>
      </c>
      <c r="H103" s="17" t="s">
        <v>612</v>
      </c>
      <c r="I103" s="17" t="s">
        <v>138</v>
      </c>
      <c r="J103" s="17" t="s">
        <v>106</v>
      </c>
      <c r="K103" s="17" t="s">
        <v>46</v>
      </c>
      <c r="L103" s="17" t="s">
        <v>189</v>
      </c>
      <c r="M103" s="17">
        <v>4</v>
      </c>
      <c r="N103" s="26">
        <v>700</v>
      </c>
      <c r="O103" s="17">
        <v>5</v>
      </c>
      <c r="P103" s="26">
        <v>2660</v>
      </c>
      <c r="Q103" s="17">
        <v>3</v>
      </c>
      <c r="R103" s="17" t="s">
        <v>48</v>
      </c>
      <c r="S103" s="17" t="s">
        <v>61</v>
      </c>
      <c r="T103" s="15" t="s">
        <v>332</v>
      </c>
      <c r="U103" s="17">
        <v>9271420931</v>
      </c>
      <c r="V103" s="17" t="s">
        <v>38</v>
      </c>
      <c r="W103" s="29" t="str">
        <f t="shared" si="1"/>
        <v>Ami001Ah</v>
      </c>
    </row>
    <row r="104" spans="1:23" x14ac:dyDescent="0.5">
      <c r="A104" s="15" t="s">
        <v>614</v>
      </c>
      <c r="B104" s="15" t="s">
        <v>327</v>
      </c>
      <c r="C104" s="15" t="s">
        <v>92</v>
      </c>
      <c r="D104" s="15" t="s">
        <v>583</v>
      </c>
      <c r="E104" s="15" t="s">
        <v>615</v>
      </c>
      <c r="F104" s="15" t="s">
        <v>394</v>
      </c>
      <c r="G104" s="15" t="s">
        <v>76</v>
      </c>
      <c r="H104" s="15" t="s">
        <v>616</v>
      </c>
      <c r="I104" s="15" t="s">
        <v>114</v>
      </c>
      <c r="J104" s="15" t="s">
        <v>106</v>
      </c>
      <c r="K104" s="15" t="s">
        <v>32</v>
      </c>
      <c r="L104" s="15" t="s">
        <v>97</v>
      </c>
      <c r="M104" s="15">
        <v>16</v>
      </c>
      <c r="N104" s="25">
        <v>3500</v>
      </c>
      <c r="O104" s="15">
        <v>0</v>
      </c>
      <c r="P104" s="25">
        <v>56000</v>
      </c>
      <c r="Q104" s="15">
        <v>2</v>
      </c>
      <c r="R104" s="15" t="s">
        <v>79</v>
      </c>
      <c r="S104" s="15" t="s">
        <v>49</v>
      </c>
      <c r="T104" s="15" t="s">
        <v>332</v>
      </c>
      <c r="U104" s="15">
        <v>9781411370</v>
      </c>
      <c r="V104" s="15" t="s">
        <v>38</v>
      </c>
      <c r="W104" s="29" t="str">
        <f t="shared" si="1"/>
        <v>Ami001Pu</v>
      </c>
    </row>
    <row r="105" spans="1:23" x14ac:dyDescent="0.5">
      <c r="A105" s="17" t="s">
        <v>618</v>
      </c>
      <c r="B105" s="17" t="s">
        <v>251</v>
      </c>
      <c r="C105" s="17" t="s">
        <v>259</v>
      </c>
      <c r="D105" s="17" t="s">
        <v>619</v>
      </c>
      <c r="E105" s="17" t="s">
        <v>620</v>
      </c>
      <c r="F105" s="15" t="s">
        <v>254</v>
      </c>
      <c r="G105" s="17" t="s">
        <v>28</v>
      </c>
      <c r="H105" s="17" t="s">
        <v>621</v>
      </c>
      <c r="I105" s="17" t="s">
        <v>59</v>
      </c>
      <c r="J105" s="17" t="s">
        <v>31</v>
      </c>
      <c r="K105" s="17" t="s">
        <v>122</v>
      </c>
      <c r="L105" s="17" t="s">
        <v>263</v>
      </c>
      <c r="M105" s="17">
        <v>5</v>
      </c>
      <c r="N105" s="26">
        <v>45</v>
      </c>
      <c r="O105" s="17">
        <v>20</v>
      </c>
      <c r="P105" s="26">
        <v>180</v>
      </c>
      <c r="Q105" s="17">
        <v>3</v>
      </c>
      <c r="R105" s="17" t="s">
        <v>79</v>
      </c>
      <c r="S105" s="17" t="s">
        <v>35</v>
      </c>
      <c r="T105" s="15" t="s">
        <v>256</v>
      </c>
      <c r="U105" s="17">
        <v>9584152818</v>
      </c>
      <c r="V105" s="17" t="s">
        <v>38</v>
      </c>
      <c r="W105" s="29" t="str">
        <f t="shared" si="1"/>
        <v>Sne006Be</v>
      </c>
    </row>
    <row r="106" spans="1:23" x14ac:dyDescent="0.5">
      <c r="A106" s="15" t="s">
        <v>623</v>
      </c>
      <c r="B106" s="15" t="s">
        <v>83</v>
      </c>
      <c r="C106" s="15" t="s">
        <v>222</v>
      </c>
      <c r="D106" s="15" t="s">
        <v>624</v>
      </c>
      <c r="E106" s="15" t="s">
        <v>525</v>
      </c>
      <c r="F106" s="15" t="s">
        <v>180</v>
      </c>
      <c r="G106" s="15" t="s">
        <v>76</v>
      </c>
      <c r="H106" s="15" t="s">
        <v>625</v>
      </c>
      <c r="I106" s="15" t="s">
        <v>105</v>
      </c>
      <c r="J106" s="15" t="s">
        <v>106</v>
      </c>
      <c r="K106" s="15" t="s">
        <v>122</v>
      </c>
      <c r="L106" s="15" t="s">
        <v>227</v>
      </c>
      <c r="M106" s="15">
        <v>9</v>
      </c>
      <c r="N106" s="25">
        <v>20</v>
      </c>
      <c r="O106" s="15">
        <v>10</v>
      </c>
      <c r="P106" s="25">
        <v>162</v>
      </c>
      <c r="Q106" s="15">
        <v>4</v>
      </c>
      <c r="R106" s="15" t="s">
        <v>79</v>
      </c>
      <c r="S106" s="15" t="s">
        <v>35</v>
      </c>
      <c r="T106" s="15" t="s">
        <v>89</v>
      </c>
      <c r="U106" s="15">
        <v>9507986836</v>
      </c>
      <c r="V106" s="15" t="s">
        <v>64</v>
      </c>
      <c r="W106" s="29" t="str">
        <f t="shared" si="1"/>
        <v>Arj007Mu</v>
      </c>
    </row>
    <row r="107" spans="1:23" x14ac:dyDescent="0.5">
      <c r="A107" s="17" t="s">
        <v>627</v>
      </c>
      <c r="B107" s="17" t="s">
        <v>53</v>
      </c>
      <c r="C107" s="17" t="s">
        <v>72</v>
      </c>
      <c r="D107" s="17" t="s">
        <v>628</v>
      </c>
      <c r="E107" s="17" t="s">
        <v>431</v>
      </c>
      <c r="F107" s="15" t="s">
        <v>163</v>
      </c>
      <c r="G107" s="17" t="s">
        <v>28</v>
      </c>
      <c r="H107" s="17" t="s">
        <v>629</v>
      </c>
      <c r="I107" s="17" t="s">
        <v>44</v>
      </c>
      <c r="J107" s="17" t="s">
        <v>45</v>
      </c>
      <c r="K107" s="17" t="s">
        <v>46</v>
      </c>
      <c r="L107" s="17" t="s">
        <v>78</v>
      </c>
      <c r="M107" s="17">
        <v>9</v>
      </c>
      <c r="N107" s="26">
        <v>1200</v>
      </c>
      <c r="O107" s="17">
        <v>5</v>
      </c>
      <c r="P107" s="26">
        <v>10260</v>
      </c>
      <c r="Q107" s="17">
        <v>3</v>
      </c>
      <c r="R107" s="17" t="s">
        <v>88</v>
      </c>
      <c r="S107" s="17" t="s">
        <v>35</v>
      </c>
      <c r="T107" s="15" t="s">
        <v>62</v>
      </c>
      <c r="U107" s="17">
        <v>9518249687</v>
      </c>
      <c r="V107" s="17" t="s">
        <v>64</v>
      </c>
      <c r="W107" s="29" t="str">
        <f t="shared" si="1"/>
        <v>Poo010De</v>
      </c>
    </row>
    <row r="108" spans="1:23" x14ac:dyDescent="0.5">
      <c r="A108" s="15" t="s">
        <v>631</v>
      </c>
      <c r="B108" s="15" t="s">
        <v>100</v>
      </c>
      <c r="C108" s="15" t="s">
        <v>92</v>
      </c>
      <c r="D108" s="15" t="s">
        <v>387</v>
      </c>
      <c r="E108" s="15" t="s">
        <v>632</v>
      </c>
      <c r="F108" s="15" t="s">
        <v>103</v>
      </c>
      <c r="G108" s="15" t="s">
        <v>28</v>
      </c>
      <c r="H108" s="15" t="s">
        <v>633</v>
      </c>
      <c r="I108" s="15" t="s">
        <v>44</v>
      </c>
      <c r="J108" s="15" t="s">
        <v>45</v>
      </c>
      <c r="K108" s="15" t="s">
        <v>32</v>
      </c>
      <c r="L108" s="15" t="s">
        <v>97</v>
      </c>
      <c r="M108" s="15">
        <v>3</v>
      </c>
      <c r="N108" s="25">
        <v>3500</v>
      </c>
      <c r="O108" s="15">
        <v>10</v>
      </c>
      <c r="P108" s="25">
        <v>9450</v>
      </c>
      <c r="Q108" s="15">
        <v>2</v>
      </c>
      <c r="R108" s="15" t="s">
        <v>79</v>
      </c>
      <c r="S108" s="15" t="s">
        <v>151</v>
      </c>
      <c r="T108" s="15" t="s">
        <v>144</v>
      </c>
      <c r="U108" s="15">
        <v>9179328207</v>
      </c>
      <c r="V108" s="15" t="s">
        <v>69</v>
      </c>
      <c r="W108" s="29" t="str">
        <f t="shared" si="1"/>
        <v>Pri002De</v>
      </c>
    </row>
    <row r="109" spans="1:23" x14ac:dyDescent="0.5">
      <c r="A109" s="17" t="s">
        <v>635</v>
      </c>
      <c r="B109" s="17" t="s">
        <v>221</v>
      </c>
      <c r="C109" s="17" t="s">
        <v>72</v>
      </c>
      <c r="D109" s="17" t="s">
        <v>241</v>
      </c>
      <c r="E109" s="17" t="s">
        <v>636</v>
      </c>
      <c r="F109" s="15" t="s">
        <v>225</v>
      </c>
      <c r="G109" s="17" t="s">
        <v>76</v>
      </c>
      <c r="H109" s="17" t="s">
        <v>637</v>
      </c>
      <c r="I109" s="17" t="s">
        <v>105</v>
      </c>
      <c r="J109" s="17" t="s">
        <v>106</v>
      </c>
      <c r="K109" s="17" t="s">
        <v>46</v>
      </c>
      <c r="L109" s="17" t="s">
        <v>78</v>
      </c>
      <c r="M109" s="17">
        <v>6</v>
      </c>
      <c r="N109" s="26">
        <v>1200</v>
      </c>
      <c r="O109" s="17">
        <v>15</v>
      </c>
      <c r="P109" s="26">
        <v>6120</v>
      </c>
      <c r="Q109" s="17">
        <v>4</v>
      </c>
      <c r="R109" s="17" t="s">
        <v>88</v>
      </c>
      <c r="S109" s="17" t="s">
        <v>35</v>
      </c>
      <c r="T109" s="15" t="s">
        <v>228</v>
      </c>
      <c r="U109" s="17">
        <v>9778490728</v>
      </c>
      <c r="V109" s="17" t="s">
        <v>69</v>
      </c>
      <c r="W109" s="29" t="str">
        <f t="shared" si="1"/>
        <v>Vik005Mu</v>
      </c>
    </row>
    <row r="110" spans="1:23" x14ac:dyDescent="0.5">
      <c r="A110" s="15" t="s">
        <v>639</v>
      </c>
      <c r="B110" s="15" t="s">
        <v>83</v>
      </c>
      <c r="C110" s="15" t="s">
        <v>72</v>
      </c>
      <c r="D110" s="15" t="s">
        <v>640</v>
      </c>
      <c r="E110" s="15" t="s">
        <v>641</v>
      </c>
      <c r="F110" s="15" t="s">
        <v>180</v>
      </c>
      <c r="G110" s="15" t="s">
        <v>76</v>
      </c>
      <c r="H110" s="15" t="s">
        <v>642</v>
      </c>
      <c r="I110" s="15" t="s">
        <v>212</v>
      </c>
      <c r="J110" s="15" t="s">
        <v>45</v>
      </c>
      <c r="K110" s="15" t="s">
        <v>46</v>
      </c>
      <c r="L110" s="15" t="s">
        <v>78</v>
      </c>
      <c r="M110" s="15">
        <v>17</v>
      </c>
      <c r="N110" s="25">
        <v>1200</v>
      </c>
      <c r="O110" s="15">
        <v>15</v>
      </c>
      <c r="P110" s="25">
        <v>17340</v>
      </c>
      <c r="Q110" s="15">
        <v>1</v>
      </c>
      <c r="R110" s="15" t="s">
        <v>34</v>
      </c>
      <c r="S110" s="15" t="s">
        <v>61</v>
      </c>
      <c r="T110" s="15" t="s">
        <v>89</v>
      </c>
      <c r="U110" s="15">
        <v>9223058722</v>
      </c>
      <c r="V110" s="15" t="s">
        <v>38</v>
      </c>
      <c r="W110" s="29" t="str">
        <f t="shared" si="1"/>
        <v>Arj007Ja</v>
      </c>
    </row>
    <row r="111" spans="1:23" x14ac:dyDescent="0.5">
      <c r="A111" s="17" t="s">
        <v>644</v>
      </c>
      <c r="B111" s="17" t="s">
        <v>221</v>
      </c>
      <c r="C111" s="17" t="s">
        <v>169</v>
      </c>
      <c r="D111" s="17" t="s">
        <v>645</v>
      </c>
      <c r="E111" s="17" t="s">
        <v>287</v>
      </c>
      <c r="F111" s="15" t="s">
        <v>225</v>
      </c>
      <c r="G111" s="17" t="s">
        <v>76</v>
      </c>
      <c r="H111" s="17" t="s">
        <v>646</v>
      </c>
      <c r="I111" s="17" t="s">
        <v>59</v>
      </c>
      <c r="J111" s="17" t="s">
        <v>31</v>
      </c>
      <c r="K111" s="17" t="s">
        <v>32</v>
      </c>
      <c r="L111" s="17" t="s">
        <v>174</v>
      </c>
      <c r="M111" s="17">
        <v>15</v>
      </c>
      <c r="N111" s="26">
        <v>8500</v>
      </c>
      <c r="O111" s="17">
        <v>0</v>
      </c>
      <c r="P111" s="26">
        <v>127500</v>
      </c>
      <c r="Q111" s="17">
        <v>3</v>
      </c>
      <c r="R111" s="17" t="s">
        <v>34</v>
      </c>
      <c r="S111" s="17" t="s">
        <v>115</v>
      </c>
      <c r="T111" s="15" t="s">
        <v>228</v>
      </c>
      <c r="U111" s="17">
        <v>9999889465</v>
      </c>
      <c r="V111" s="17" t="s">
        <v>64</v>
      </c>
      <c r="W111" s="29" t="str">
        <f t="shared" si="1"/>
        <v>Vik005Be</v>
      </c>
    </row>
    <row r="112" spans="1:23" x14ac:dyDescent="0.5">
      <c r="A112" s="15" t="s">
        <v>648</v>
      </c>
      <c r="B112" s="15" t="s">
        <v>127</v>
      </c>
      <c r="C112" s="15" t="s">
        <v>72</v>
      </c>
      <c r="D112" s="15" t="s">
        <v>101</v>
      </c>
      <c r="E112" s="15" t="s">
        <v>102</v>
      </c>
      <c r="F112" s="15" t="s">
        <v>200</v>
      </c>
      <c r="G112" s="15" t="s">
        <v>76</v>
      </c>
      <c r="H112" s="15" t="s">
        <v>649</v>
      </c>
      <c r="I112" s="15" t="s">
        <v>30</v>
      </c>
      <c r="J112" s="15" t="s">
        <v>31</v>
      </c>
      <c r="K112" s="15" t="s">
        <v>46</v>
      </c>
      <c r="L112" s="15" t="s">
        <v>78</v>
      </c>
      <c r="M112" s="15">
        <v>1</v>
      </c>
      <c r="N112" s="25">
        <v>1200</v>
      </c>
      <c r="O112" s="15">
        <v>20</v>
      </c>
      <c r="P112" s="25">
        <v>960</v>
      </c>
      <c r="Q112" s="15">
        <v>1</v>
      </c>
      <c r="R112" s="15" t="s">
        <v>88</v>
      </c>
      <c r="S112" s="15" t="s">
        <v>115</v>
      </c>
      <c r="T112" s="15" t="s">
        <v>132</v>
      </c>
      <c r="U112" s="15">
        <v>9489687402</v>
      </c>
      <c r="V112" s="15" t="s">
        <v>64</v>
      </c>
      <c r="W112" s="29" t="str">
        <f t="shared" si="1"/>
        <v>Roh003Hy</v>
      </c>
    </row>
    <row r="113" spans="1:23" x14ac:dyDescent="0.5">
      <c r="A113" s="17" t="s">
        <v>651</v>
      </c>
      <c r="B113" s="17" t="s">
        <v>127</v>
      </c>
      <c r="C113" s="17" t="s">
        <v>169</v>
      </c>
      <c r="D113" s="17" t="s">
        <v>652</v>
      </c>
      <c r="E113" s="17" t="s">
        <v>539</v>
      </c>
      <c r="F113" s="15" t="s">
        <v>200</v>
      </c>
      <c r="G113" s="17" t="s">
        <v>76</v>
      </c>
      <c r="H113" s="17" t="s">
        <v>653</v>
      </c>
      <c r="I113" s="17" t="s">
        <v>294</v>
      </c>
      <c r="J113" s="17" t="s">
        <v>295</v>
      </c>
      <c r="K113" s="17" t="s">
        <v>32</v>
      </c>
      <c r="L113" s="17" t="s">
        <v>174</v>
      </c>
      <c r="M113" s="17">
        <v>5</v>
      </c>
      <c r="N113" s="26">
        <v>8500</v>
      </c>
      <c r="O113" s="17">
        <v>10</v>
      </c>
      <c r="P113" s="26">
        <v>38250</v>
      </c>
      <c r="Q113" s="17">
        <v>1</v>
      </c>
      <c r="R113" s="17" t="s">
        <v>79</v>
      </c>
      <c r="S113" s="17" t="s">
        <v>61</v>
      </c>
      <c r="T113" s="15" t="s">
        <v>132</v>
      </c>
      <c r="U113" s="17">
        <v>9236963301</v>
      </c>
      <c r="V113" s="17" t="s">
        <v>38</v>
      </c>
      <c r="W113" s="29" t="str">
        <f t="shared" si="1"/>
        <v>Roh003Ko</v>
      </c>
    </row>
    <row r="114" spans="1:23" x14ac:dyDescent="0.5">
      <c r="A114" s="15" t="s">
        <v>655</v>
      </c>
      <c r="B114" s="15" t="s">
        <v>53</v>
      </c>
      <c r="C114" s="15" t="s">
        <v>259</v>
      </c>
      <c r="D114" s="15" t="s">
        <v>656</v>
      </c>
      <c r="E114" s="15" t="s">
        <v>657</v>
      </c>
      <c r="F114" s="15" t="s">
        <v>163</v>
      </c>
      <c r="G114" s="15" t="s">
        <v>28</v>
      </c>
      <c r="H114" s="15" t="s">
        <v>658</v>
      </c>
      <c r="I114" s="15" t="s">
        <v>30</v>
      </c>
      <c r="J114" s="15" t="s">
        <v>31</v>
      </c>
      <c r="K114" s="15" t="s">
        <v>122</v>
      </c>
      <c r="L114" s="15" t="s">
        <v>263</v>
      </c>
      <c r="M114" s="15">
        <v>12</v>
      </c>
      <c r="N114" s="25">
        <v>45</v>
      </c>
      <c r="O114" s="15">
        <v>5</v>
      </c>
      <c r="P114" s="25">
        <v>513</v>
      </c>
      <c r="Q114" s="15">
        <v>2</v>
      </c>
      <c r="R114" s="15" t="s">
        <v>48</v>
      </c>
      <c r="S114" s="15" t="s">
        <v>35</v>
      </c>
      <c r="T114" s="15" t="s">
        <v>62</v>
      </c>
      <c r="U114" s="15">
        <v>9653594592</v>
      </c>
      <c r="V114" s="15" t="s">
        <v>69</v>
      </c>
      <c r="W114" s="29" t="str">
        <f t="shared" si="1"/>
        <v>Poo010Hy</v>
      </c>
    </row>
    <row r="115" spans="1:23" x14ac:dyDescent="0.5">
      <c r="A115" s="17" t="s">
        <v>660</v>
      </c>
      <c r="B115" s="17" t="s">
        <v>221</v>
      </c>
      <c r="C115" s="17" t="s">
        <v>118</v>
      </c>
      <c r="D115" s="17" t="s">
        <v>341</v>
      </c>
      <c r="E115" s="17" t="s">
        <v>661</v>
      </c>
      <c r="F115" s="15" t="s">
        <v>225</v>
      </c>
      <c r="G115" s="17" t="s">
        <v>76</v>
      </c>
      <c r="H115" s="17" t="s">
        <v>662</v>
      </c>
      <c r="I115" s="17" t="s">
        <v>114</v>
      </c>
      <c r="J115" s="17" t="s">
        <v>106</v>
      </c>
      <c r="K115" s="17" t="s">
        <v>122</v>
      </c>
      <c r="L115" s="17" t="s">
        <v>123</v>
      </c>
      <c r="M115" s="17">
        <v>5</v>
      </c>
      <c r="N115" s="26">
        <v>60</v>
      </c>
      <c r="O115" s="17">
        <v>5</v>
      </c>
      <c r="P115" s="26">
        <v>285</v>
      </c>
      <c r="Q115" s="17">
        <v>2</v>
      </c>
      <c r="R115" s="17" t="s">
        <v>34</v>
      </c>
      <c r="S115" s="17" t="s">
        <v>61</v>
      </c>
      <c r="T115" s="15" t="s">
        <v>228</v>
      </c>
      <c r="U115" s="17">
        <v>9781970426</v>
      </c>
      <c r="V115" s="17" t="s">
        <v>38</v>
      </c>
      <c r="W115" s="29" t="str">
        <f t="shared" si="1"/>
        <v>Vik005Pu</v>
      </c>
    </row>
    <row r="116" spans="1:23" x14ac:dyDescent="0.5">
      <c r="A116" s="15" t="s">
        <v>664</v>
      </c>
      <c r="B116" s="15" t="s">
        <v>53</v>
      </c>
      <c r="C116" s="15" t="s">
        <v>184</v>
      </c>
      <c r="D116" s="15" t="s">
        <v>665</v>
      </c>
      <c r="E116" s="15" t="s">
        <v>666</v>
      </c>
      <c r="F116" s="15" t="s">
        <v>163</v>
      </c>
      <c r="G116" s="15" t="s">
        <v>28</v>
      </c>
      <c r="H116" s="15" t="s">
        <v>667</v>
      </c>
      <c r="I116" s="15" t="s">
        <v>294</v>
      </c>
      <c r="J116" s="15" t="s">
        <v>295</v>
      </c>
      <c r="K116" s="15" t="s">
        <v>46</v>
      </c>
      <c r="L116" s="15" t="s">
        <v>189</v>
      </c>
      <c r="M116" s="15">
        <v>3</v>
      </c>
      <c r="N116" s="25">
        <v>700</v>
      </c>
      <c r="O116" s="15">
        <v>0</v>
      </c>
      <c r="P116" s="25">
        <v>2100</v>
      </c>
      <c r="Q116" s="15">
        <v>4</v>
      </c>
      <c r="R116" s="15" t="s">
        <v>79</v>
      </c>
      <c r="S116" s="15" t="s">
        <v>61</v>
      </c>
      <c r="T116" s="15" t="s">
        <v>62</v>
      </c>
      <c r="U116" s="15">
        <v>9862165194</v>
      </c>
      <c r="V116" s="15" t="s">
        <v>38</v>
      </c>
      <c r="W116" s="29" t="str">
        <f t="shared" si="1"/>
        <v>Poo010Ko</v>
      </c>
    </row>
    <row r="117" spans="1:23" x14ac:dyDescent="0.5">
      <c r="A117" s="17" t="s">
        <v>669</v>
      </c>
      <c r="B117" s="17" t="s">
        <v>168</v>
      </c>
      <c r="C117" s="17" t="s">
        <v>222</v>
      </c>
      <c r="D117" s="17" t="s">
        <v>335</v>
      </c>
      <c r="E117" s="17" t="s">
        <v>606</v>
      </c>
      <c r="F117" s="15" t="s">
        <v>361</v>
      </c>
      <c r="G117" s="17" t="s">
        <v>28</v>
      </c>
      <c r="H117" s="17" t="s">
        <v>670</v>
      </c>
      <c r="I117" s="17" t="s">
        <v>44</v>
      </c>
      <c r="J117" s="17" t="s">
        <v>45</v>
      </c>
      <c r="K117" s="17" t="s">
        <v>122</v>
      </c>
      <c r="L117" s="17" t="s">
        <v>227</v>
      </c>
      <c r="M117" s="17">
        <v>6</v>
      </c>
      <c r="N117" s="26">
        <v>20</v>
      </c>
      <c r="O117" s="17">
        <v>15</v>
      </c>
      <c r="P117" s="26">
        <v>102</v>
      </c>
      <c r="Q117" s="17">
        <v>5</v>
      </c>
      <c r="R117" s="17" t="s">
        <v>79</v>
      </c>
      <c r="S117" s="17" t="s">
        <v>151</v>
      </c>
      <c r="T117" s="15" t="s">
        <v>175</v>
      </c>
      <c r="U117" s="17">
        <v>9661280388</v>
      </c>
      <c r="V117" s="17" t="s">
        <v>38</v>
      </c>
      <c r="W117" s="29" t="str">
        <f t="shared" si="1"/>
        <v>Ani004De</v>
      </c>
    </row>
    <row r="118" spans="1:23" x14ac:dyDescent="0.5">
      <c r="A118" s="15" t="s">
        <v>672</v>
      </c>
      <c r="B118" s="15" t="s">
        <v>100</v>
      </c>
      <c r="C118" s="15" t="s">
        <v>184</v>
      </c>
      <c r="D118" s="15" t="s">
        <v>673</v>
      </c>
      <c r="E118" s="15" t="s">
        <v>674</v>
      </c>
      <c r="F118" s="15" t="s">
        <v>103</v>
      </c>
      <c r="G118" s="15" t="s">
        <v>28</v>
      </c>
      <c r="H118" s="15" t="s">
        <v>675</v>
      </c>
      <c r="I118" s="15" t="s">
        <v>59</v>
      </c>
      <c r="J118" s="15" t="s">
        <v>31</v>
      </c>
      <c r="K118" s="15" t="s">
        <v>46</v>
      </c>
      <c r="L118" s="15" t="s">
        <v>189</v>
      </c>
      <c r="M118" s="15">
        <v>2</v>
      </c>
      <c r="N118" s="25">
        <v>700</v>
      </c>
      <c r="O118" s="15">
        <v>15</v>
      </c>
      <c r="P118" s="25">
        <v>1190</v>
      </c>
      <c r="Q118" s="15">
        <v>4</v>
      </c>
      <c r="R118" s="15" t="s">
        <v>34</v>
      </c>
      <c r="S118" s="15" t="s">
        <v>151</v>
      </c>
      <c r="T118" s="15" t="s">
        <v>144</v>
      </c>
      <c r="U118" s="15">
        <v>9896985355</v>
      </c>
      <c r="V118" s="15" t="s">
        <v>64</v>
      </c>
      <c r="W118" s="29" t="str">
        <f t="shared" si="1"/>
        <v>Pri002Be</v>
      </c>
    </row>
    <row r="119" spans="1:23" x14ac:dyDescent="0.5">
      <c r="A119" s="17" t="s">
        <v>677</v>
      </c>
      <c r="B119" s="17" t="s">
        <v>327</v>
      </c>
      <c r="C119" s="17" t="s">
        <v>259</v>
      </c>
      <c r="D119" s="17" t="s">
        <v>678</v>
      </c>
      <c r="E119" s="17" t="s">
        <v>679</v>
      </c>
      <c r="F119" s="15" t="s">
        <v>394</v>
      </c>
      <c r="G119" s="17" t="s">
        <v>76</v>
      </c>
      <c r="H119" s="17" t="s">
        <v>680</v>
      </c>
      <c r="I119" s="17" t="s">
        <v>114</v>
      </c>
      <c r="J119" s="17" t="s">
        <v>106</v>
      </c>
      <c r="K119" s="17" t="s">
        <v>122</v>
      </c>
      <c r="L119" s="17" t="s">
        <v>263</v>
      </c>
      <c r="M119" s="17">
        <v>16</v>
      </c>
      <c r="N119" s="26">
        <v>45</v>
      </c>
      <c r="O119" s="17">
        <v>0</v>
      </c>
      <c r="P119" s="26">
        <v>720</v>
      </c>
      <c r="Q119" s="17">
        <v>1</v>
      </c>
      <c r="R119" s="17" t="s">
        <v>48</v>
      </c>
      <c r="S119" s="17" t="s">
        <v>61</v>
      </c>
      <c r="T119" s="15" t="s">
        <v>332</v>
      </c>
      <c r="U119" s="17">
        <v>9807154421</v>
      </c>
      <c r="V119" s="17" t="s">
        <v>38</v>
      </c>
      <c r="W119" s="29" t="str">
        <f t="shared" si="1"/>
        <v>Ami001Pu</v>
      </c>
    </row>
    <row r="120" spans="1:23" x14ac:dyDescent="0.5">
      <c r="A120" s="15" t="s">
        <v>682</v>
      </c>
      <c r="B120" s="15" t="s">
        <v>71</v>
      </c>
      <c r="C120" s="15" t="s">
        <v>72</v>
      </c>
      <c r="D120" s="15" t="s">
        <v>683</v>
      </c>
      <c r="E120" s="15" t="s">
        <v>684</v>
      </c>
      <c r="F120" s="15" t="s">
        <v>217</v>
      </c>
      <c r="G120" s="15" t="s">
        <v>76</v>
      </c>
      <c r="H120" s="15" t="s">
        <v>685</v>
      </c>
      <c r="I120" s="15" t="s">
        <v>138</v>
      </c>
      <c r="J120" s="15" t="s">
        <v>106</v>
      </c>
      <c r="K120" s="15" t="s">
        <v>46</v>
      </c>
      <c r="L120" s="15" t="s">
        <v>78</v>
      </c>
      <c r="M120" s="15" t="s">
        <v>686</v>
      </c>
      <c r="N120" s="25">
        <v>1200</v>
      </c>
      <c r="O120" s="15">
        <v>15</v>
      </c>
      <c r="P120" s="25">
        <v>7140</v>
      </c>
      <c r="Q120" s="15">
        <v>4</v>
      </c>
      <c r="R120" s="15" t="s">
        <v>88</v>
      </c>
      <c r="S120" s="15" t="s">
        <v>151</v>
      </c>
      <c r="T120" s="15" t="s">
        <v>80</v>
      </c>
      <c r="U120" s="15">
        <v>9919834000</v>
      </c>
      <c r="V120" s="15" t="s">
        <v>64</v>
      </c>
      <c r="W120" s="29" t="str">
        <f t="shared" si="1"/>
        <v>Moh009Ah</v>
      </c>
    </row>
    <row r="121" spans="1:23" x14ac:dyDescent="0.5">
      <c r="A121" s="17" t="s">
        <v>688</v>
      </c>
      <c r="B121" s="17" t="s">
        <v>100</v>
      </c>
      <c r="C121" s="17" t="s">
        <v>40</v>
      </c>
      <c r="D121" s="17" t="s">
        <v>376</v>
      </c>
      <c r="E121" s="17" t="s">
        <v>469</v>
      </c>
      <c r="F121" s="15" t="s">
        <v>103</v>
      </c>
      <c r="G121" s="17" t="s">
        <v>28</v>
      </c>
      <c r="H121" s="17" t="s">
        <v>689</v>
      </c>
      <c r="I121" s="17" t="s">
        <v>212</v>
      </c>
      <c r="J121" s="17" t="s">
        <v>45</v>
      </c>
      <c r="K121" s="17" t="s">
        <v>46</v>
      </c>
      <c r="L121" s="17" t="s">
        <v>47</v>
      </c>
      <c r="M121" s="17">
        <v>14</v>
      </c>
      <c r="N121" s="26">
        <v>12000</v>
      </c>
      <c r="O121" s="17">
        <v>15</v>
      </c>
      <c r="P121" s="26">
        <v>142800</v>
      </c>
      <c r="Q121" s="17">
        <v>2</v>
      </c>
      <c r="R121" s="17" t="s">
        <v>48</v>
      </c>
      <c r="S121" s="17" t="s">
        <v>61</v>
      </c>
      <c r="T121" s="15" t="s">
        <v>144</v>
      </c>
      <c r="U121" s="17">
        <v>9739798818</v>
      </c>
      <c r="V121" s="17" t="s">
        <v>64</v>
      </c>
      <c r="W121" s="29" t="str">
        <f t="shared" si="1"/>
        <v>Pri002Ja</v>
      </c>
    </row>
    <row r="122" spans="1:23" x14ac:dyDescent="0.5">
      <c r="A122" s="15" t="s">
        <v>691</v>
      </c>
      <c r="B122" s="15" t="s">
        <v>127</v>
      </c>
      <c r="C122" s="15" t="s">
        <v>169</v>
      </c>
      <c r="D122" s="15" t="s">
        <v>454</v>
      </c>
      <c r="E122" s="15" t="s">
        <v>692</v>
      </c>
      <c r="F122" s="15" t="s">
        <v>200</v>
      </c>
      <c r="G122" s="15" t="s">
        <v>76</v>
      </c>
      <c r="H122" s="15" t="s">
        <v>693</v>
      </c>
      <c r="I122" s="15" t="s">
        <v>114</v>
      </c>
      <c r="J122" s="15" t="s">
        <v>106</v>
      </c>
      <c r="K122" s="15" t="s">
        <v>32</v>
      </c>
      <c r="L122" s="15" t="s">
        <v>174</v>
      </c>
      <c r="M122" s="15">
        <v>8</v>
      </c>
      <c r="N122" s="25">
        <v>8500</v>
      </c>
      <c r="O122" s="15">
        <v>20</v>
      </c>
      <c r="P122" s="25">
        <v>54400</v>
      </c>
      <c r="Q122" s="15">
        <v>3</v>
      </c>
      <c r="R122" s="15" t="s">
        <v>79</v>
      </c>
      <c r="S122" s="15" t="s">
        <v>49</v>
      </c>
      <c r="T122" s="15" t="s">
        <v>132</v>
      </c>
      <c r="U122" s="15">
        <v>9208625306</v>
      </c>
      <c r="V122" s="15" t="s">
        <v>38</v>
      </c>
      <c r="W122" s="29" t="str">
        <f t="shared" si="1"/>
        <v>Roh003Pu</v>
      </c>
    </row>
    <row r="123" spans="1:23" x14ac:dyDescent="0.5">
      <c r="A123" s="17" t="s">
        <v>695</v>
      </c>
      <c r="B123" s="17" t="s">
        <v>83</v>
      </c>
      <c r="C123" s="17" t="s">
        <v>259</v>
      </c>
      <c r="D123" s="17" t="s">
        <v>110</v>
      </c>
      <c r="E123" s="17" t="s">
        <v>313</v>
      </c>
      <c r="F123" s="15" t="s">
        <v>180</v>
      </c>
      <c r="G123" s="17" t="s">
        <v>76</v>
      </c>
      <c r="H123" s="17" t="s">
        <v>696</v>
      </c>
      <c r="I123" s="17" t="s">
        <v>59</v>
      </c>
      <c r="J123" s="17" t="s">
        <v>31</v>
      </c>
      <c r="K123" s="17" t="s">
        <v>122</v>
      </c>
      <c r="L123" s="17" t="s">
        <v>263</v>
      </c>
      <c r="M123" s="17">
        <v>3</v>
      </c>
      <c r="N123" s="26">
        <v>45</v>
      </c>
      <c r="O123" s="17">
        <v>0</v>
      </c>
      <c r="P123" s="26">
        <v>135</v>
      </c>
      <c r="Q123" s="17">
        <v>4</v>
      </c>
      <c r="R123" s="17" t="s">
        <v>88</v>
      </c>
      <c r="S123" s="17" t="s">
        <v>61</v>
      </c>
      <c r="T123" s="15" t="s">
        <v>89</v>
      </c>
      <c r="U123" s="17">
        <v>9970178536</v>
      </c>
      <c r="V123" s="17" t="s">
        <v>69</v>
      </c>
      <c r="W123" s="29" t="str">
        <f t="shared" si="1"/>
        <v>Arj007Be</v>
      </c>
    </row>
    <row r="124" spans="1:23" x14ac:dyDescent="0.5">
      <c r="A124" s="15" t="s">
        <v>698</v>
      </c>
      <c r="B124" s="15" t="s">
        <v>327</v>
      </c>
      <c r="C124" s="15" t="s">
        <v>184</v>
      </c>
      <c r="D124" s="15" t="s">
        <v>464</v>
      </c>
      <c r="E124" s="15" t="s">
        <v>84</v>
      </c>
      <c r="F124" s="15" t="s">
        <v>394</v>
      </c>
      <c r="G124" s="15" t="s">
        <v>76</v>
      </c>
      <c r="H124" s="15" t="s">
        <v>699</v>
      </c>
      <c r="I124" s="15" t="s">
        <v>212</v>
      </c>
      <c r="J124" s="15" t="s">
        <v>45</v>
      </c>
      <c r="K124" s="15" t="s">
        <v>46</v>
      </c>
      <c r="L124" s="15" t="s">
        <v>189</v>
      </c>
      <c r="M124" s="15">
        <v>13</v>
      </c>
      <c r="N124" s="25">
        <v>700</v>
      </c>
      <c r="O124" s="15">
        <v>5</v>
      </c>
      <c r="P124" s="25">
        <v>8645</v>
      </c>
      <c r="Q124" s="15">
        <v>3</v>
      </c>
      <c r="R124" s="15" t="s">
        <v>79</v>
      </c>
      <c r="S124" s="15" t="s">
        <v>115</v>
      </c>
      <c r="T124" s="15" t="s">
        <v>332</v>
      </c>
      <c r="U124" s="15">
        <v>9633745195</v>
      </c>
      <c r="V124" s="15" t="s">
        <v>64</v>
      </c>
      <c r="W124" s="29" t="str">
        <f t="shared" si="1"/>
        <v>Ami001Ja</v>
      </c>
    </row>
    <row r="125" spans="1:23" x14ac:dyDescent="0.5">
      <c r="A125" s="17" t="s">
        <v>701</v>
      </c>
      <c r="B125" s="17" t="s">
        <v>168</v>
      </c>
      <c r="C125" s="17" t="s">
        <v>72</v>
      </c>
      <c r="D125" s="17" t="s">
        <v>702</v>
      </c>
      <c r="E125" s="17" t="s">
        <v>703</v>
      </c>
      <c r="F125" s="15" t="s">
        <v>361</v>
      </c>
      <c r="G125" s="17" t="s">
        <v>28</v>
      </c>
      <c r="H125" s="17" t="s">
        <v>704</v>
      </c>
      <c r="I125" s="17" t="s">
        <v>105</v>
      </c>
      <c r="J125" s="17" t="s">
        <v>106</v>
      </c>
      <c r="K125" s="17" t="s">
        <v>46</v>
      </c>
      <c r="L125" s="17" t="s">
        <v>78</v>
      </c>
      <c r="M125" s="17">
        <v>14</v>
      </c>
      <c r="N125" s="26">
        <v>1200</v>
      </c>
      <c r="O125" s="17">
        <v>20</v>
      </c>
      <c r="P125" s="26">
        <v>13440</v>
      </c>
      <c r="Q125" s="17">
        <v>5</v>
      </c>
      <c r="R125" s="17" t="s">
        <v>48</v>
      </c>
      <c r="S125" s="17" t="s">
        <v>61</v>
      </c>
      <c r="T125" s="15" t="s">
        <v>175</v>
      </c>
      <c r="U125" s="17">
        <v>9922102053</v>
      </c>
      <c r="V125" s="17" t="s">
        <v>38</v>
      </c>
      <c r="W125" s="29" t="str">
        <f t="shared" si="1"/>
        <v>Ani004Mu</v>
      </c>
    </row>
    <row r="126" spans="1:23" x14ac:dyDescent="0.5">
      <c r="A126" s="15" t="s">
        <v>706</v>
      </c>
      <c r="B126" s="15" t="s">
        <v>100</v>
      </c>
      <c r="C126" s="15" t="s">
        <v>259</v>
      </c>
      <c r="D126" s="15" t="s">
        <v>597</v>
      </c>
      <c r="E126" s="15" t="s">
        <v>707</v>
      </c>
      <c r="F126" s="15" t="s">
        <v>103</v>
      </c>
      <c r="G126" s="15" t="s">
        <v>28</v>
      </c>
      <c r="H126" s="15" t="s">
        <v>708</v>
      </c>
      <c r="I126" s="15" t="s">
        <v>44</v>
      </c>
      <c r="J126" s="15" t="s">
        <v>45</v>
      </c>
      <c r="K126" s="15" t="s">
        <v>122</v>
      </c>
      <c r="L126" s="15" t="s">
        <v>263</v>
      </c>
      <c r="M126" s="15">
        <v>2</v>
      </c>
      <c r="N126" s="25">
        <v>45</v>
      </c>
      <c r="O126" s="15">
        <v>5</v>
      </c>
      <c r="P126" s="25">
        <v>85.5</v>
      </c>
      <c r="Q126" s="15">
        <v>3</v>
      </c>
      <c r="R126" s="15" t="s">
        <v>88</v>
      </c>
      <c r="S126" s="15" t="s">
        <v>35</v>
      </c>
      <c r="T126" s="15" t="s">
        <v>144</v>
      </c>
      <c r="U126" s="15">
        <v>9135963930</v>
      </c>
      <c r="V126" s="15" t="s">
        <v>69</v>
      </c>
      <c r="W126" s="29" t="str">
        <f t="shared" si="1"/>
        <v>Pri002De</v>
      </c>
    </row>
    <row r="127" spans="1:23" x14ac:dyDescent="0.5">
      <c r="A127" s="17" t="s">
        <v>710</v>
      </c>
      <c r="B127" s="17" t="s">
        <v>168</v>
      </c>
      <c r="C127" s="17" t="s">
        <v>72</v>
      </c>
      <c r="D127" s="17" t="s">
        <v>711</v>
      </c>
      <c r="E127" s="17" t="s">
        <v>712</v>
      </c>
      <c r="F127" s="15" t="s">
        <v>361</v>
      </c>
      <c r="G127" s="17" t="s">
        <v>28</v>
      </c>
      <c r="H127" s="17" t="s">
        <v>713</v>
      </c>
      <c r="I127" s="17" t="s">
        <v>59</v>
      </c>
      <c r="J127" s="17" t="s">
        <v>31</v>
      </c>
      <c r="K127" s="17" t="s">
        <v>46</v>
      </c>
      <c r="L127" s="17" t="s">
        <v>78</v>
      </c>
      <c r="M127" s="17">
        <v>2</v>
      </c>
      <c r="N127" s="26">
        <v>1200</v>
      </c>
      <c r="O127" s="17">
        <v>20</v>
      </c>
      <c r="P127" s="26">
        <v>1920</v>
      </c>
      <c r="Q127" s="17">
        <v>3</v>
      </c>
      <c r="R127" s="17" t="s">
        <v>79</v>
      </c>
      <c r="S127" s="17" t="s">
        <v>115</v>
      </c>
      <c r="T127" s="15" t="s">
        <v>175</v>
      </c>
      <c r="U127" s="17">
        <v>9429405275</v>
      </c>
      <c r="V127" s="17" t="s">
        <v>38</v>
      </c>
      <c r="W127" s="29" t="str">
        <f t="shared" si="1"/>
        <v>Ani004Be</v>
      </c>
    </row>
    <row r="128" spans="1:23" x14ac:dyDescent="0.5">
      <c r="A128" s="15" t="s">
        <v>715</v>
      </c>
      <c r="B128" s="15" t="s">
        <v>127</v>
      </c>
      <c r="C128" s="15" t="s">
        <v>54</v>
      </c>
      <c r="D128" s="15" t="s">
        <v>224</v>
      </c>
      <c r="E128" s="15" t="s">
        <v>716</v>
      </c>
      <c r="F128" s="15" t="s">
        <v>200</v>
      </c>
      <c r="G128" s="15" t="s">
        <v>76</v>
      </c>
      <c r="H128" s="15" t="s">
        <v>717</v>
      </c>
      <c r="I128" s="15" t="s">
        <v>59</v>
      </c>
      <c r="J128" s="15" t="s">
        <v>31</v>
      </c>
      <c r="K128" s="15" t="s">
        <v>46</v>
      </c>
      <c r="L128" s="15" t="s">
        <v>60</v>
      </c>
      <c r="M128" s="15">
        <v>10</v>
      </c>
      <c r="N128" s="25">
        <v>55000</v>
      </c>
      <c r="O128" s="15">
        <v>5</v>
      </c>
      <c r="P128" s="25">
        <v>522500</v>
      </c>
      <c r="Q128" s="15">
        <v>5</v>
      </c>
      <c r="R128" s="15" t="s">
        <v>88</v>
      </c>
      <c r="S128" s="15" t="s">
        <v>61</v>
      </c>
      <c r="T128" s="15" t="s">
        <v>132</v>
      </c>
      <c r="U128" s="15">
        <v>9521757571</v>
      </c>
      <c r="V128" s="15" t="s">
        <v>64</v>
      </c>
      <c r="W128" s="29" t="str">
        <f t="shared" si="1"/>
        <v>Roh003Be</v>
      </c>
    </row>
    <row r="129" spans="1:23" x14ac:dyDescent="0.5">
      <c r="A129" s="17" t="s">
        <v>719</v>
      </c>
      <c r="B129" s="17" t="s">
        <v>251</v>
      </c>
      <c r="C129" s="17" t="s">
        <v>92</v>
      </c>
      <c r="D129" s="17" t="s">
        <v>720</v>
      </c>
      <c r="E129" s="17" t="s">
        <v>382</v>
      </c>
      <c r="F129" s="15" t="s">
        <v>254</v>
      </c>
      <c r="G129" s="17" t="s">
        <v>28</v>
      </c>
      <c r="H129" s="17" t="s">
        <v>721</v>
      </c>
      <c r="I129" s="17" t="s">
        <v>212</v>
      </c>
      <c r="J129" s="17" t="s">
        <v>45</v>
      </c>
      <c r="K129" s="17" t="s">
        <v>32</v>
      </c>
      <c r="L129" s="17" t="s">
        <v>97</v>
      </c>
      <c r="M129" s="17">
        <v>15</v>
      </c>
      <c r="N129" s="26">
        <v>3500</v>
      </c>
      <c r="O129" s="17">
        <v>10</v>
      </c>
      <c r="P129" s="26">
        <v>47250</v>
      </c>
      <c r="Q129" s="17">
        <v>3</v>
      </c>
      <c r="R129" s="17" t="s">
        <v>48</v>
      </c>
      <c r="S129" s="17" t="s">
        <v>115</v>
      </c>
      <c r="T129" s="15" t="s">
        <v>256</v>
      </c>
      <c r="U129" s="17">
        <v>9467375455</v>
      </c>
      <c r="V129" s="17" t="s">
        <v>38</v>
      </c>
      <c r="W129" s="29" t="str">
        <f t="shared" si="1"/>
        <v>Sne006Ja</v>
      </c>
    </row>
    <row r="130" spans="1:23" x14ac:dyDescent="0.5">
      <c r="A130" s="15" t="s">
        <v>723</v>
      </c>
      <c r="B130" s="15" t="s">
        <v>100</v>
      </c>
      <c r="C130" s="15" t="s">
        <v>24</v>
      </c>
      <c r="D130" s="15" t="s">
        <v>562</v>
      </c>
      <c r="E130" s="15" t="s">
        <v>724</v>
      </c>
      <c r="F130" s="15" t="s">
        <v>103</v>
      </c>
      <c r="G130" s="15" t="s">
        <v>28</v>
      </c>
      <c r="H130" s="15" t="s">
        <v>725</v>
      </c>
      <c r="I130" s="15" t="s">
        <v>59</v>
      </c>
      <c r="J130" s="15" t="s">
        <v>31</v>
      </c>
      <c r="K130" s="15" t="s">
        <v>32</v>
      </c>
      <c r="L130" s="15" t="s">
        <v>33</v>
      </c>
      <c r="M130" s="15">
        <v>10</v>
      </c>
      <c r="N130" s="25">
        <v>2200</v>
      </c>
      <c r="O130" s="15">
        <v>15</v>
      </c>
      <c r="P130" s="25">
        <v>18700</v>
      </c>
      <c r="Q130" s="15">
        <v>4</v>
      </c>
      <c r="R130" s="15" t="s">
        <v>79</v>
      </c>
      <c r="S130" s="15" t="s">
        <v>49</v>
      </c>
      <c r="T130" s="15" t="s">
        <v>144</v>
      </c>
      <c r="U130" s="15">
        <v>9838809695</v>
      </c>
      <c r="V130" s="15" t="s">
        <v>64</v>
      </c>
      <c r="W130" s="29" t="str">
        <f t="shared" si="1"/>
        <v>Pri002Be</v>
      </c>
    </row>
    <row r="131" spans="1:23" x14ac:dyDescent="0.5">
      <c r="A131" s="17" t="s">
        <v>727</v>
      </c>
      <c r="B131" s="17" t="s">
        <v>251</v>
      </c>
      <c r="C131" s="17" t="s">
        <v>92</v>
      </c>
      <c r="D131" s="17" t="s">
        <v>260</v>
      </c>
      <c r="E131" s="17" t="s">
        <v>231</v>
      </c>
      <c r="F131" s="15" t="s">
        <v>254</v>
      </c>
      <c r="G131" s="17" t="s">
        <v>28</v>
      </c>
      <c r="H131" s="17" t="s">
        <v>728</v>
      </c>
      <c r="I131" s="17" t="s">
        <v>114</v>
      </c>
      <c r="J131" s="17" t="s">
        <v>106</v>
      </c>
      <c r="K131" s="17" t="s">
        <v>32</v>
      </c>
      <c r="L131" s="17" t="s">
        <v>97</v>
      </c>
      <c r="M131" s="17">
        <v>11</v>
      </c>
      <c r="N131" s="26">
        <v>3500</v>
      </c>
      <c r="O131" s="17">
        <v>5</v>
      </c>
      <c r="P131" s="26">
        <v>36575</v>
      </c>
      <c r="Q131" s="17">
        <v>5</v>
      </c>
      <c r="R131" s="17" t="s">
        <v>34</v>
      </c>
      <c r="S131" s="17" t="s">
        <v>35</v>
      </c>
      <c r="T131" s="15" t="s">
        <v>256</v>
      </c>
      <c r="U131" s="17">
        <v>9296609782</v>
      </c>
      <c r="V131" s="17" t="s">
        <v>69</v>
      </c>
      <c r="W131" s="29" t="str">
        <f t="shared" ref="W131:W194" si="2">LEFT(F131, 3) &amp; RIGHT(B131,3) &amp; LEFT(I131,2)</f>
        <v>Sne006Pu</v>
      </c>
    </row>
    <row r="132" spans="1:23" x14ac:dyDescent="0.5">
      <c r="A132" s="15" t="s">
        <v>730</v>
      </c>
      <c r="B132" s="15" t="s">
        <v>168</v>
      </c>
      <c r="C132" s="15" t="s">
        <v>72</v>
      </c>
      <c r="D132" s="15" t="s">
        <v>731</v>
      </c>
      <c r="E132" s="15" t="s">
        <v>732</v>
      </c>
      <c r="F132" s="15" t="s">
        <v>361</v>
      </c>
      <c r="G132" s="15" t="s">
        <v>28</v>
      </c>
      <c r="H132" s="15" t="s">
        <v>733</v>
      </c>
      <c r="I132" s="15" t="s">
        <v>59</v>
      </c>
      <c r="J132" s="15" t="s">
        <v>31</v>
      </c>
      <c r="K132" s="15" t="s">
        <v>46</v>
      </c>
      <c r="L132" s="15" t="s">
        <v>78</v>
      </c>
      <c r="M132" s="15">
        <v>14</v>
      </c>
      <c r="N132" s="25">
        <v>1200</v>
      </c>
      <c r="O132" s="15">
        <v>0</v>
      </c>
      <c r="P132" s="25">
        <v>16800</v>
      </c>
      <c r="Q132" s="15">
        <v>5</v>
      </c>
      <c r="R132" s="15" t="s">
        <v>34</v>
      </c>
      <c r="S132" s="15" t="s">
        <v>49</v>
      </c>
      <c r="T132" s="15" t="s">
        <v>175</v>
      </c>
      <c r="U132" s="15">
        <v>9848259992</v>
      </c>
      <c r="V132" s="15" t="s">
        <v>69</v>
      </c>
      <c r="W132" s="29" t="str">
        <f t="shared" si="2"/>
        <v>Ani004Be</v>
      </c>
    </row>
    <row r="133" spans="1:23" x14ac:dyDescent="0.5">
      <c r="A133" s="17" t="s">
        <v>735</v>
      </c>
      <c r="B133" s="17" t="s">
        <v>100</v>
      </c>
      <c r="C133" s="17" t="s">
        <v>222</v>
      </c>
      <c r="D133" s="17" t="s">
        <v>736</v>
      </c>
      <c r="E133" s="17" t="s">
        <v>170</v>
      </c>
      <c r="F133" s="15" t="s">
        <v>103</v>
      </c>
      <c r="G133" s="17" t="s">
        <v>28</v>
      </c>
      <c r="H133" s="17" t="s">
        <v>737</v>
      </c>
      <c r="I133" s="17" t="s">
        <v>44</v>
      </c>
      <c r="J133" s="17" t="s">
        <v>45</v>
      </c>
      <c r="K133" s="17" t="s">
        <v>122</v>
      </c>
      <c r="L133" s="17" t="s">
        <v>227</v>
      </c>
      <c r="M133" s="17">
        <v>11</v>
      </c>
      <c r="N133" s="26">
        <v>20</v>
      </c>
      <c r="O133" s="17">
        <v>20</v>
      </c>
      <c r="P133" s="26">
        <v>176</v>
      </c>
      <c r="Q133" s="17">
        <v>4</v>
      </c>
      <c r="R133" s="17" t="s">
        <v>48</v>
      </c>
      <c r="S133" s="17" t="s">
        <v>35</v>
      </c>
      <c r="T133" s="15" t="s">
        <v>144</v>
      </c>
      <c r="U133" s="17">
        <v>9254082295</v>
      </c>
      <c r="V133" s="17" t="s">
        <v>38</v>
      </c>
      <c r="W133" s="29" t="str">
        <f t="shared" si="2"/>
        <v>Pri002De</v>
      </c>
    </row>
    <row r="134" spans="1:23" x14ac:dyDescent="0.5">
      <c r="A134" s="15" t="s">
        <v>739</v>
      </c>
      <c r="B134" s="15" t="s">
        <v>71</v>
      </c>
      <c r="C134" s="15" t="s">
        <v>40</v>
      </c>
      <c r="D134" s="15" t="s">
        <v>740</v>
      </c>
      <c r="E134" s="15" t="s">
        <v>657</v>
      </c>
      <c r="F134" s="15" t="s">
        <v>217</v>
      </c>
      <c r="G134" s="15" t="s">
        <v>76</v>
      </c>
      <c r="H134" s="15" t="s">
        <v>741</v>
      </c>
      <c r="I134" s="15" t="s">
        <v>114</v>
      </c>
      <c r="J134" s="15" t="s">
        <v>106</v>
      </c>
      <c r="K134" s="15" t="s">
        <v>46</v>
      </c>
      <c r="L134" s="15" t="s">
        <v>47</v>
      </c>
      <c r="M134" s="15">
        <v>6</v>
      </c>
      <c r="N134" s="25">
        <v>12000</v>
      </c>
      <c r="O134" s="15">
        <v>10</v>
      </c>
      <c r="P134" s="25">
        <v>64800</v>
      </c>
      <c r="Q134" s="15">
        <v>5</v>
      </c>
      <c r="R134" s="15" t="s">
        <v>88</v>
      </c>
      <c r="S134" s="15" t="s">
        <v>151</v>
      </c>
      <c r="T134" s="15" t="s">
        <v>80</v>
      </c>
      <c r="U134" s="15">
        <v>9687923860</v>
      </c>
      <c r="V134" s="15" t="s">
        <v>38</v>
      </c>
      <c r="W134" s="29" t="str">
        <f t="shared" si="2"/>
        <v>Moh009Pu</v>
      </c>
    </row>
    <row r="135" spans="1:23" x14ac:dyDescent="0.5">
      <c r="A135" s="17" t="s">
        <v>743</v>
      </c>
      <c r="B135" s="17" t="s">
        <v>71</v>
      </c>
      <c r="C135" s="17" t="s">
        <v>24</v>
      </c>
      <c r="D135" s="17" t="s">
        <v>652</v>
      </c>
      <c r="E135" s="17" t="s">
        <v>539</v>
      </c>
      <c r="F135" s="15" t="s">
        <v>217</v>
      </c>
      <c r="G135" s="17" t="s">
        <v>76</v>
      </c>
      <c r="H135" s="17" t="s">
        <v>744</v>
      </c>
      <c r="I135" s="17" t="s">
        <v>30</v>
      </c>
      <c r="J135" s="17" t="s">
        <v>31</v>
      </c>
      <c r="K135" s="17" t="s">
        <v>32</v>
      </c>
      <c r="L135" s="17" t="s">
        <v>33</v>
      </c>
      <c r="M135" s="17">
        <v>6</v>
      </c>
      <c r="N135" s="26">
        <v>2200</v>
      </c>
      <c r="O135" s="17">
        <v>5</v>
      </c>
      <c r="P135" s="26">
        <v>12540</v>
      </c>
      <c r="Q135" s="17">
        <v>4</v>
      </c>
      <c r="R135" s="17" t="s">
        <v>34</v>
      </c>
      <c r="S135" s="17" t="s">
        <v>49</v>
      </c>
      <c r="T135" s="15" t="s">
        <v>80</v>
      </c>
      <c r="U135" s="17">
        <v>9426459149</v>
      </c>
      <c r="V135" s="17" t="s">
        <v>38</v>
      </c>
      <c r="W135" s="29" t="str">
        <f t="shared" si="2"/>
        <v>Moh009Hy</v>
      </c>
    </row>
    <row r="136" spans="1:23" x14ac:dyDescent="0.5">
      <c r="A136" s="15" t="s">
        <v>746</v>
      </c>
      <c r="B136" s="15" t="s">
        <v>53</v>
      </c>
      <c r="C136" s="15" t="s">
        <v>92</v>
      </c>
      <c r="D136" s="15" t="s">
        <v>408</v>
      </c>
      <c r="E136" s="15" t="s">
        <v>488</v>
      </c>
      <c r="F136" s="15" t="s">
        <v>163</v>
      </c>
      <c r="G136" s="15" t="s">
        <v>28</v>
      </c>
      <c r="H136" s="15" t="s">
        <v>747</v>
      </c>
      <c r="I136" s="15" t="s">
        <v>44</v>
      </c>
      <c r="J136" s="15" t="s">
        <v>45</v>
      </c>
      <c r="K136" s="15" t="s">
        <v>32</v>
      </c>
      <c r="L136" s="15" t="s">
        <v>97</v>
      </c>
      <c r="M136" s="15">
        <v>3</v>
      </c>
      <c r="N136" s="25">
        <v>3500</v>
      </c>
      <c r="O136" s="15">
        <v>5</v>
      </c>
      <c r="P136" s="25">
        <v>9975</v>
      </c>
      <c r="Q136" s="15">
        <v>4</v>
      </c>
      <c r="R136" s="15" t="s">
        <v>48</v>
      </c>
      <c r="S136" s="15" t="s">
        <v>49</v>
      </c>
      <c r="T136" s="15" t="s">
        <v>62</v>
      </c>
      <c r="U136" s="15">
        <v>9155925975</v>
      </c>
      <c r="V136" s="15" t="s">
        <v>64</v>
      </c>
      <c r="W136" s="29" t="str">
        <f t="shared" si="2"/>
        <v>Poo010De</v>
      </c>
    </row>
    <row r="137" spans="1:23" x14ac:dyDescent="0.5">
      <c r="A137" s="17" t="s">
        <v>749</v>
      </c>
      <c r="B137" s="17" t="s">
        <v>71</v>
      </c>
      <c r="C137" s="17" t="s">
        <v>169</v>
      </c>
      <c r="D137" s="17" t="s">
        <v>750</v>
      </c>
      <c r="E137" s="17" t="s">
        <v>751</v>
      </c>
      <c r="F137" s="15" t="s">
        <v>217</v>
      </c>
      <c r="G137" s="17" t="s">
        <v>76</v>
      </c>
      <c r="H137" s="17" t="s">
        <v>752</v>
      </c>
      <c r="I137" s="17" t="s">
        <v>30</v>
      </c>
      <c r="J137" s="17" t="s">
        <v>31</v>
      </c>
      <c r="K137" s="17" t="s">
        <v>32</v>
      </c>
      <c r="L137" s="17" t="s">
        <v>174</v>
      </c>
      <c r="M137" s="17">
        <v>5</v>
      </c>
      <c r="N137" s="26">
        <v>8500</v>
      </c>
      <c r="O137" s="17">
        <v>20</v>
      </c>
      <c r="P137" s="26">
        <v>34000</v>
      </c>
      <c r="Q137" s="17">
        <v>5</v>
      </c>
      <c r="R137" s="17" t="s">
        <v>34</v>
      </c>
      <c r="S137" s="17" t="s">
        <v>61</v>
      </c>
      <c r="T137" s="15" t="s">
        <v>80</v>
      </c>
      <c r="U137" s="17">
        <v>9945247701</v>
      </c>
      <c r="V137" s="17" t="s">
        <v>64</v>
      </c>
      <c r="W137" s="29" t="str">
        <f t="shared" si="2"/>
        <v>Moh009Hy</v>
      </c>
    </row>
    <row r="138" spans="1:23" x14ac:dyDescent="0.5">
      <c r="A138" s="15" t="s">
        <v>754</v>
      </c>
      <c r="B138" s="15" t="s">
        <v>23</v>
      </c>
      <c r="C138" s="15" t="s">
        <v>92</v>
      </c>
      <c r="D138" s="15" t="s">
        <v>755</v>
      </c>
      <c r="E138" s="15" t="s">
        <v>756</v>
      </c>
      <c r="F138" s="15" t="s">
        <v>27</v>
      </c>
      <c r="G138" s="15" t="s">
        <v>28</v>
      </c>
      <c r="H138" s="15" t="s">
        <v>757</v>
      </c>
      <c r="I138" s="15" t="s">
        <v>59</v>
      </c>
      <c r="J138" s="15" t="s">
        <v>31</v>
      </c>
      <c r="K138" s="15" t="s">
        <v>32</v>
      </c>
      <c r="L138" s="15" t="s">
        <v>97</v>
      </c>
      <c r="M138" s="15">
        <v>14</v>
      </c>
      <c r="N138" s="25">
        <v>3500</v>
      </c>
      <c r="O138" s="15">
        <v>10</v>
      </c>
      <c r="P138" s="25">
        <v>44100</v>
      </c>
      <c r="Q138" s="15">
        <v>4</v>
      </c>
      <c r="R138" s="15" t="s">
        <v>88</v>
      </c>
      <c r="S138" s="15" t="s">
        <v>35</v>
      </c>
      <c r="T138" s="15" t="s">
        <v>50</v>
      </c>
      <c r="U138" s="15">
        <v>9597378398</v>
      </c>
      <c r="V138" s="15" t="s">
        <v>69</v>
      </c>
      <c r="W138" s="29" t="str">
        <f t="shared" si="2"/>
        <v>Kav008Be</v>
      </c>
    </row>
    <row r="139" spans="1:23" x14ac:dyDescent="0.5">
      <c r="A139" s="17" t="s">
        <v>759</v>
      </c>
      <c r="B139" s="17" t="s">
        <v>327</v>
      </c>
      <c r="C139" s="17" t="s">
        <v>259</v>
      </c>
      <c r="D139" s="17" t="s">
        <v>760</v>
      </c>
      <c r="E139" s="17" t="s">
        <v>761</v>
      </c>
      <c r="F139" s="15" t="s">
        <v>394</v>
      </c>
      <c r="G139" s="17" t="s">
        <v>76</v>
      </c>
      <c r="H139" s="17" t="s">
        <v>762</v>
      </c>
      <c r="I139" s="17" t="s">
        <v>138</v>
      </c>
      <c r="J139" s="17" t="s">
        <v>106</v>
      </c>
      <c r="K139" s="17" t="s">
        <v>122</v>
      </c>
      <c r="L139" s="17" t="s">
        <v>263</v>
      </c>
      <c r="M139" s="17">
        <v>8</v>
      </c>
      <c r="N139" s="26">
        <v>45</v>
      </c>
      <c r="O139" s="17">
        <v>0</v>
      </c>
      <c r="P139" s="26">
        <v>360</v>
      </c>
      <c r="Q139" s="17">
        <v>1</v>
      </c>
      <c r="R139" s="17" t="s">
        <v>79</v>
      </c>
      <c r="S139" s="17" t="s">
        <v>151</v>
      </c>
      <c r="T139" s="15" t="s">
        <v>332</v>
      </c>
      <c r="U139" s="17">
        <v>9343963736</v>
      </c>
      <c r="V139" s="17" t="s">
        <v>69</v>
      </c>
      <c r="W139" s="29" t="str">
        <f t="shared" si="2"/>
        <v>Ami001Ah</v>
      </c>
    </row>
    <row r="140" spans="1:23" x14ac:dyDescent="0.5">
      <c r="A140" s="15" t="s">
        <v>764</v>
      </c>
      <c r="B140" s="15" t="s">
        <v>221</v>
      </c>
      <c r="C140" s="15" t="s">
        <v>259</v>
      </c>
      <c r="D140" s="15" t="s">
        <v>765</v>
      </c>
      <c r="E140" s="15" t="s">
        <v>766</v>
      </c>
      <c r="F140" s="15" t="s">
        <v>225</v>
      </c>
      <c r="G140" s="15" t="s">
        <v>76</v>
      </c>
      <c r="H140" s="15" t="s">
        <v>767</v>
      </c>
      <c r="I140" s="15" t="s">
        <v>44</v>
      </c>
      <c r="J140" s="15" t="s">
        <v>45</v>
      </c>
      <c r="K140" s="15" t="s">
        <v>122</v>
      </c>
      <c r="L140" s="15" t="s">
        <v>263</v>
      </c>
      <c r="M140" s="15">
        <v>11</v>
      </c>
      <c r="N140" s="25">
        <v>45</v>
      </c>
      <c r="O140" s="15">
        <v>5</v>
      </c>
      <c r="P140" s="25">
        <v>470.25</v>
      </c>
      <c r="Q140" s="15">
        <v>3</v>
      </c>
      <c r="R140" s="15" t="s">
        <v>79</v>
      </c>
      <c r="S140" s="15" t="s">
        <v>49</v>
      </c>
      <c r="T140" s="15" t="s">
        <v>228</v>
      </c>
      <c r="U140" s="15">
        <v>9548742147</v>
      </c>
      <c r="V140" s="15" t="s">
        <v>38</v>
      </c>
      <c r="W140" s="29" t="str">
        <f t="shared" si="2"/>
        <v>Vik005De</v>
      </c>
    </row>
    <row r="141" spans="1:23" x14ac:dyDescent="0.5">
      <c r="A141" s="17" t="s">
        <v>769</v>
      </c>
      <c r="B141" s="17" t="s">
        <v>83</v>
      </c>
      <c r="C141" s="17" t="s">
        <v>54</v>
      </c>
      <c r="D141" s="17" t="s">
        <v>770</v>
      </c>
      <c r="E141" s="17" t="s">
        <v>771</v>
      </c>
      <c r="F141" s="15" t="s">
        <v>180</v>
      </c>
      <c r="G141" s="17" t="s">
        <v>76</v>
      </c>
      <c r="H141" s="17" t="s">
        <v>772</v>
      </c>
      <c r="I141" s="17" t="s">
        <v>138</v>
      </c>
      <c r="J141" s="17" t="s">
        <v>106</v>
      </c>
      <c r="K141" s="17" t="s">
        <v>46</v>
      </c>
      <c r="L141" s="17" t="s">
        <v>60</v>
      </c>
      <c r="M141" s="17">
        <v>19</v>
      </c>
      <c r="N141" s="26">
        <v>55000</v>
      </c>
      <c r="O141" s="17">
        <v>0</v>
      </c>
      <c r="P141" s="26">
        <v>1045000</v>
      </c>
      <c r="Q141" s="17">
        <v>2</v>
      </c>
      <c r="R141" s="17" t="s">
        <v>79</v>
      </c>
      <c r="S141" s="17" t="s">
        <v>35</v>
      </c>
      <c r="T141" s="15" t="s">
        <v>89</v>
      </c>
      <c r="U141" s="17">
        <v>9912945471</v>
      </c>
      <c r="V141" s="17" t="s">
        <v>69</v>
      </c>
      <c r="W141" s="29" t="str">
        <f t="shared" si="2"/>
        <v>Arj007Ah</v>
      </c>
    </row>
    <row r="142" spans="1:23" x14ac:dyDescent="0.5">
      <c r="A142" s="15" t="s">
        <v>774</v>
      </c>
      <c r="B142" s="15" t="s">
        <v>53</v>
      </c>
      <c r="C142" s="15" t="s">
        <v>92</v>
      </c>
      <c r="D142" s="15" t="s">
        <v>775</v>
      </c>
      <c r="E142" s="15" t="s">
        <v>539</v>
      </c>
      <c r="F142" s="15" t="s">
        <v>163</v>
      </c>
      <c r="G142" s="15" t="s">
        <v>28</v>
      </c>
      <c r="H142" s="15" t="s">
        <v>776</v>
      </c>
      <c r="I142" s="15" t="s">
        <v>114</v>
      </c>
      <c r="J142" s="15" t="s">
        <v>106</v>
      </c>
      <c r="K142" s="15" t="s">
        <v>32</v>
      </c>
      <c r="L142" s="15" t="s">
        <v>97</v>
      </c>
      <c r="M142" s="15">
        <v>20</v>
      </c>
      <c r="N142" s="25">
        <v>3500</v>
      </c>
      <c r="O142" s="15">
        <v>20</v>
      </c>
      <c r="P142" s="25">
        <v>56000</v>
      </c>
      <c r="Q142" s="15">
        <v>4</v>
      </c>
      <c r="R142" s="15" t="s">
        <v>48</v>
      </c>
      <c r="S142" s="15" t="s">
        <v>49</v>
      </c>
      <c r="T142" s="15" t="s">
        <v>62</v>
      </c>
      <c r="U142" s="15">
        <v>9912630684</v>
      </c>
      <c r="V142" s="15" t="s">
        <v>38</v>
      </c>
      <c r="W142" s="29" t="str">
        <f t="shared" si="2"/>
        <v>Poo010Pu</v>
      </c>
    </row>
    <row r="143" spans="1:23" x14ac:dyDescent="0.5">
      <c r="A143" s="17" t="s">
        <v>778</v>
      </c>
      <c r="B143" s="17" t="s">
        <v>83</v>
      </c>
      <c r="C143" s="17" t="s">
        <v>24</v>
      </c>
      <c r="D143" s="17" t="s">
        <v>276</v>
      </c>
      <c r="E143" s="17" t="s">
        <v>779</v>
      </c>
      <c r="F143" s="15" t="s">
        <v>180</v>
      </c>
      <c r="G143" s="17" t="s">
        <v>76</v>
      </c>
      <c r="H143" s="17" t="s">
        <v>780</v>
      </c>
      <c r="I143" s="17" t="s">
        <v>114</v>
      </c>
      <c r="J143" s="17" t="s">
        <v>106</v>
      </c>
      <c r="K143" s="17" t="s">
        <v>32</v>
      </c>
      <c r="L143" s="17" t="s">
        <v>33</v>
      </c>
      <c r="M143" s="17">
        <v>17</v>
      </c>
      <c r="N143" s="26">
        <v>2200</v>
      </c>
      <c r="O143" s="17">
        <v>0</v>
      </c>
      <c r="P143" s="26">
        <v>37400</v>
      </c>
      <c r="Q143" s="17">
        <v>5</v>
      </c>
      <c r="R143" s="17" t="s">
        <v>48</v>
      </c>
      <c r="S143" s="17" t="s">
        <v>35</v>
      </c>
      <c r="T143" s="15" t="s">
        <v>89</v>
      </c>
      <c r="U143" s="17">
        <v>9114017237</v>
      </c>
      <c r="V143" s="17" t="s">
        <v>64</v>
      </c>
      <c r="W143" s="29" t="str">
        <f t="shared" si="2"/>
        <v>Arj007Pu</v>
      </c>
    </row>
    <row r="144" spans="1:23" x14ac:dyDescent="0.5">
      <c r="A144" s="15" t="s">
        <v>782</v>
      </c>
      <c r="B144" s="15" t="s">
        <v>83</v>
      </c>
      <c r="C144" s="15" t="s">
        <v>72</v>
      </c>
      <c r="D144" s="15" t="s">
        <v>770</v>
      </c>
      <c r="E144" s="15" t="s">
        <v>783</v>
      </c>
      <c r="F144" s="15" t="s">
        <v>180</v>
      </c>
      <c r="G144" s="15" t="s">
        <v>76</v>
      </c>
      <c r="H144" s="15" t="s">
        <v>784</v>
      </c>
      <c r="I144" s="15" t="s">
        <v>114</v>
      </c>
      <c r="J144" s="15" t="s">
        <v>106</v>
      </c>
      <c r="K144" s="15" t="s">
        <v>46</v>
      </c>
      <c r="L144" s="15" t="s">
        <v>78</v>
      </c>
      <c r="M144" s="15">
        <v>10</v>
      </c>
      <c r="N144" s="25">
        <v>1200</v>
      </c>
      <c r="O144" s="15">
        <v>5</v>
      </c>
      <c r="P144" s="25">
        <v>11400</v>
      </c>
      <c r="Q144" s="15">
        <v>2</v>
      </c>
      <c r="R144" s="15" t="s">
        <v>34</v>
      </c>
      <c r="S144" s="15" t="s">
        <v>49</v>
      </c>
      <c r="T144" s="15" t="s">
        <v>89</v>
      </c>
      <c r="U144" s="15">
        <v>9872471236</v>
      </c>
      <c r="V144" s="15" t="s">
        <v>69</v>
      </c>
      <c r="W144" s="29" t="str">
        <f t="shared" si="2"/>
        <v>Arj007Pu</v>
      </c>
    </row>
    <row r="145" spans="1:23" x14ac:dyDescent="0.5">
      <c r="A145" s="17" t="s">
        <v>786</v>
      </c>
      <c r="B145" s="17" t="s">
        <v>221</v>
      </c>
      <c r="C145" s="17" t="s">
        <v>118</v>
      </c>
      <c r="D145" s="17" t="s">
        <v>787</v>
      </c>
      <c r="E145" s="17" t="s">
        <v>788</v>
      </c>
      <c r="F145" s="15" t="s">
        <v>225</v>
      </c>
      <c r="G145" s="17" t="s">
        <v>76</v>
      </c>
      <c r="H145" s="17" t="s">
        <v>789</v>
      </c>
      <c r="I145" s="17" t="s">
        <v>30</v>
      </c>
      <c r="J145" s="17" t="s">
        <v>31</v>
      </c>
      <c r="K145" s="17" t="s">
        <v>122</v>
      </c>
      <c r="L145" s="17" t="s">
        <v>123</v>
      </c>
      <c r="M145" s="17">
        <v>3</v>
      </c>
      <c r="N145" s="26">
        <v>60</v>
      </c>
      <c r="O145" s="17">
        <v>0</v>
      </c>
      <c r="P145" s="26">
        <v>180</v>
      </c>
      <c r="Q145" s="17">
        <v>4</v>
      </c>
      <c r="R145" s="17" t="s">
        <v>48</v>
      </c>
      <c r="S145" s="17" t="s">
        <v>151</v>
      </c>
      <c r="T145" s="15" t="s">
        <v>228</v>
      </c>
      <c r="U145" s="17">
        <v>9461383824</v>
      </c>
      <c r="V145" s="17" t="s">
        <v>38</v>
      </c>
      <c r="W145" s="29" t="str">
        <f t="shared" si="2"/>
        <v>Vik005Hy</v>
      </c>
    </row>
    <row r="146" spans="1:23" x14ac:dyDescent="0.5">
      <c r="A146" s="15" t="s">
        <v>791</v>
      </c>
      <c r="B146" s="15" t="s">
        <v>53</v>
      </c>
      <c r="C146" s="15" t="s">
        <v>24</v>
      </c>
      <c r="D146" s="15" t="s">
        <v>792</v>
      </c>
      <c r="E146" s="15" t="s">
        <v>793</v>
      </c>
      <c r="F146" s="15" t="s">
        <v>163</v>
      </c>
      <c r="G146" s="15" t="s">
        <v>28</v>
      </c>
      <c r="H146" s="15" t="s">
        <v>794</v>
      </c>
      <c r="I146" s="15" t="s">
        <v>105</v>
      </c>
      <c r="J146" s="15" t="s">
        <v>106</v>
      </c>
      <c r="K146" s="15" t="s">
        <v>32</v>
      </c>
      <c r="L146" s="15" t="s">
        <v>33</v>
      </c>
      <c r="M146" s="15">
        <v>18</v>
      </c>
      <c r="N146" s="25">
        <v>2200</v>
      </c>
      <c r="O146" s="15">
        <v>10</v>
      </c>
      <c r="P146" s="25">
        <v>35640</v>
      </c>
      <c r="Q146" s="15">
        <v>1</v>
      </c>
      <c r="R146" s="15" t="s">
        <v>79</v>
      </c>
      <c r="S146" s="15" t="s">
        <v>151</v>
      </c>
      <c r="T146" s="15" t="s">
        <v>62</v>
      </c>
      <c r="U146" s="15">
        <v>9243407457</v>
      </c>
      <c r="V146" s="15" t="s">
        <v>69</v>
      </c>
      <c r="W146" s="29" t="str">
        <f t="shared" si="2"/>
        <v>Poo010Mu</v>
      </c>
    </row>
    <row r="147" spans="1:23" x14ac:dyDescent="0.5">
      <c r="A147" s="17" t="s">
        <v>796</v>
      </c>
      <c r="B147" s="17" t="s">
        <v>71</v>
      </c>
      <c r="C147" s="17" t="s">
        <v>118</v>
      </c>
      <c r="D147" s="17" t="s">
        <v>797</v>
      </c>
      <c r="E147" s="17" t="s">
        <v>798</v>
      </c>
      <c r="F147" s="15" t="s">
        <v>217</v>
      </c>
      <c r="G147" s="17" t="s">
        <v>76</v>
      </c>
      <c r="H147" s="17" t="s">
        <v>799</v>
      </c>
      <c r="I147" s="17" t="s">
        <v>44</v>
      </c>
      <c r="J147" s="17" t="s">
        <v>45</v>
      </c>
      <c r="K147" s="17" t="s">
        <v>122</v>
      </c>
      <c r="L147" s="17" t="s">
        <v>123</v>
      </c>
      <c r="M147" s="17">
        <v>18</v>
      </c>
      <c r="N147" s="26">
        <v>60</v>
      </c>
      <c r="O147" s="17">
        <v>5</v>
      </c>
      <c r="P147" s="26">
        <v>1026</v>
      </c>
      <c r="Q147" s="17">
        <v>3</v>
      </c>
      <c r="R147" s="17" t="s">
        <v>79</v>
      </c>
      <c r="S147" s="17" t="s">
        <v>49</v>
      </c>
      <c r="T147" s="15" t="s">
        <v>80</v>
      </c>
      <c r="U147" s="17">
        <v>9418672379</v>
      </c>
      <c r="V147" s="17" t="s">
        <v>64</v>
      </c>
      <c r="W147" s="29" t="str">
        <f t="shared" si="2"/>
        <v>Moh009De</v>
      </c>
    </row>
    <row r="148" spans="1:23" x14ac:dyDescent="0.5">
      <c r="A148" s="15" t="s">
        <v>801</v>
      </c>
      <c r="B148" s="15" t="s">
        <v>127</v>
      </c>
      <c r="C148" s="15" t="s">
        <v>54</v>
      </c>
      <c r="D148" s="15" t="s">
        <v>422</v>
      </c>
      <c r="E148" s="15" t="s">
        <v>377</v>
      </c>
      <c r="F148" s="15" t="s">
        <v>200</v>
      </c>
      <c r="G148" s="15" t="s">
        <v>76</v>
      </c>
      <c r="H148" s="15" t="s">
        <v>802</v>
      </c>
      <c r="I148" s="15" t="s">
        <v>114</v>
      </c>
      <c r="J148" s="15" t="s">
        <v>106</v>
      </c>
      <c r="K148" s="15" t="s">
        <v>46</v>
      </c>
      <c r="L148" s="15" t="s">
        <v>60</v>
      </c>
      <c r="M148" s="15">
        <v>11</v>
      </c>
      <c r="N148" s="25">
        <v>55000</v>
      </c>
      <c r="O148" s="15">
        <v>15</v>
      </c>
      <c r="P148" s="25">
        <v>514250</v>
      </c>
      <c r="Q148" s="15">
        <v>4</v>
      </c>
      <c r="R148" s="15" t="s">
        <v>88</v>
      </c>
      <c r="S148" s="15" t="s">
        <v>115</v>
      </c>
      <c r="T148" s="15" t="s">
        <v>132</v>
      </c>
      <c r="U148" s="15">
        <v>9222733065</v>
      </c>
      <c r="V148" s="15" t="s">
        <v>69</v>
      </c>
      <c r="W148" s="29" t="str">
        <f t="shared" si="2"/>
        <v>Roh003Pu</v>
      </c>
    </row>
    <row r="149" spans="1:23" x14ac:dyDescent="0.5">
      <c r="A149" s="17" t="s">
        <v>804</v>
      </c>
      <c r="B149" s="17" t="s">
        <v>251</v>
      </c>
      <c r="C149" s="17" t="s">
        <v>169</v>
      </c>
      <c r="D149" s="17" t="s">
        <v>474</v>
      </c>
      <c r="E149" s="17" t="s">
        <v>464</v>
      </c>
      <c r="F149" s="15" t="s">
        <v>254</v>
      </c>
      <c r="G149" s="17" t="s">
        <v>28</v>
      </c>
      <c r="H149" s="17" t="s">
        <v>805</v>
      </c>
      <c r="I149" s="17" t="s">
        <v>294</v>
      </c>
      <c r="J149" s="17" t="s">
        <v>295</v>
      </c>
      <c r="K149" s="17" t="s">
        <v>32</v>
      </c>
      <c r="L149" s="17" t="s">
        <v>174</v>
      </c>
      <c r="M149" s="17">
        <v>5</v>
      </c>
      <c r="N149" s="26">
        <v>8500</v>
      </c>
      <c r="O149" s="17">
        <v>5</v>
      </c>
      <c r="P149" s="26">
        <v>40375</v>
      </c>
      <c r="Q149" s="17">
        <v>4</v>
      </c>
      <c r="R149" s="17" t="s">
        <v>34</v>
      </c>
      <c r="S149" s="17" t="s">
        <v>151</v>
      </c>
      <c r="T149" s="15" t="s">
        <v>256</v>
      </c>
      <c r="U149" s="17">
        <v>9684246902</v>
      </c>
      <c r="V149" s="17" t="s">
        <v>38</v>
      </c>
      <c r="W149" s="29" t="str">
        <f t="shared" si="2"/>
        <v>Sne006Ko</v>
      </c>
    </row>
    <row r="150" spans="1:23" x14ac:dyDescent="0.5">
      <c r="A150" s="15" t="s">
        <v>192</v>
      </c>
      <c r="B150" s="15" t="s">
        <v>100</v>
      </c>
      <c r="C150" s="15" t="s">
        <v>184</v>
      </c>
      <c r="D150" s="15" t="s">
        <v>246</v>
      </c>
      <c r="E150" s="15" t="s">
        <v>128</v>
      </c>
      <c r="F150" s="15" t="s">
        <v>103</v>
      </c>
      <c r="G150" s="15" t="s">
        <v>28</v>
      </c>
      <c r="H150" s="15" t="s">
        <v>807</v>
      </c>
      <c r="I150" s="15" t="s">
        <v>212</v>
      </c>
      <c r="J150" s="15" t="s">
        <v>45</v>
      </c>
      <c r="K150" s="15" t="s">
        <v>46</v>
      </c>
      <c r="L150" s="15" t="s">
        <v>189</v>
      </c>
      <c r="M150" s="15">
        <v>16</v>
      </c>
      <c r="N150" s="25">
        <v>700</v>
      </c>
      <c r="O150" s="15">
        <v>15</v>
      </c>
      <c r="P150" s="25">
        <v>9520</v>
      </c>
      <c r="Q150" s="15">
        <v>4</v>
      </c>
      <c r="R150" s="15" t="s">
        <v>79</v>
      </c>
      <c r="S150" s="15" t="s">
        <v>61</v>
      </c>
      <c r="T150" s="15" t="s">
        <v>144</v>
      </c>
      <c r="U150" s="15">
        <v>9989580228</v>
      </c>
      <c r="V150" s="15" t="s">
        <v>38</v>
      </c>
      <c r="W150" s="29" t="str">
        <f t="shared" si="2"/>
        <v>Pri002Ja</v>
      </c>
    </row>
    <row r="151" spans="1:23" x14ac:dyDescent="0.5">
      <c r="A151" s="17" t="s">
        <v>809</v>
      </c>
      <c r="B151" s="17" t="s">
        <v>127</v>
      </c>
      <c r="C151" s="17" t="s">
        <v>184</v>
      </c>
      <c r="D151" s="17" t="s">
        <v>489</v>
      </c>
      <c r="E151" s="17" t="s">
        <v>267</v>
      </c>
      <c r="F151" s="15" t="s">
        <v>200</v>
      </c>
      <c r="G151" s="17" t="s">
        <v>76</v>
      </c>
      <c r="H151" s="17" t="s">
        <v>810</v>
      </c>
      <c r="I151" s="17" t="s">
        <v>114</v>
      </c>
      <c r="J151" s="17" t="s">
        <v>106</v>
      </c>
      <c r="K151" s="17" t="s">
        <v>46</v>
      </c>
      <c r="L151" s="17" t="s">
        <v>189</v>
      </c>
      <c r="M151" s="17">
        <v>6</v>
      </c>
      <c r="N151" s="26">
        <v>700</v>
      </c>
      <c r="O151" s="17">
        <v>10</v>
      </c>
      <c r="P151" s="26">
        <v>3780</v>
      </c>
      <c r="Q151" s="17">
        <v>4</v>
      </c>
      <c r="R151" s="17" t="s">
        <v>34</v>
      </c>
      <c r="S151" s="17" t="s">
        <v>49</v>
      </c>
      <c r="T151" s="15" t="s">
        <v>132</v>
      </c>
      <c r="U151" s="17">
        <v>9110269572</v>
      </c>
      <c r="V151" s="17" t="s">
        <v>69</v>
      </c>
      <c r="W151" s="29" t="str">
        <f t="shared" si="2"/>
        <v>Roh003Pu</v>
      </c>
    </row>
    <row r="152" spans="1:23" x14ac:dyDescent="0.5">
      <c r="A152" s="15" t="s">
        <v>812</v>
      </c>
      <c r="B152" s="15" t="s">
        <v>53</v>
      </c>
      <c r="C152" s="15" t="s">
        <v>92</v>
      </c>
      <c r="D152" s="15" t="s">
        <v>518</v>
      </c>
      <c r="E152" s="15" t="s">
        <v>615</v>
      </c>
      <c r="F152" s="15" t="s">
        <v>163</v>
      </c>
      <c r="G152" s="15" t="s">
        <v>28</v>
      </c>
      <c r="H152" s="15" t="s">
        <v>813</v>
      </c>
      <c r="I152" s="15" t="s">
        <v>44</v>
      </c>
      <c r="J152" s="15" t="s">
        <v>45</v>
      </c>
      <c r="K152" s="15" t="s">
        <v>32</v>
      </c>
      <c r="L152" s="15" t="s">
        <v>97</v>
      </c>
      <c r="M152" s="15">
        <v>20</v>
      </c>
      <c r="N152" s="25">
        <v>3500</v>
      </c>
      <c r="O152" s="15">
        <v>10</v>
      </c>
      <c r="P152" s="25">
        <v>63000</v>
      </c>
      <c r="Q152" s="15">
        <v>4</v>
      </c>
      <c r="R152" s="15" t="s">
        <v>88</v>
      </c>
      <c r="S152" s="15" t="s">
        <v>49</v>
      </c>
      <c r="T152" s="15" t="s">
        <v>62</v>
      </c>
      <c r="U152" s="15">
        <v>9745972422</v>
      </c>
      <c r="V152" s="15" t="s">
        <v>64</v>
      </c>
      <c r="W152" s="29" t="str">
        <f t="shared" si="2"/>
        <v>Poo010De</v>
      </c>
    </row>
    <row r="153" spans="1:23" x14ac:dyDescent="0.5">
      <c r="A153" s="17" t="s">
        <v>815</v>
      </c>
      <c r="B153" s="17" t="s">
        <v>23</v>
      </c>
      <c r="C153" s="17" t="s">
        <v>222</v>
      </c>
      <c r="D153" s="17" t="s">
        <v>816</v>
      </c>
      <c r="E153" s="17" t="s">
        <v>817</v>
      </c>
      <c r="F153" s="15" t="s">
        <v>27</v>
      </c>
      <c r="G153" s="17" t="s">
        <v>28</v>
      </c>
      <c r="H153" s="17" t="s">
        <v>818</v>
      </c>
      <c r="I153" s="17" t="s">
        <v>59</v>
      </c>
      <c r="J153" s="17" t="s">
        <v>31</v>
      </c>
      <c r="K153" s="17" t="s">
        <v>122</v>
      </c>
      <c r="L153" s="17" t="s">
        <v>227</v>
      </c>
      <c r="M153" s="17">
        <v>2</v>
      </c>
      <c r="N153" s="26">
        <v>20</v>
      </c>
      <c r="O153" s="17">
        <v>10</v>
      </c>
      <c r="P153" s="26">
        <v>36</v>
      </c>
      <c r="Q153" s="17">
        <v>1</v>
      </c>
      <c r="R153" s="17" t="s">
        <v>48</v>
      </c>
      <c r="S153" s="17" t="s">
        <v>115</v>
      </c>
      <c r="T153" s="15" t="s">
        <v>50</v>
      </c>
      <c r="U153" s="17">
        <v>9123712257</v>
      </c>
      <c r="V153" s="17" t="s">
        <v>64</v>
      </c>
      <c r="W153" s="29" t="str">
        <f t="shared" si="2"/>
        <v>Kav008Be</v>
      </c>
    </row>
    <row r="154" spans="1:23" x14ac:dyDescent="0.5">
      <c r="A154" s="15" t="s">
        <v>820</v>
      </c>
      <c r="B154" s="15" t="s">
        <v>100</v>
      </c>
      <c r="C154" s="15" t="s">
        <v>24</v>
      </c>
      <c r="D154" s="15" t="s">
        <v>779</v>
      </c>
      <c r="E154" s="15" t="s">
        <v>821</v>
      </c>
      <c r="F154" s="15" t="s">
        <v>103</v>
      </c>
      <c r="G154" s="15" t="s">
        <v>28</v>
      </c>
      <c r="H154" s="15" t="s">
        <v>822</v>
      </c>
      <c r="I154" s="15" t="s">
        <v>114</v>
      </c>
      <c r="J154" s="15" t="s">
        <v>106</v>
      </c>
      <c r="K154" s="15" t="s">
        <v>32</v>
      </c>
      <c r="L154" s="15" t="s">
        <v>33</v>
      </c>
      <c r="M154" s="15">
        <v>16</v>
      </c>
      <c r="N154" s="25">
        <v>2200</v>
      </c>
      <c r="O154" s="15">
        <v>20</v>
      </c>
      <c r="P154" s="25">
        <v>28160</v>
      </c>
      <c r="Q154" s="15">
        <v>2</v>
      </c>
      <c r="R154" s="15" t="s">
        <v>88</v>
      </c>
      <c r="S154" s="15" t="s">
        <v>151</v>
      </c>
      <c r="T154" s="15" t="s">
        <v>144</v>
      </c>
      <c r="U154" s="15">
        <v>9665525431</v>
      </c>
      <c r="V154" s="15" t="s">
        <v>64</v>
      </c>
      <c r="W154" s="29" t="str">
        <f t="shared" si="2"/>
        <v>Pri002Pu</v>
      </c>
    </row>
    <row r="155" spans="1:23" x14ac:dyDescent="0.5">
      <c r="A155" s="17" t="s">
        <v>824</v>
      </c>
      <c r="B155" s="17" t="s">
        <v>221</v>
      </c>
      <c r="C155" s="17" t="s">
        <v>40</v>
      </c>
      <c r="D155" s="17" t="s">
        <v>148</v>
      </c>
      <c r="E155" s="17" t="s">
        <v>825</v>
      </c>
      <c r="F155" s="15" t="s">
        <v>225</v>
      </c>
      <c r="G155" s="17" t="s">
        <v>76</v>
      </c>
      <c r="H155" s="17" t="s">
        <v>826</v>
      </c>
      <c r="I155" s="17" t="s">
        <v>114</v>
      </c>
      <c r="J155" s="17" t="s">
        <v>106</v>
      </c>
      <c r="K155" s="17" t="s">
        <v>46</v>
      </c>
      <c r="L155" s="17" t="s">
        <v>47</v>
      </c>
      <c r="M155" s="17">
        <v>15</v>
      </c>
      <c r="N155" s="26">
        <v>12000</v>
      </c>
      <c r="O155" s="17">
        <v>0</v>
      </c>
      <c r="P155" s="26">
        <v>180000</v>
      </c>
      <c r="Q155" s="17">
        <v>1</v>
      </c>
      <c r="R155" s="17" t="s">
        <v>79</v>
      </c>
      <c r="S155" s="17" t="s">
        <v>61</v>
      </c>
      <c r="T155" s="15" t="s">
        <v>228</v>
      </c>
      <c r="U155" s="17">
        <v>9682415134</v>
      </c>
      <c r="V155" s="17" t="s">
        <v>64</v>
      </c>
      <c r="W155" s="29" t="str">
        <f t="shared" si="2"/>
        <v>Vik005Pu</v>
      </c>
    </row>
    <row r="156" spans="1:23" x14ac:dyDescent="0.5">
      <c r="A156" s="15" t="s">
        <v>828</v>
      </c>
      <c r="B156" s="15" t="s">
        <v>23</v>
      </c>
      <c r="C156" s="15" t="s">
        <v>118</v>
      </c>
      <c r="D156" s="15" t="s">
        <v>829</v>
      </c>
      <c r="E156" s="15" t="s">
        <v>830</v>
      </c>
      <c r="F156" s="15" t="s">
        <v>27</v>
      </c>
      <c r="G156" s="15" t="s">
        <v>28</v>
      </c>
      <c r="H156" s="15" t="s">
        <v>831</v>
      </c>
      <c r="I156" s="15" t="s">
        <v>44</v>
      </c>
      <c r="J156" s="15" t="s">
        <v>45</v>
      </c>
      <c r="K156" s="15" t="s">
        <v>122</v>
      </c>
      <c r="L156" s="15" t="s">
        <v>123</v>
      </c>
      <c r="M156" s="15">
        <v>14</v>
      </c>
      <c r="N156" s="25">
        <v>60</v>
      </c>
      <c r="O156" s="15">
        <v>15</v>
      </c>
      <c r="P156" s="25">
        <v>714</v>
      </c>
      <c r="Q156" s="15">
        <v>4</v>
      </c>
      <c r="R156" s="15" t="s">
        <v>88</v>
      </c>
      <c r="S156" s="15" t="s">
        <v>49</v>
      </c>
      <c r="T156" s="15" t="s">
        <v>50</v>
      </c>
      <c r="U156" s="15">
        <v>9808223872</v>
      </c>
      <c r="V156" s="15" t="s">
        <v>38</v>
      </c>
      <c r="W156" s="29" t="str">
        <f t="shared" si="2"/>
        <v>Kav008De</v>
      </c>
    </row>
    <row r="157" spans="1:23" x14ac:dyDescent="0.5">
      <c r="A157" s="17" t="s">
        <v>833</v>
      </c>
      <c r="B157" s="17" t="s">
        <v>53</v>
      </c>
      <c r="C157" s="17" t="s">
        <v>72</v>
      </c>
      <c r="D157" s="17" t="s">
        <v>834</v>
      </c>
      <c r="E157" s="17" t="s">
        <v>835</v>
      </c>
      <c r="F157" s="15" t="s">
        <v>163</v>
      </c>
      <c r="G157" s="17" t="s">
        <v>28</v>
      </c>
      <c r="H157" s="17" t="s">
        <v>836</v>
      </c>
      <c r="I157" s="17" t="s">
        <v>30</v>
      </c>
      <c r="J157" s="17" t="s">
        <v>31</v>
      </c>
      <c r="K157" s="17" t="s">
        <v>46</v>
      </c>
      <c r="L157" s="17" t="s">
        <v>78</v>
      </c>
      <c r="M157" s="17">
        <v>9</v>
      </c>
      <c r="N157" s="26">
        <v>1200</v>
      </c>
      <c r="O157" s="17">
        <v>5</v>
      </c>
      <c r="P157" s="26">
        <v>10260</v>
      </c>
      <c r="Q157" s="17">
        <v>5</v>
      </c>
      <c r="R157" s="17" t="s">
        <v>48</v>
      </c>
      <c r="S157" s="17" t="s">
        <v>61</v>
      </c>
      <c r="T157" s="15" t="s">
        <v>62</v>
      </c>
      <c r="U157" s="17">
        <v>9193549730</v>
      </c>
      <c r="V157" s="17" t="s">
        <v>64</v>
      </c>
      <c r="W157" s="29" t="str">
        <f t="shared" si="2"/>
        <v>Poo010Hy</v>
      </c>
    </row>
    <row r="158" spans="1:23" x14ac:dyDescent="0.5">
      <c r="A158" s="15" t="s">
        <v>838</v>
      </c>
      <c r="B158" s="15" t="s">
        <v>221</v>
      </c>
      <c r="C158" s="15" t="s">
        <v>72</v>
      </c>
      <c r="D158" s="15" t="s">
        <v>821</v>
      </c>
      <c r="E158" s="15" t="s">
        <v>839</v>
      </c>
      <c r="F158" s="15" t="s">
        <v>225</v>
      </c>
      <c r="G158" s="15" t="s">
        <v>76</v>
      </c>
      <c r="H158" s="15" t="s">
        <v>840</v>
      </c>
      <c r="I158" s="15" t="s">
        <v>294</v>
      </c>
      <c r="J158" s="15" t="s">
        <v>295</v>
      </c>
      <c r="K158" s="15" t="s">
        <v>46</v>
      </c>
      <c r="L158" s="15" t="s">
        <v>78</v>
      </c>
      <c r="M158" s="15">
        <v>3</v>
      </c>
      <c r="N158" s="25">
        <v>1200</v>
      </c>
      <c r="O158" s="15">
        <v>10</v>
      </c>
      <c r="P158" s="25">
        <v>3240</v>
      </c>
      <c r="Q158" s="15">
        <v>2</v>
      </c>
      <c r="R158" s="15" t="s">
        <v>79</v>
      </c>
      <c r="S158" s="15" t="s">
        <v>151</v>
      </c>
      <c r="T158" s="15" t="s">
        <v>228</v>
      </c>
      <c r="U158" s="15">
        <v>9520617130</v>
      </c>
      <c r="V158" s="15" t="s">
        <v>69</v>
      </c>
      <c r="W158" s="29" t="str">
        <f t="shared" si="2"/>
        <v>Vik005Ko</v>
      </c>
    </row>
    <row r="159" spans="1:23" x14ac:dyDescent="0.5">
      <c r="A159" s="17" t="s">
        <v>842</v>
      </c>
      <c r="B159" s="17" t="s">
        <v>327</v>
      </c>
      <c r="C159" s="17" t="s">
        <v>118</v>
      </c>
      <c r="D159" s="17" t="s">
        <v>459</v>
      </c>
      <c r="E159" s="17" t="s">
        <v>577</v>
      </c>
      <c r="F159" s="15" t="s">
        <v>394</v>
      </c>
      <c r="G159" s="17" t="s">
        <v>76</v>
      </c>
      <c r="H159" s="17" t="s">
        <v>843</v>
      </c>
      <c r="I159" s="17" t="s">
        <v>30</v>
      </c>
      <c r="J159" s="17" t="s">
        <v>31</v>
      </c>
      <c r="K159" s="17" t="s">
        <v>122</v>
      </c>
      <c r="L159" s="17" t="s">
        <v>123</v>
      </c>
      <c r="M159" s="17">
        <v>2</v>
      </c>
      <c r="N159" s="26">
        <v>60</v>
      </c>
      <c r="O159" s="17">
        <v>10</v>
      </c>
      <c r="P159" s="26">
        <v>108</v>
      </c>
      <c r="Q159" s="17">
        <v>2</v>
      </c>
      <c r="R159" s="17" t="s">
        <v>88</v>
      </c>
      <c r="S159" s="17" t="s">
        <v>61</v>
      </c>
      <c r="T159" s="15" t="s">
        <v>332</v>
      </c>
      <c r="U159" s="17">
        <v>9264578122</v>
      </c>
      <c r="V159" s="17" t="s">
        <v>38</v>
      </c>
      <c r="W159" s="29" t="str">
        <f t="shared" si="2"/>
        <v>Ami001Hy</v>
      </c>
    </row>
    <row r="160" spans="1:23" x14ac:dyDescent="0.5">
      <c r="A160" s="15" t="s">
        <v>845</v>
      </c>
      <c r="B160" s="15" t="s">
        <v>71</v>
      </c>
      <c r="C160" s="15" t="s">
        <v>92</v>
      </c>
      <c r="D160" s="15" t="s">
        <v>426</v>
      </c>
      <c r="E160" s="15" t="s">
        <v>846</v>
      </c>
      <c r="F160" s="15" t="s">
        <v>217</v>
      </c>
      <c r="G160" s="15" t="s">
        <v>76</v>
      </c>
      <c r="H160" s="15" t="s">
        <v>847</v>
      </c>
      <c r="I160" s="15" t="s">
        <v>44</v>
      </c>
      <c r="J160" s="15" t="s">
        <v>45</v>
      </c>
      <c r="K160" s="15" t="s">
        <v>32</v>
      </c>
      <c r="L160" s="15" t="s">
        <v>97</v>
      </c>
      <c r="M160" s="15">
        <v>9</v>
      </c>
      <c r="N160" s="25">
        <v>3500</v>
      </c>
      <c r="O160" s="15">
        <v>20</v>
      </c>
      <c r="P160" s="25">
        <v>25200</v>
      </c>
      <c r="Q160" s="15">
        <v>1</v>
      </c>
      <c r="R160" s="15" t="s">
        <v>48</v>
      </c>
      <c r="S160" s="15" t="s">
        <v>35</v>
      </c>
      <c r="T160" s="15" t="s">
        <v>80</v>
      </c>
      <c r="U160" s="15">
        <v>9275071213</v>
      </c>
      <c r="V160" s="15" t="s">
        <v>38</v>
      </c>
      <c r="W160" s="29" t="str">
        <f t="shared" si="2"/>
        <v>Moh009De</v>
      </c>
    </row>
    <row r="161" spans="1:23" x14ac:dyDescent="0.5">
      <c r="A161" s="17" t="s">
        <v>849</v>
      </c>
      <c r="B161" s="17" t="s">
        <v>221</v>
      </c>
      <c r="C161" s="17" t="s">
        <v>54</v>
      </c>
      <c r="D161" s="17" t="s">
        <v>241</v>
      </c>
      <c r="E161" s="17" t="s">
        <v>543</v>
      </c>
      <c r="F161" s="15" t="s">
        <v>225</v>
      </c>
      <c r="G161" s="17" t="s">
        <v>76</v>
      </c>
      <c r="H161" s="17" t="s">
        <v>850</v>
      </c>
      <c r="I161" s="17" t="s">
        <v>212</v>
      </c>
      <c r="J161" s="17" t="s">
        <v>45</v>
      </c>
      <c r="K161" s="17" t="s">
        <v>46</v>
      </c>
      <c r="L161" s="17" t="s">
        <v>60</v>
      </c>
      <c r="M161" s="17">
        <v>4</v>
      </c>
      <c r="N161" s="26">
        <v>55000</v>
      </c>
      <c r="O161" s="17">
        <v>5</v>
      </c>
      <c r="P161" s="26">
        <v>209000</v>
      </c>
      <c r="Q161" s="17">
        <v>2</v>
      </c>
      <c r="R161" s="17" t="s">
        <v>34</v>
      </c>
      <c r="S161" s="17" t="s">
        <v>151</v>
      </c>
      <c r="T161" s="15" t="s">
        <v>228</v>
      </c>
      <c r="U161" s="17">
        <v>9715222543</v>
      </c>
      <c r="V161" s="17" t="s">
        <v>64</v>
      </c>
      <c r="W161" s="29" t="str">
        <f t="shared" si="2"/>
        <v>Vik005Ja</v>
      </c>
    </row>
    <row r="162" spans="1:23" x14ac:dyDescent="0.5">
      <c r="A162" s="15" t="s">
        <v>852</v>
      </c>
      <c r="B162" s="15" t="s">
        <v>327</v>
      </c>
      <c r="C162" s="15" t="s">
        <v>184</v>
      </c>
      <c r="D162" s="15" t="s">
        <v>488</v>
      </c>
      <c r="E162" s="15" t="s">
        <v>266</v>
      </c>
      <c r="F162" s="15" t="s">
        <v>394</v>
      </c>
      <c r="G162" s="15" t="s">
        <v>76</v>
      </c>
      <c r="H162" s="15" t="s">
        <v>854</v>
      </c>
      <c r="I162" s="15" t="s">
        <v>44</v>
      </c>
      <c r="J162" s="15" t="s">
        <v>45</v>
      </c>
      <c r="K162" s="15" t="s">
        <v>46</v>
      </c>
      <c r="L162" s="15" t="s">
        <v>189</v>
      </c>
      <c r="M162" s="15">
        <v>11</v>
      </c>
      <c r="N162" s="25">
        <v>700</v>
      </c>
      <c r="O162" s="15">
        <v>20</v>
      </c>
      <c r="P162" s="25">
        <v>6160</v>
      </c>
      <c r="Q162" s="15">
        <v>4</v>
      </c>
      <c r="R162" s="15" t="s">
        <v>34</v>
      </c>
      <c r="S162" s="15" t="s">
        <v>151</v>
      </c>
      <c r="T162" s="15" t="s">
        <v>332</v>
      </c>
      <c r="U162" s="15">
        <v>9942010833</v>
      </c>
      <c r="V162" s="15" t="s">
        <v>69</v>
      </c>
      <c r="W162" s="29" t="str">
        <f t="shared" si="2"/>
        <v>Ami001De</v>
      </c>
    </row>
    <row r="163" spans="1:23" x14ac:dyDescent="0.5">
      <c r="A163" s="17" t="s">
        <v>856</v>
      </c>
      <c r="B163" s="17" t="s">
        <v>168</v>
      </c>
      <c r="C163" s="17" t="s">
        <v>72</v>
      </c>
      <c r="D163" s="17" t="s">
        <v>286</v>
      </c>
      <c r="E163" s="17" t="s">
        <v>816</v>
      </c>
      <c r="F163" s="15" t="s">
        <v>361</v>
      </c>
      <c r="G163" s="17" t="s">
        <v>28</v>
      </c>
      <c r="H163" s="17" t="s">
        <v>857</v>
      </c>
      <c r="I163" s="17" t="s">
        <v>294</v>
      </c>
      <c r="J163" s="17" t="s">
        <v>295</v>
      </c>
      <c r="K163" s="17" t="s">
        <v>46</v>
      </c>
      <c r="L163" s="17" t="s">
        <v>78</v>
      </c>
      <c r="M163" s="17">
        <v>16</v>
      </c>
      <c r="N163" s="26">
        <v>1200</v>
      </c>
      <c r="O163" s="17">
        <v>5</v>
      </c>
      <c r="P163" s="26">
        <v>18240</v>
      </c>
      <c r="Q163" s="17">
        <v>1</v>
      </c>
      <c r="R163" s="17" t="s">
        <v>79</v>
      </c>
      <c r="S163" s="17" t="s">
        <v>35</v>
      </c>
      <c r="T163" s="15" t="s">
        <v>175</v>
      </c>
      <c r="U163" s="17">
        <v>9347718932</v>
      </c>
      <c r="V163" s="17" t="s">
        <v>64</v>
      </c>
      <c r="W163" s="29" t="str">
        <f t="shared" si="2"/>
        <v>Ani004Ko</v>
      </c>
    </row>
    <row r="164" spans="1:23" x14ac:dyDescent="0.5">
      <c r="A164" s="15" t="s">
        <v>859</v>
      </c>
      <c r="B164" s="15" t="s">
        <v>168</v>
      </c>
      <c r="C164" s="15" t="s">
        <v>72</v>
      </c>
      <c r="D164" s="15" t="s">
        <v>548</v>
      </c>
      <c r="E164" s="15" t="s">
        <v>860</v>
      </c>
      <c r="F164" s="15" t="s">
        <v>361</v>
      </c>
      <c r="G164" s="15" t="s">
        <v>28</v>
      </c>
      <c r="H164" s="15" t="s">
        <v>861</v>
      </c>
      <c r="I164" s="15" t="s">
        <v>114</v>
      </c>
      <c r="J164" s="15" t="s">
        <v>106</v>
      </c>
      <c r="K164" s="15" t="s">
        <v>46</v>
      </c>
      <c r="L164" s="15" t="s">
        <v>78</v>
      </c>
      <c r="M164" s="15">
        <v>1</v>
      </c>
      <c r="N164" s="25">
        <v>1200</v>
      </c>
      <c r="O164" s="15">
        <v>5</v>
      </c>
      <c r="P164" s="25">
        <v>1140</v>
      </c>
      <c r="Q164" s="15">
        <v>4</v>
      </c>
      <c r="R164" s="15" t="s">
        <v>79</v>
      </c>
      <c r="S164" s="15" t="s">
        <v>35</v>
      </c>
      <c r="T164" s="15" t="s">
        <v>175</v>
      </c>
      <c r="U164" s="15">
        <v>9274808844</v>
      </c>
      <c r="V164" s="15" t="s">
        <v>38</v>
      </c>
      <c r="W164" s="29" t="str">
        <f t="shared" si="2"/>
        <v>Ani004Pu</v>
      </c>
    </row>
    <row r="165" spans="1:23" x14ac:dyDescent="0.5">
      <c r="A165" s="17" t="s">
        <v>863</v>
      </c>
      <c r="B165" s="17" t="s">
        <v>327</v>
      </c>
      <c r="C165" s="17" t="s">
        <v>118</v>
      </c>
      <c r="D165" s="17" t="s">
        <v>864</v>
      </c>
      <c r="E165" s="17" t="s">
        <v>865</v>
      </c>
      <c r="F165" s="15" t="s">
        <v>394</v>
      </c>
      <c r="G165" s="17" t="s">
        <v>76</v>
      </c>
      <c r="H165" s="17" t="s">
        <v>866</v>
      </c>
      <c r="I165" s="17" t="s">
        <v>212</v>
      </c>
      <c r="J165" s="17" t="s">
        <v>45</v>
      </c>
      <c r="K165" s="17" t="s">
        <v>122</v>
      </c>
      <c r="L165" s="17" t="s">
        <v>123</v>
      </c>
      <c r="M165" s="17">
        <v>7</v>
      </c>
      <c r="N165" s="26">
        <v>60</v>
      </c>
      <c r="O165" s="17">
        <v>0</v>
      </c>
      <c r="P165" s="26">
        <v>420</v>
      </c>
      <c r="Q165" s="17">
        <v>2</v>
      </c>
      <c r="R165" s="17" t="s">
        <v>88</v>
      </c>
      <c r="S165" s="17" t="s">
        <v>151</v>
      </c>
      <c r="T165" s="15" t="s">
        <v>332</v>
      </c>
      <c r="U165" s="17">
        <v>9798996063</v>
      </c>
      <c r="V165" s="17" t="s">
        <v>38</v>
      </c>
      <c r="W165" s="29" t="str">
        <f t="shared" si="2"/>
        <v>Ami001Ja</v>
      </c>
    </row>
    <row r="166" spans="1:23" x14ac:dyDescent="0.5">
      <c r="A166" s="15" t="s">
        <v>868</v>
      </c>
      <c r="B166" s="15" t="s">
        <v>168</v>
      </c>
      <c r="C166" s="15" t="s">
        <v>24</v>
      </c>
      <c r="D166" s="15" t="s">
        <v>205</v>
      </c>
      <c r="E166" s="15" t="s">
        <v>513</v>
      </c>
      <c r="F166" s="15" t="s">
        <v>361</v>
      </c>
      <c r="G166" s="15" t="s">
        <v>28</v>
      </c>
      <c r="H166" s="15" t="s">
        <v>869</v>
      </c>
      <c r="I166" s="15" t="s">
        <v>114</v>
      </c>
      <c r="J166" s="15" t="s">
        <v>106</v>
      </c>
      <c r="K166" s="15" t="s">
        <v>32</v>
      </c>
      <c r="L166" s="15" t="s">
        <v>33</v>
      </c>
      <c r="M166" s="15">
        <v>14</v>
      </c>
      <c r="N166" s="25">
        <v>2200</v>
      </c>
      <c r="O166" s="15">
        <v>0</v>
      </c>
      <c r="P166" s="25">
        <v>30800</v>
      </c>
      <c r="Q166" s="15">
        <v>2</v>
      </c>
      <c r="R166" s="15" t="s">
        <v>88</v>
      </c>
      <c r="S166" s="15" t="s">
        <v>35</v>
      </c>
      <c r="T166" s="15" t="s">
        <v>175</v>
      </c>
      <c r="U166" s="15">
        <v>9145200936</v>
      </c>
      <c r="V166" s="15" t="s">
        <v>69</v>
      </c>
      <c r="W166" s="29" t="str">
        <f t="shared" si="2"/>
        <v>Ani004Pu</v>
      </c>
    </row>
    <row r="167" spans="1:23" x14ac:dyDescent="0.5">
      <c r="A167" s="17" t="s">
        <v>871</v>
      </c>
      <c r="B167" s="17" t="s">
        <v>168</v>
      </c>
      <c r="C167" s="17" t="s">
        <v>92</v>
      </c>
      <c r="D167" s="17" t="s">
        <v>872</v>
      </c>
      <c r="E167" s="17" t="s">
        <v>488</v>
      </c>
      <c r="F167" s="15" t="s">
        <v>361</v>
      </c>
      <c r="G167" s="17" t="s">
        <v>28</v>
      </c>
      <c r="H167" s="17" t="s">
        <v>873</v>
      </c>
      <c r="I167" s="17" t="s">
        <v>138</v>
      </c>
      <c r="J167" s="17" t="s">
        <v>106</v>
      </c>
      <c r="K167" s="17" t="s">
        <v>32</v>
      </c>
      <c r="L167" s="17" t="s">
        <v>97</v>
      </c>
      <c r="M167" s="17">
        <v>15</v>
      </c>
      <c r="N167" s="26">
        <v>3500</v>
      </c>
      <c r="O167" s="17">
        <v>15</v>
      </c>
      <c r="P167" s="26">
        <v>44625</v>
      </c>
      <c r="Q167" s="17">
        <v>2</v>
      </c>
      <c r="R167" s="17" t="s">
        <v>88</v>
      </c>
      <c r="S167" s="17" t="s">
        <v>61</v>
      </c>
      <c r="T167" s="15" t="s">
        <v>175</v>
      </c>
      <c r="U167" s="17">
        <v>9697654418</v>
      </c>
      <c r="V167" s="17" t="s">
        <v>64</v>
      </c>
      <c r="W167" s="29" t="str">
        <f t="shared" si="2"/>
        <v>Ani004Ah</v>
      </c>
    </row>
    <row r="168" spans="1:23" x14ac:dyDescent="0.5">
      <c r="A168" s="15" t="s">
        <v>875</v>
      </c>
      <c r="B168" s="15" t="s">
        <v>127</v>
      </c>
      <c r="C168" s="15" t="s">
        <v>92</v>
      </c>
      <c r="D168" s="15" t="s">
        <v>876</v>
      </c>
      <c r="E168" s="15" t="s">
        <v>877</v>
      </c>
      <c r="F168" s="15" t="s">
        <v>200</v>
      </c>
      <c r="G168" s="15" t="s">
        <v>76</v>
      </c>
      <c r="H168" s="15" t="s">
        <v>878</v>
      </c>
      <c r="I168" s="15" t="s">
        <v>294</v>
      </c>
      <c r="J168" s="15" t="s">
        <v>295</v>
      </c>
      <c r="K168" s="15" t="s">
        <v>32</v>
      </c>
      <c r="L168" s="15" t="s">
        <v>97</v>
      </c>
      <c r="M168" s="15">
        <v>19</v>
      </c>
      <c r="N168" s="25">
        <v>3500</v>
      </c>
      <c r="O168" s="15">
        <v>5</v>
      </c>
      <c r="P168" s="25">
        <v>63175</v>
      </c>
      <c r="Q168" s="15">
        <v>2</v>
      </c>
      <c r="R168" s="15" t="s">
        <v>34</v>
      </c>
      <c r="S168" s="15" t="s">
        <v>115</v>
      </c>
      <c r="T168" s="15" t="s">
        <v>132</v>
      </c>
      <c r="U168" s="15">
        <v>9457923119</v>
      </c>
      <c r="V168" s="15" t="s">
        <v>69</v>
      </c>
      <c r="W168" s="29" t="str">
        <f t="shared" si="2"/>
        <v>Roh003Ko</v>
      </c>
    </row>
    <row r="169" spans="1:23" x14ac:dyDescent="0.5">
      <c r="A169" s="17" t="s">
        <v>880</v>
      </c>
      <c r="B169" s="17" t="s">
        <v>327</v>
      </c>
      <c r="C169" s="17" t="s">
        <v>54</v>
      </c>
      <c r="D169" s="17" t="s">
        <v>881</v>
      </c>
      <c r="E169" s="17" t="s">
        <v>640</v>
      </c>
      <c r="F169" s="15" t="s">
        <v>394</v>
      </c>
      <c r="G169" s="17" t="s">
        <v>76</v>
      </c>
      <c r="H169" s="17" t="s">
        <v>882</v>
      </c>
      <c r="I169" s="17" t="s">
        <v>59</v>
      </c>
      <c r="J169" s="17" t="s">
        <v>31</v>
      </c>
      <c r="K169" s="17" t="s">
        <v>46</v>
      </c>
      <c r="L169" s="17" t="s">
        <v>60</v>
      </c>
      <c r="M169" s="17">
        <v>12</v>
      </c>
      <c r="N169" s="26">
        <v>55000</v>
      </c>
      <c r="O169" s="17">
        <v>5</v>
      </c>
      <c r="P169" s="26">
        <v>627000</v>
      </c>
      <c r="Q169" s="17">
        <v>4</v>
      </c>
      <c r="R169" s="17" t="s">
        <v>79</v>
      </c>
      <c r="S169" s="17" t="s">
        <v>61</v>
      </c>
      <c r="T169" s="15" t="s">
        <v>332</v>
      </c>
      <c r="U169" s="17">
        <v>9236111271</v>
      </c>
      <c r="V169" s="17" t="s">
        <v>69</v>
      </c>
      <c r="W169" s="29" t="str">
        <f t="shared" si="2"/>
        <v>Ami001Be</v>
      </c>
    </row>
    <row r="170" spans="1:23" x14ac:dyDescent="0.5">
      <c r="A170" s="15" t="s">
        <v>884</v>
      </c>
      <c r="B170" s="15" t="s">
        <v>53</v>
      </c>
      <c r="C170" s="15" t="s">
        <v>72</v>
      </c>
      <c r="D170" s="15" t="s">
        <v>587</v>
      </c>
      <c r="E170" s="15" t="s">
        <v>483</v>
      </c>
      <c r="F170" s="15" t="s">
        <v>163</v>
      </c>
      <c r="G170" s="15" t="s">
        <v>28</v>
      </c>
      <c r="H170" s="15" t="s">
        <v>885</v>
      </c>
      <c r="I170" s="15" t="s">
        <v>105</v>
      </c>
      <c r="J170" s="15" t="s">
        <v>106</v>
      </c>
      <c r="K170" s="15" t="s">
        <v>46</v>
      </c>
      <c r="L170" s="15" t="s">
        <v>78</v>
      </c>
      <c r="M170" s="15">
        <v>6</v>
      </c>
      <c r="N170" s="25">
        <v>1200</v>
      </c>
      <c r="O170" s="15">
        <v>10</v>
      </c>
      <c r="P170" s="25">
        <v>6480</v>
      </c>
      <c r="Q170" s="15">
        <v>5</v>
      </c>
      <c r="R170" s="15" t="s">
        <v>48</v>
      </c>
      <c r="S170" s="15" t="s">
        <v>115</v>
      </c>
      <c r="T170" s="15" t="s">
        <v>62</v>
      </c>
      <c r="U170" s="15">
        <v>9402569141</v>
      </c>
      <c r="V170" s="15" t="s">
        <v>69</v>
      </c>
      <c r="W170" s="29" t="str">
        <f t="shared" si="2"/>
        <v>Poo010Mu</v>
      </c>
    </row>
    <row r="171" spans="1:23" x14ac:dyDescent="0.5">
      <c r="A171" s="17" t="s">
        <v>887</v>
      </c>
      <c r="B171" s="17" t="s">
        <v>251</v>
      </c>
      <c r="C171" s="17" t="s">
        <v>169</v>
      </c>
      <c r="D171" s="17" t="s">
        <v>128</v>
      </c>
      <c r="E171" s="17" t="s">
        <v>247</v>
      </c>
      <c r="F171" s="15" t="s">
        <v>254</v>
      </c>
      <c r="G171" s="17" t="s">
        <v>28</v>
      </c>
      <c r="H171" s="17" t="s">
        <v>888</v>
      </c>
      <c r="I171" s="17" t="s">
        <v>30</v>
      </c>
      <c r="J171" s="17" t="s">
        <v>31</v>
      </c>
      <c r="K171" s="17" t="s">
        <v>32</v>
      </c>
      <c r="L171" s="17" t="s">
        <v>174</v>
      </c>
      <c r="M171" s="17">
        <v>1</v>
      </c>
      <c r="N171" s="26">
        <v>8500</v>
      </c>
      <c r="O171" s="17">
        <v>0</v>
      </c>
      <c r="P171" s="26">
        <v>8500</v>
      </c>
      <c r="Q171" s="17">
        <v>1</v>
      </c>
      <c r="R171" s="17" t="s">
        <v>88</v>
      </c>
      <c r="S171" s="17" t="s">
        <v>151</v>
      </c>
      <c r="T171" s="15" t="s">
        <v>256</v>
      </c>
      <c r="U171" s="17">
        <v>9138184056</v>
      </c>
      <c r="V171" s="17" t="s">
        <v>69</v>
      </c>
      <c r="W171" s="29" t="str">
        <f t="shared" si="2"/>
        <v>Sne006Hy</v>
      </c>
    </row>
    <row r="172" spans="1:23" x14ac:dyDescent="0.5">
      <c r="A172" s="15" t="s">
        <v>890</v>
      </c>
      <c r="B172" s="15" t="s">
        <v>127</v>
      </c>
      <c r="C172" s="15" t="s">
        <v>54</v>
      </c>
      <c r="D172" s="15" t="s">
        <v>891</v>
      </c>
      <c r="E172" s="15" t="s">
        <v>892</v>
      </c>
      <c r="F172" s="15" t="s">
        <v>200</v>
      </c>
      <c r="G172" s="15" t="s">
        <v>76</v>
      </c>
      <c r="H172" s="15" t="s">
        <v>893</v>
      </c>
      <c r="I172" s="15" t="s">
        <v>138</v>
      </c>
      <c r="J172" s="15" t="s">
        <v>106</v>
      </c>
      <c r="K172" s="15" t="s">
        <v>46</v>
      </c>
      <c r="L172" s="15" t="s">
        <v>60</v>
      </c>
      <c r="M172" s="15">
        <v>20</v>
      </c>
      <c r="N172" s="25">
        <v>55000</v>
      </c>
      <c r="O172" s="15">
        <v>10</v>
      </c>
      <c r="P172" s="25">
        <v>990000</v>
      </c>
      <c r="Q172" s="15">
        <v>5</v>
      </c>
      <c r="R172" s="15" t="s">
        <v>48</v>
      </c>
      <c r="S172" s="15" t="s">
        <v>151</v>
      </c>
      <c r="T172" s="15" t="s">
        <v>132</v>
      </c>
      <c r="U172" s="15">
        <v>9609598700</v>
      </c>
      <c r="V172" s="15" t="s">
        <v>38</v>
      </c>
      <c r="W172" s="29" t="str">
        <f t="shared" si="2"/>
        <v>Roh003Ah</v>
      </c>
    </row>
    <row r="173" spans="1:23" x14ac:dyDescent="0.5">
      <c r="A173" s="17" t="s">
        <v>895</v>
      </c>
      <c r="B173" s="17" t="s">
        <v>221</v>
      </c>
      <c r="C173" s="17" t="s">
        <v>72</v>
      </c>
      <c r="D173" s="17" t="s">
        <v>661</v>
      </c>
      <c r="E173" s="17" t="s">
        <v>896</v>
      </c>
      <c r="F173" s="15" t="s">
        <v>225</v>
      </c>
      <c r="G173" s="17" t="s">
        <v>76</v>
      </c>
      <c r="H173" s="17" t="s">
        <v>897</v>
      </c>
      <c r="I173" s="17" t="s">
        <v>138</v>
      </c>
      <c r="J173" s="17" t="s">
        <v>106</v>
      </c>
      <c r="K173" s="17" t="s">
        <v>46</v>
      </c>
      <c r="L173" s="17" t="s">
        <v>78</v>
      </c>
      <c r="M173" s="17">
        <v>8</v>
      </c>
      <c r="N173" s="26">
        <v>1200</v>
      </c>
      <c r="O173" s="17">
        <v>15</v>
      </c>
      <c r="P173" s="26">
        <v>8160</v>
      </c>
      <c r="Q173" s="17">
        <v>2</v>
      </c>
      <c r="R173" s="17" t="s">
        <v>88</v>
      </c>
      <c r="S173" s="17" t="s">
        <v>115</v>
      </c>
      <c r="T173" s="15" t="s">
        <v>228</v>
      </c>
      <c r="U173" s="17">
        <v>9385894399</v>
      </c>
      <c r="V173" s="17" t="s">
        <v>69</v>
      </c>
      <c r="W173" s="29" t="str">
        <f t="shared" si="2"/>
        <v>Vik005Ah</v>
      </c>
    </row>
    <row r="174" spans="1:23" x14ac:dyDescent="0.5">
      <c r="A174" s="15" t="s">
        <v>899</v>
      </c>
      <c r="B174" s="15" t="s">
        <v>23</v>
      </c>
      <c r="C174" s="15" t="s">
        <v>92</v>
      </c>
      <c r="D174" s="15" t="s">
        <v>900</v>
      </c>
      <c r="E174" s="15" t="s">
        <v>901</v>
      </c>
      <c r="F174" s="15" t="s">
        <v>27</v>
      </c>
      <c r="G174" s="15" t="s">
        <v>28</v>
      </c>
      <c r="H174" s="15" t="s">
        <v>902</v>
      </c>
      <c r="I174" s="15" t="s">
        <v>212</v>
      </c>
      <c r="J174" s="15" t="s">
        <v>45</v>
      </c>
      <c r="K174" s="15" t="s">
        <v>32</v>
      </c>
      <c r="L174" s="15" t="s">
        <v>97</v>
      </c>
      <c r="M174" s="15">
        <v>19</v>
      </c>
      <c r="N174" s="25">
        <v>3500</v>
      </c>
      <c r="O174" s="15">
        <v>5</v>
      </c>
      <c r="P174" s="25">
        <v>63175</v>
      </c>
      <c r="Q174" s="15">
        <v>4</v>
      </c>
      <c r="R174" s="15" t="s">
        <v>88</v>
      </c>
      <c r="S174" s="15" t="s">
        <v>49</v>
      </c>
      <c r="T174" s="15" t="s">
        <v>50</v>
      </c>
      <c r="U174" s="15">
        <v>9329448011</v>
      </c>
      <c r="V174" s="15" t="s">
        <v>64</v>
      </c>
      <c r="W174" s="29" t="str">
        <f t="shared" si="2"/>
        <v>Kav008Ja</v>
      </c>
    </row>
    <row r="175" spans="1:23" x14ac:dyDescent="0.5">
      <c r="A175" s="17" t="s">
        <v>904</v>
      </c>
      <c r="B175" s="17" t="s">
        <v>221</v>
      </c>
      <c r="C175" s="17" t="s">
        <v>259</v>
      </c>
      <c r="D175" s="17" t="s">
        <v>41</v>
      </c>
      <c r="E175" s="17" t="s">
        <v>606</v>
      </c>
      <c r="F175" s="15" t="s">
        <v>225</v>
      </c>
      <c r="G175" s="17" t="s">
        <v>76</v>
      </c>
      <c r="H175" s="17" t="s">
        <v>906</v>
      </c>
      <c r="I175" s="17" t="s">
        <v>212</v>
      </c>
      <c r="J175" s="17" t="s">
        <v>45</v>
      </c>
      <c r="K175" s="17" t="s">
        <v>122</v>
      </c>
      <c r="L175" s="17" t="s">
        <v>263</v>
      </c>
      <c r="M175" s="17">
        <v>6</v>
      </c>
      <c r="N175" s="26">
        <v>45</v>
      </c>
      <c r="O175" s="17">
        <v>20</v>
      </c>
      <c r="P175" s="26">
        <v>216</v>
      </c>
      <c r="Q175" s="17">
        <v>1</v>
      </c>
      <c r="R175" s="17" t="s">
        <v>79</v>
      </c>
      <c r="S175" s="17" t="s">
        <v>49</v>
      </c>
      <c r="T175" s="15" t="s">
        <v>2112</v>
      </c>
      <c r="U175" s="17">
        <v>9889544104</v>
      </c>
      <c r="V175" s="17" t="s">
        <v>64</v>
      </c>
      <c r="W175" s="29" t="str">
        <f t="shared" si="2"/>
        <v>Vik005Ja</v>
      </c>
    </row>
    <row r="176" spans="1:23" x14ac:dyDescent="0.5">
      <c r="A176" s="15" t="s">
        <v>909</v>
      </c>
      <c r="B176" s="15" t="s">
        <v>251</v>
      </c>
      <c r="C176" s="15" t="s">
        <v>259</v>
      </c>
      <c r="D176" s="15" t="s">
        <v>910</v>
      </c>
      <c r="E176" s="15" t="s">
        <v>119</v>
      </c>
      <c r="F176" s="15" t="s">
        <v>254</v>
      </c>
      <c r="G176" s="15" t="s">
        <v>28</v>
      </c>
      <c r="H176" s="15" t="s">
        <v>911</v>
      </c>
      <c r="I176" s="15" t="s">
        <v>114</v>
      </c>
      <c r="J176" s="15" t="s">
        <v>106</v>
      </c>
      <c r="K176" s="15" t="s">
        <v>122</v>
      </c>
      <c r="L176" s="15" t="s">
        <v>263</v>
      </c>
      <c r="M176" s="15">
        <v>17</v>
      </c>
      <c r="N176" s="25">
        <v>45</v>
      </c>
      <c r="O176" s="15">
        <v>15</v>
      </c>
      <c r="P176" s="25">
        <v>650.25</v>
      </c>
      <c r="Q176" s="15">
        <v>5</v>
      </c>
      <c r="R176" s="15" t="s">
        <v>34</v>
      </c>
      <c r="S176" s="15" t="s">
        <v>115</v>
      </c>
      <c r="T176" s="15" t="s">
        <v>256</v>
      </c>
      <c r="U176" s="15">
        <v>9101861045</v>
      </c>
      <c r="V176" s="15" t="s">
        <v>64</v>
      </c>
      <c r="W176" s="29" t="str">
        <f t="shared" si="2"/>
        <v>Sne006Pu</v>
      </c>
    </row>
    <row r="177" spans="1:23" x14ac:dyDescent="0.5">
      <c r="A177" s="17" t="s">
        <v>913</v>
      </c>
      <c r="B177" s="17" t="s">
        <v>23</v>
      </c>
      <c r="C177" s="17" t="s">
        <v>222</v>
      </c>
      <c r="D177" s="17" t="s">
        <v>276</v>
      </c>
      <c r="E177" s="17" t="s">
        <v>914</v>
      </c>
      <c r="F177" s="15" t="s">
        <v>27</v>
      </c>
      <c r="G177" s="17" t="s">
        <v>28</v>
      </c>
      <c r="H177" s="17" t="s">
        <v>915</v>
      </c>
      <c r="I177" s="17" t="s">
        <v>114</v>
      </c>
      <c r="J177" s="17" t="s">
        <v>106</v>
      </c>
      <c r="K177" s="17" t="s">
        <v>122</v>
      </c>
      <c r="L177" s="17" t="s">
        <v>227</v>
      </c>
      <c r="M177" s="17">
        <v>19</v>
      </c>
      <c r="N177" s="26">
        <v>20</v>
      </c>
      <c r="O177" s="17">
        <v>5</v>
      </c>
      <c r="P177" s="26">
        <v>361</v>
      </c>
      <c r="Q177" s="17">
        <v>4</v>
      </c>
      <c r="R177" s="17" t="s">
        <v>34</v>
      </c>
      <c r="S177" s="17" t="s">
        <v>35</v>
      </c>
      <c r="T177" s="15" t="s">
        <v>50</v>
      </c>
      <c r="U177" s="17">
        <v>9364712105</v>
      </c>
      <c r="V177" s="17" t="s">
        <v>64</v>
      </c>
      <c r="W177" s="29" t="str">
        <f t="shared" si="2"/>
        <v>Kav008Pu</v>
      </c>
    </row>
    <row r="178" spans="1:23" x14ac:dyDescent="0.5">
      <c r="A178" s="15" t="s">
        <v>917</v>
      </c>
      <c r="B178" s="15" t="s">
        <v>251</v>
      </c>
      <c r="C178" s="15" t="s">
        <v>222</v>
      </c>
      <c r="D178" s="15" t="s">
        <v>918</v>
      </c>
      <c r="E178" s="15" t="s">
        <v>352</v>
      </c>
      <c r="F178" s="15" t="s">
        <v>254</v>
      </c>
      <c r="G178" s="15" t="s">
        <v>28</v>
      </c>
      <c r="H178" s="15" t="s">
        <v>920</v>
      </c>
      <c r="I178" s="15" t="s">
        <v>138</v>
      </c>
      <c r="J178" s="15" t="s">
        <v>106</v>
      </c>
      <c r="K178" s="15" t="s">
        <v>122</v>
      </c>
      <c r="L178" s="15" t="s">
        <v>227</v>
      </c>
      <c r="M178" s="15">
        <v>11</v>
      </c>
      <c r="N178" s="25">
        <v>20</v>
      </c>
      <c r="O178" s="15">
        <v>0</v>
      </c>
      <c r="P178" s="25">
        <v>220</v>
      </c>
      <c r="Q178" s="15">
        <v>3</v>
      </c>
      <c r="R178" s="15" t="s">
        <v>48</v>
      </c>
      <c r="S178" s="15" t="s">
        <v>49</v>
      </c>
      <c r="T178" s="15" t="s">
        <v>256</v>
      </c>
      <c r="U178" s="15">
        <v>9950206376</v>
      </c>
      <c r="V178" s="15" t="s">
        <v>38</v>
      </c>
      <c r="W178" s="29" t="str">
        <f t="shared" si="2"/>
        <v>Sne006Ah</v>
      </c>
    </row>
    <row r="179" spans="1:23" x14ac:dyDescent="0.5">
      <c r="A179" s="17" t="s">
        <v>922</v>
      </c>
      <c r="B179" s="17" t="s">
        <v>168</v>
      </c>
      <c r="C179" s="17" t="s">
        <v>118</v>
      </c>
      <c r="D179" s="17" t="s">
        <v>323</v>
      </c>
      <c r="E179" s="17" t="s">
        <v>923</v>
      </c>
      <c r="F179" s="15" t="s">
        <v>361</v>
      </c>
      <c r="G179" s="17" t="s">
        <v>28</v>
      </c>
      <c r="H179" s="17" t="s">
        <v>924</v>
      </c>
      <c r="I179" s="17" t="s">
        <v>44</v>
      </c>
      <c r="J179" s="17" t="s">
        <v>45</v>
      </c>
      <c r="K179" s="17" t="s">
        <v>122</v>
      </c>
      <c r="L179" s="17" t="s">
        <v>123</v>
      </c>
      <c r="M179" s="17">
        <v>12</v>
      </c>
      <c r="N179" s="26">
        <v>60</v>
      </c>
      <c r="O179" s="17">
        <v>0</v>
      </c>
      <c r="P179" s="26">
        <v>720</v>
      </c>
      <c r="Q179" s="17">
        <v>2</v>
      </c>
      <c r="R179" s="17" t="s">
        <v>48</v>
      </c>
      <c r="S179" s="17" t="s">
        <v>49</v>
      </c>
      <c r="T179" s="15" t="s">
        <v>175</v>
      </c>
      <c r="U179" s="17">
        <v>9235822094</v>
      </c>
      <c r="V179" s="17" t="s">
        <v>38</v>
      </c>
      <c r="W179" s="29" t="str">
        <f t="shared" si="2"/>
        <v>Ani004De</v>
      </c>
    </row>
    <row r="180" spans="1:23" x14ac:dyDescent="0.5">
      <c r="A180" s="15" t="s">
        <v>926</v>
      </c>
      <c r="B180" s="15" t="s">
        <v>221</v>
      </c>
      <c r="C180" s="15" t="s">
        <v>259</v>
      </c>
      <c r="D180" s="15" t="s">
        <v>927</v>
      </c>
      <c r="E180" s="15" t="s">
        <v>865</v>
      </c>
      <c r="F180" s="15" t="s">
        <v>103</v>
      </c>
      <c r="G180" s="15" t="s">
        <v>76</v>
      </c>
      <c r="H180" s="15" t="s">
        <v>929</v>
      </c>
      <c r="I180" s="15" t="s">
        <v>294</v>
      </c>
      <c r="J180" s="15" t="s">
        <v>295</v>
      </c>
      <c r="K180" s="15" t="s">
        <v>122</v>
      </c>
      <c r="L180" s="15" t="s">
        <v>263</v>
      </c>
      <c r="M180" s="15">
        <v>14</v>
      </c>
      <c r="N180" s="25">
        <v>45</v>
      </c>
      <c r="O180" s="15">
        <v>15</v>
      </c>
      <c r="P180" s="25">
        <v>535.5</v>
      </c>
      <c r="Q180" s="15">
        <v>5</v>
      </c>
      <c r="R180" s="15" t="s">
        <v>88</v>
      </c>
      <c r="S180" s="15" t="s">
        <v>115</v>
      </c>
      <c r="T180" s="15" t="s">
        <v>228</v>
      </c>
      <c r="U180" s="15">
        <v>9311021344</v>
      </c>
      <c r="V180" s="15" t="s">
        <v>64</v>
      </c>
      <c r="W180" s="29" t="str">
        <f t="shared" si="2"/>
        <v>Pri005Ko</v>
      </c>
    </row>
    <row r="181" spans="1:23" x14ac:dyDescent="0.5">
      <c r="A181" s="17" t="s">
        <v>931</v>
      </c>
      <c r="B181" s="17" t="s">
        <v>23</v>
      </c>
      <c r="C181" s="17" t="s">
        <v>184</v>
      </c>
      <c r="D181" s="17" t="s">
        <v>932</v>
      </c>
      <c r="E181" s="17" t="s">
        <v>303</v>
      </c>
      <c r="F181" s="15" t="s">
        <v>27</v>
      </c>
      <c r="G181" s="17" t="s">
        <v>28</v>
      </c>
      <c r="H181" s="17" t="s">
        <v>933</v>
      </c>
      <c r="I181" s="17" t="s">
        <v>30</v>
      </c>
      <c r="J181" s="17" t="s">
        <v>31</v>
      </c>
      <c r="K181" s="17" t="s">
        <v>46</v>
      </c>
      <c r="L181" s="17" t="s">
        <v>189</v>
      </c>
      <c r="M181" s="17">
        <v>15</v>
      </c>
      <c r="N181" s="26">
        <v>700</v>
      </c>
      <c r="O181" s="17">
        <v>10</v>
      </c>
      <c r="P181" s="26">
        <v>9450</v>
      </c>
      <c r="Q181" s="17">
        <v>3</v>
      </c>
      <c r="R181" s="17" t="s">
        <v>48</v>
      </c>
      <c r="S181" s="17" t="s">
        <v>49</v>
      </c>
      <c r="T181" s="15" t="s">
        <v>50</v>
      </c>
      <c r="U181" s="17">
        <v>9891358505</v>
      </c>
      <c r="V181" s="17" t="s">
        <v>64</v>
      </c>
      <c r="W181" s="29" t="str">
        <f t="shared" si="2"/>
        <v>Kav008Hy</v>
      </c>
    </row>
    <row r="182" spans="1:23" x14ac:dyDescent="0.5">
      <c r="A182" s="15" t="s">
        <v>935</v>
      </c>
      <c r="B182" s="15" t="s">
        <v>100</v>
      </c>
      <c r="C182" s="15" t="s">
        <v>169</v>
      </c>
      <c r="D182" s="15" t="s">
        <v>936</v>
      </c>
      <c r="E182" s="15" t="s">
        <v>683</v>
      </c>
      <c r="F182" s="15" t="s">
        <v>103</v>
      </c>
      <c r="G182" s="15" t="s">
        <v>28</v>
      </c>
      <c r="H182" s="15" t="s">
        <v>937</v>
      </c>
      <c r="I182" s="15" t="s">
        <v>138</v>
      </c>
      <c r="J182" s="15" t="s">
        <v>106</v>
      </c>
      <c r="K182" s="15" t="s">
        <v>32</v>
      </c>
      <c r="L182" s="15" t="s">
        <v>174</v>
      </c>
      <c r="M182" s="15">
        <v>19</v>
      </c>
      <c r="N182" s="25">
        <v>8500</v>
      </c>
      <c r="O182" s="15">
        <v>15</v>
      </c>
      <c r="P182" s="25">
        <v>137275</v>
      </c>
      <c r="Q182" s="15">
        <v>2</v>
      </c>
      <c r="R182" s="15" t="s">
        <v>34</v>
      </c>
      <c r="S182" s="15" t="s">
        <v>35</v>
      </c>
      <c r="T182" s="15" t="s">
        <v>144</v>
      </c>
      <c r="U182" s="15">
        <v>9910085332</v>
      </c>
      <c r="V182" s="15" t="s">
        <v>69</v>
      </c>
      <c r="W182" s="29" t="str">
        <f t="shared" si="2"/>
        <v>Pri002Ah</v>
      </c>
    </row>
    <row r="183" spans="1:23" x14ac:dyDescent="0.5">
      <c r="A183" s="17" t="s">
        <v>939</v>
      </c>
      <c r="B183" s="17" t="s">
        <v>251</v>
      </c>
      <c r="C183" s="17" t="s">
        <v>118</v>
      </c>
      <c r="D183" s="17" t="s">
        <v>940</v>
      </c>
      <c r="E183" s="17" t="s">
        <v>941</v>
      </c>
      <c r="F183" s="15" t="s">
        <v>254</v>
      </c>
      <c r="G183" s="17" t="s">
        <v>28</v>
      </c>
      <c r="H183" s="17" t="s">
        <v>911</v>
      </c>
      <c r="I183" s="17" t="s">
        <v>212</v>
      </c>
      <c r="J183" s="17" t="s">
        <v>45</v>
      </c>
      <c r="K183" s="17" t="s">
        <v>122</v>
      </c>
      <c r="L183" s="17" t="s">
        <v>123</v>
      </c>
      <c r="M183" s="17">
        <v>19</v>
      </c>
      <c r="N183" s="26">
        <v>60</v>
      </c>
      <c r="O183" s="17">
        <v>20</v>
      </c>
      <c r="P183" s="26">
        <v>912</v>
      </c>
      <c r="Q183" s="17">
        <v>4</v>
      </c>
      <c r="R183" s="17" t="s">
        <v>79</v>
      </c>
      <c r="S183" s="17" t="s">
        <v>49</v>
      </c>
      <c r="T183" s="15" t="s">
        <v>256</v>
      </c>
      <c r="U183" s="17">
        <v>9756908023</v>
      </c>
      <c r="V183" s="17" t="s">
        <v>64</v>
      </c>
      <c r="W183" s="29" t="str">
        <f t="shared" si="2"/>
        <v>Sne006Ja</v>
      </c>
    </row>
    <row r="184" spans="1:23" x14ac:dyDescent="0.5">
      <c r="A184" s="15" t="s">
        <v>943</v>
      </c>
      <c r="B184" s="15" t="s">
        <v>100</v>
      </c>
      <c r="C184" s="15" t="s">
        <v>259</v>
      </c>
      <c r="D184" s="15" t="s">
        <v>944</v>
      </c>
      <c r="E184" s="15" t="s">
        <v>936</v>
      </c>
      <c r="F184" s="15" t="s">
        <v>103</v>
      </c>
      <c r="G184" s="15" t="s">
        <v>28</v>
      </c>
      <c r="H184" s="15" t="s">
        <v>945</v>
      </c>
      <c r="I184" s="15" t="s">
        <v>59</v>
      </c>
      <c r="J184" s="15" t="s">
        <v>31</v>
      </c>
      <c r="K184" s="15" t="s">
        <v>122</v>
      </c>
      <c r="L184" s="15" t="s">
        <v>263</v>
      </c>
      <c r="M184" s="15">
        <v>10</v>
      </c>
      <c r="N184" s="25">
        <v>45</v>
      </c>
      <c r="O184" s="15">
        <v>15</v>
      </c>
      <c r="P184" s="25">
        <v>382.5</v>
      </c>
      <c r="Q184" s="15">
        <v>4</v>
      </c>
      <c r="R184" s="15" t="s">
        <v>34</v>
      </c>
      <c r="S184" s="15" t="s">
        <v>151</v>
      </c>
      <c r="T184" s="15" t="s">
        <v>144</v>
      </c>
      <c r="U184" s="15">
        <v>9645913247</v>
      </c>
      <c r="V184" s="15" t="s">
        <v>38</v>
      </c>
      <c r="W184" s="29" t="str">
        <f t="shared" si="2"/>
        <v>Pri002Be</v>
      </c>
    </row>
    <row r="185" spans="1:23" x14ac:dyDescent="0.5">
      <c r="A185" s="17" t="s">
        <v>947</v>
      </c>
      <c r="B185" s="17" t="s">
        <v>71</v>
      </c>
      <c r="C185" s="17" t="s">
        <v>24</v>
      </c>
      <c r="D185" s="17" t="s">
        <v>948</v>
      </c>
      <c r="E185" s="17" t="s">
        <v>949</v>
      </c>
      <c r="F185" s="15" t="s">
        <v>217</v>
      </c>
      <c r="G185" s="17" t="s">
        <v>76</v>
      </c>
      <c r="H185" s="17" t="s">
        <v>950</v>
      </c>
      <c r="I185" s="17" t="s">
        <v>44</v>
      </c>
      <c r="J185" s="17" t="s">
        <v>45</v>
      </c>
      <c r="K185" s="17" t="s">
        <v>32</v>
      </c>
      <c r="L185" s="17" t="s">
        <v>33</v>
      </c>
      <c r="M185" s="17">
        <v>7</v>
      </c>
      <c r="N185" s="26">
        <v>2200</v>
      </c>
      <c r="O185" s="17">
        <v>20</v>
      </c>
      <c r="P185" s="26">
        <v>12320</v>
      </c>
      <c r="Q185" s="17">
        <v>5</v>
      </c>
      <c r="R185" s="17" t="s">
        <v>88</v>
      </c>
      <c r="S185" s="17" t="s">
        <v>49</v>
      </c>
      <c r="T185" s="15" t="s">
        <v>80</v>
      </c>
      <c r="U185" s="17">
        <v>9806914795</v>
      </c>
      <c r="V185" s="17" t="s">
        <v>64</v>
      </c>
      <c r="W185" s="29" t="str">
        <f t="shared" si="2"/>
        <v>Moh009De</v>
      </c>
    </row>
    <row r="186" spans="1:23" x14ac:dyDescent="0.5">
      <c r="A186" s="15" t="s">
        <v>952</v>
      </c>
      <c r="B186" s="15" t="s">
        <v>100</v>
      </c>
      <c r="C186" s="15" t="s">
        <v>169</v>
      </c>
      <c r="D186" s="15" t="s">
        <v>953</v>
      </c>
      <c r="E186" s="15" t="s">
        <v>42</v>
      </c>
      <c r="F186" s="15" t="s">
        <v>103</v>
      </c>
      <c r="G186" s="15" t="s">
        <v>28</v>
      </c>
      <c r="H186" s="15" t="s">
        <v>954</v>
      </c>
      <c r="I186" s="15" t="s">
        <v>294</v>
      </c>
      <c r="J186" s="15" t="s">
        <v>295</v>
      </c>
      <c r="K186" s="15" t="s">
        <v>32</v>
      </c>
      <c r="L186" s="15" t="s">
        <v>174</v>
      </c>
      <c r="M186" s="15">
        <v>20</v>
      </c>
      <c r="N186" s="25">
        <v>8500</v>
      </c>
      <c r="O186" s="15">
        <v>20</v>
      </c>
      <c r="P186" s="25">
        <v>136000</v>
      </c>
      <c r="Q186" s="15">
        <v>4</v>
      </c>
      <c r="R186" s="15" t="s">
        <v>48</v>
      </c>
      <c r="S186" s="15" t="s">
        <v>35</v>
      </c>
      <c r="T186" s="15" t="s">
        <v>144</v>
      </c>
      <c r="U186" s="15">
        <v>9276222829</v>
      </c>
      <c r="V186" s="15" t="s">
        <v>38</v>
      </c>
      <c r="W186" s="29" t="str">
        <f t="shared" si="2"/>
        <v>Pri002Ko</v>
      </c>
    </row>
    <row r="187" spans="1:23" x14ac:dyDescent="0.5">
      <c r="A187" s="17" t="s">
        <v>956</v>
      </c>
      <c r="B187" s="17" t="s">
        <v>251</v>
      </c>
      <c r="C187" s="17" t="s">
        <v>24</v>
      </c>
      <c r="D187" s="17" t="s">
        <v>770</v>
      </c>
      <c r="E187" s="17" t="s">
        <v>957</v>
      </c>
      <c r="F187" s="15" t="s">
        <v>254</v>
      </c>
      <c r="G187" s="17" t="s">
        <v>28</v>
      </c>
      <c r="H187" s="17" t="s">
        <v>958</v>
      </c>
      <c r="I187" s="17" t="s">
        <v>30</v>
      </c>
      <c r="J187" s="17" t="s">
        <v>31</v>
      </c>
      <c r="K187" s="17" t="s">
        <v>32</v>
      </c>
      <c r="L187" s="17" t="s">
        <v>33</v>
      </c>
      <c r="M187" s="17">
        <v>10</v>
      </c>
      <c r="N187" s="26">
        <v>2200</v>
      </c>
      <c r="O187" s="17">
        <v>5</v>
      </c>
      <c r="P187" s="26">
        <v>20900</v>
      </c>
      <c r="Q187" s="17">
        <v>2</v>
      </c>
      <c r="R187" s="17" t="s">
        <v>48</v>
      </c>
      <c r="S187" s="17" t="s">
        <v>49</v>
      </c>
      <c r="T187" s="15" t="s">
        <v>256</v>
      </c>
      <c r="U187" s="17">
        <v>9533835528</v>
      </c>
      <c r="V187" s="17" t="s">
        <v>38</v>
      </c>
      <c r="W187" s="29" t="str">
        <f t="shared" si="2"/>
        <v>Sne006Hy</v>
      </c>
    </row>
    <row r="188" spans="1:23" x14ac:dyDescent="0.5">
      <c r="A188" s="15" t="s">
        <v>960</v>
      </c>
      <c r="B188" s="15" t="s">
        <v>127</v>
      </c>
      <c r="C188" s="15" t="s">
        <v>118</v>
      </c>
      <c r="D188" s="15" t="s">
        <v>692</v>
      </c>
      <c r="E188" s="15" t="s">
        <v>961</v>
      </c>
      <c r="F188" s="15" t="s">
        <v>200</v>
      </c>
      <c r="G188" s="15" t="s">
        <v>76</v>
      </c>
      <c r="H188" s="15" t="s">
        <v>962</v>
      </c>
      <c r="I188" s="15" t="s">
        <v>114</v>
      </c>
      <c r="J188" s="15" t="s">
        <v>106</v>
      </c>
      <c r="K188" s="15" t="s">
        <v>122</v>
      </c>
      <c r="L188" s="15" t="s">
        <v>123</v>
      </c>
      <c r="M188" s="15">
        <v>15</v>
      </c>
      <c r="N188" s="25">
        <v>60</v>
      </c>
      <c r="O188" s="15">
        <v>20</v>
      </c>
      <c r="P188" s="25">
        <v>720</v>
      </c>
      <c r="Q188" s="15">
        <v>1</v>
      </c>
      <c r="R188" s="15" t="s">
        <v>79</v>
      </c>
      <c r="S188" s="15" t="s">
        <v>35</v>
      </c>
      <c r="T188" s="15" t="s">
        <v>132</v>
      </c>
      <c r="U188" s="15">
        <v>9654885820</v>
      </c>
      <c r="V188" s="15" t="s">
        <v>38</v>
      </c>
      <c r="W188" s="29" t="str">
        <f t="shared" si="2"/>
        <v>Roh003Pu</v>
      </c>
    </row>
    <row r="189" spans="1:23" x14ac:dyDescent="0.5">
      <c r="A189" s="17" t="s">
        <v>964</v>
      </c>
      <c r="B189" s="17" t="s">
        <v>221</v>
      </c>
      <c r="C189" s="17" t="s">
        <v>92</v>
      </c>
      <c r="D189" s="17" t="s">
        <v>231</v>
      </c>
      <c r="E189" s="17" t="s">
        <v>965</v>
      </c>
      <c r="F189" s="15" t="s">
        <v>225</v>
      </c>
      <c r="G189" s="17" t="s">
        <v>76</v>
      </c>
      <c r="H189" s="17" t="s">
        <v>966</v>
      </c>
      <c r="I189" s="17" t="s">
        <v>30</v>
      </c>
      <c r="J189" s="17" t="s">
        <v>31</v>
      </c>
      <c r="K189" s="17" t="s">
        <v>32</v>
      </c>
      <c r="L189" s="17" t="s">
        <v>97</v>
      </c>
      <c r="M189" s="17">
        <v>18</v>
      </c>
      <c r="N189" s="26">
        <v>3500</v>
      </c>
      <c r="O189" s="17">
        <v>5</v>
      </c>
      <c r="P189" s="26">
        <v>59850</v>
      </c>
      <c r="Q189" s="17">
        <v>1</v>
      </c>
      <c r="R189" s="17" t="s">
        <v>79</v>
      </c>
      <c r="S189" s="17" t="s">
        <v>49</v>
      </c>
      <c r="T189" s="15" t="s">
        <v>228</v>
      </c>
      <c r="U189" s="17">
        <v>9456029544</v>
      </c>
      <c r="V189" s="17" t="s">
        <v>69</v>
      </c>
      <c r="W189" s="29" t="str">
        <f t="shared" si="2"/>
        <v>Vik005Hy</v>
      </c>
    </row>
    <row r="190" spans="1:23" x14ac:dyDescent="0.5">
      <c r="A190" s="15" t="s">
        <v>968</v>
      </c>
      <c r="B190" s="15" t="s">
        <v>327</v>
      </c>
      <c r="C190" s="15" t="s">
        <v>40</v>
      </c>
      <c r="D190" s="15" t="s">
        <v>969</v>
      </c>
      <c r="E190" s="15" t="s">
        <v>970</v>
      </c>
      <c r="F190" s="15" t="s">
        <v>394</v>
      </c>
      <c r="G190" s="15" t="s">
        <v>76</v>
      </c>
      <c r="H190" s="15" t="s">
        <v>971</v>
      </c>
      <c r="I190" s="15" t="s">
        <v>114</v>
      </c>
      <c r="J190" s="15" t="s">
        <v>106</v>
      </c>
      <c r="K190" s="15" t="s">
        <v>46</v>
      </c>
      <c r="L190" s="15" t="s">
        <v>47</v>
      </c>
      <c r="M190" s="15">
        <v>6</v>
      </c>
      <c r="N190" s="25">
        <v>12000</v>
      </c>
      <c r="O190" s="15">
        <v>5</v>
      </c>
      <c r="P190" s="25">
        <v>68400</v>
      </c>
      <c r="Q190" s="15">
        <v>1</v>
      </c>
      <c r="R190" s="15" t="s">
        <v>48</v>
      </c>
      <c r="S190" s="15" t="s">
        <v>49</v>
      </c>
      <c r="T190" s="15" t="s">
        <v>332</v>
      </c>
      <c r="U190" s="15">
        <v>9914571493</v>
      </c>
      <c r="V190" s="15" t="s">
        <v>69</v>
      </c>
      <c r="W190" s="29" t="str">
        <f t="shared" si="2"/>
        <v>Ami001Pu</v>
      </c>
    </row>
    <row r="191" spans="1:23" x14ac:dyDescent="0.5">
      <c r="A191" s="17" t="s">
        <v>973</v>
      </c>
      <c r="B191" s="17" t="s">
        <v>327</v>
      </c>
      <c r="C191" s="17" t="s">
        <v>222</v>
      </c>
      <c r="D191" s="17" t="s">
        <v>323</v>
      </c>
      <c r="E191" s="17" t="s">
        <v>479</v>
      </c>
      <c r="F191" s="15" t="s">
        <v>394</v>
      </c>
      <c r="G191" s="17" t="s">
        <v>76</v>
      </c>
      <c r="H191" s="17" t="s">
        <v>974</v>
      </c>
      <c r="I191" s="17" t="s">
        <v>59</v>
      </c>
      <c r="J191" s="17" t="s">
        <v>31</v>
      </c>
      <c r="K191" s="17" t="s">
        <v>122</v>
      </c>
      <c r="L191" s="17" t="s">
        <v>227</v>
      </c>
      <c r="M191" s="17">
        <v>19</v>
      </c>
      <c r="N191" s="26">
        <v>20</v>
      </c>
      <c r="O191" s="17">
        <v>10</v>
      </c>
      <c r="P191" s="26">
        <v>342</v>
      </c>
      <c r="Q191" s="17">
        <v>2</v>
      </c>
      <c r="R191" s="17" t="s">
        <v>48</v>
      </c>
      <c r="S191" s="17" t="s">
        <v>35</v>
      </c>
      <c r="T191" s="15" t="s">
        <v>332</v>
      </c>
      <c r="U191" s="17">
        <v>9270726986</v>
      </c>
      <c r="V191" s="17" t="s">
        <v>64</v>
      </c>
      <c r="W191" s="29" t="str">
        <f t="shared" si="2"/>
        <v>Ami001Be</v>
      </c>
    </row>
    <row r="192" spans="1:23" x14ac:dyDescent="0.5">
      <c r="A192" s="15" t="s">
        <v>976</v>
      </c>
      <c r="B192" s="15" t="s">
        <v>221</v>
      </c>
      <c r="C192" s="15" t="s">
        <v>24</v>
      </c>
      <c r="D192" s="15" t="s">
        <v>426</v>
      </c>
      <c r="E192" s="15" t="s">
        <v>427</v>
      </c>
      <c r="F192" s="15" t="s">
        <v>225</v>
      </c>
      <c r="G192" s="15" t="s">
        <v>76</v>
      </c>
      <c r="H192" s="15" t="s">
        <v>977</v>
      </c>
      <c r="I192" s="15" t="s">
        <v>114</v>
      </c>
      <c r="J192" s="15" t="s">
        <v>106</v>
      </c>
      <c r="K192" s="15" t="s">
        <v>32</v>
      </c>
      <c r="L192" s="15" t="s">
        <v>33</v>
      </c>
      <c r="M192" s="15">
        <v>7</v>
      </c>
      <c r="N192" s="25">
        <v>2200</v>
      </c>
      <c r="O192" s="15">
        <v>0</v>
      </c>
      <c r="P192" s="25">
        <v>15400</v>
      </c>
      <c r="Q192" s="15">
        <v>1</v>
      </c>
      <c r="R192" s="15" t="s">
        <v>79</v>
      </c>
      <c r="S192" s="15" t="s">
        <v>115</v>
      </c>
      <c r="T192" s="15" t="s">
        <v>228</v>
      </c>
      <c r="U192" s="15">
        <v>9570080664</v>
      </c>
      <c r="V192" s="15" t="s">
        <v>69</v>
      </c>
      <c r="W192" s="29" t="str">
        <f t="shared" si="2"/>
        <v>Vik005Pu</v>
      </c>
    </row>
    <row r="193" spans="1:23" x14ac:dyDescent="0.5">
      <c r="A193" s="17" t="s">
        <v>979</v>
      </c>
      <c r="B193" s="17" t="s">
        <v>327</v>
      </c>
      <c r="C193" s="17" t="s">
        <v>40</v>
      </c>
      <c r="D193" s="17" t="s">
        <v>503</v>
      </c>
      <c r="E193" s="17" t="s">
        <v>980</v>
      </c>
      <c r="F193" s="15" t="s">
        <v>394</v>
      </c>
      <c r="G193" s="17" t="s">
        <v>76</v>
      </c>
      <c r="H193" s="17" t="s">
        <v>981</v>
      </c>
      <c r="I193" s="17" t="s">
        <v>212</v>
      </c>
      <c r="J193" s="17" t="s">
        <v>45</v>
      </c>
      <c r="K193" s="17" t="s">
        <v>46</v>
      </c>
      <c r="L193" s="17" t="s">
        <v>47</v>
      </c>
      <c r="M193" s="17">
        <v>3</v>
      </c>
      <c r="N193" s="26">
        <v>12000</v>
      </c>
      <c r="O193" s="17">
        <v>5</v>
      </c>
      <c r="P193" s="26">
        <v>34200</v>
      </c>
      <c r="Q193" s="17">
        <v>3</v>
      </c>
      <c r="R193" s="17" t="s">
        <v>79</v>
      </c>
      <c r="S193" s="17" t="s">
        <v>61</v>
      </c>
      <c r="T193" s="15" t="s">
        <v>332</v>
      </c>
      <c r="U193" s="17">
        <v>9109009524</v>
      </c>
      <c r="V193" s="17" t="s">
        <v>69</v>
      </c>
      <c r="W193" s="29" t="str">
        <f t="shared" si="2"/>
        <v>Ami001Ja</v>
      </c>
    </row>
    <row r="194" spans="1:23" x14ac:dyDescent="0.5">
      <c r="A194" s="15" t="s">
        <v>983</v>
      </c>
      <c r="B194" s="15" t="s">
        <v>168</v>
      </c>
      <c r="C194" s="15" t="s">
        <v>24</v>
      </c>
      <c r="D194" s="15" t="s">
        <v>341</v>
      </c>
      <c r="E194" s="15" t="s">
        <v>864</v>
      </c>
      <c r="F194" s="15" t="s">
        <v>361</v>
      </c>
      <c r="G194" s="15" t="s">
        <v>28</v>
      </c>
      <c r="H194" s="15" t="s">
        <v>984</v>
      </c>
      <c r="I194" s="15" t="s">
        <v>212</v>
      </c>
      <c r="J194" s="15" t="s">
        <v>45</v>
      </c>
      <c r="K194" s="15" t="s">
        <v>32</v>
      </c>
      <c r="L194" s="15" t="s">
        <v>33</v>
      </c>
      <c r="M194" s="15">
        <v>16</v>
      </c>
      <c r="N194" s="25">
        <v>2200</v>
      </c>
      <c r="O194" s="15">
        <v>0</v>
      </c>
      <c r="P194" s="25">
        <v>35200</v>
      </c>
      <c r="Q194" s="15">
        <v>5</v>
      </c>
      <c r="R194" s="15" t="s">
        <v>79</v>
      </c>
      <c r="S194" s="15" t="s">
        <v>35</v>
      </c>
      <c r="T194" s="15" t="s">
        <v>175</v>
      </c>
      <c r="U194" s="15">
        <v>9701276770</v>
      </c>
      <c r="V194" s="15" t="s">
        <v>64</v>
      </c>
      <c r="W194" s="29" t="str">
        <f t="shared" si="2"/>
        <v>Ani004Ja</v>
      </c>
    </row>
    <row r="195" spans="1:23" x14ac:dyDescent="0.5">
      <c r="A195" s="17" t="s">
        <v>986</v>
      </c>
      <c r="B195" s="17" t="s">
        <v>251</v>
      </c>
      <c r="C195" s="17" t="s">
        <v>24</v>
      </c>
      <c r="D195" s="17" t="s">
        <v>987</v>
      </c>
      <c r="E195" s="17" t="s">
        <v>988</v>
      </c>
      <c r="F195" s="15" t="s">
        <v>254</v>
      </c>
      <c r="G195" s="17" t="s">
        <v>28</v>
      </c>
      <c r="H195" s="17" t="s">
        <v>989</v>
      </c>
      <c r="I195" s="17" t="s">
        <v>44</v>
      </c>
      <c r="J195" s="17" t="s">
        <v>45</v>
      </c>
      <c r="K195" s="17" t="s">
        <v>32</v>
      </c>
      <c r="L195" s="17" t="s">
        <v>33</v>
      </c>
      <c r="M195" s="17">
        <v>8</v>
      </c>
      <c r="N195" s="26">
        <v>2200</v>
      </c>
      <c r="O195" s="17">
        <v>5</v>
      </c>
      <c r="P195" s="26">
        <v>16720</v>
      </c>
      <c r="Q195" s="17">
        <v>2</v>
      </c>
      <c r="R195" s="17" t="s">
        <v>88</v>
      </c>
      <c r="S195" s="17" t="s">
        <v>151</v>
      </c>
      <c r="T195" s="15" t="s">
        <v>256</v>
      </c>
      <c r="U195" s="17">
        <v>9298278507</v>
      </c>
      <c r="V195" s="17" t="s">
        <v>38</v>
      </c>
      <c r="W195" s="29" t="str">
        <f t="shared" ref="W195:W258" si="3">LEFT(F195, 3) &amp; RIGHT(B195,3) &amp; LEFT(I195,2)</f>
        <v>Sne006De</v>
      </c>
    </row>
    <row r="196" spans="1:23" x14ac:dyDescent="0.5">
      <c r="A196" s="15" t="s">
        <v>991</v>
      </c>
      <c r="B196" s="15" t="s">
        <v>251</v>
      </c>
      <c r="C196" s="15" t="s">
        <v>24</v>
      </c>
      <c r="D196" s="15" t="s">
        <v>610</v>
      </c>
      <c r="E196" s="15" t="s">
        <v>454</v>
      </c>
      <c r="F196" s="15" t="s">
        <v>254</v>
      </c>
      <c r="G196" s="15" t="s">
        <v>28</v>
      </c>
      <c r="H196" s="15" t="s">
        <v>992</v>
      </c>
      <c r="I196" s="15" t="s">
        <v>138</v>
      </c>
      <c r="J196" s="15" t="s">
        <v>106</v>
      </c>
      <c r="K196" s="15" t="s">
        <v>32</v>
      </c>
      <c r="L196" s="15" t="s">
        <v>33</v>
      </c>
      <c r="M196" s="15">
        <v>10</v>
      </c>
      <c r="N196" s="25">
        <v>2200</v>
      </c>
      <c r="O196" s="15">
        <v>10</v>
      </c>
      <c r="P196" s="25">
        <v>19800</v>
      </c>
      <c r="Q196" s="15">
        <v>5</v>
      </c>
      <c r="R196" s="15" t="s">
        <v>48</v>
      </c>
      <c r="S196" s="15" t="s">
        <v>115</v>
      </c>
      <c r="T196" s="15" t="s">
        <v>256</v>
      </c>
      <c r="U196" s="15">
        <v>9895908093</v>
      </c>
      <c r="V196" s="15" t="s">
        <v>64</v>
      </c>
      <c r="W196" s="29" t="str">
        <f t="shared" si="3"/>
        <v>Sne006Ah</v>
      </c>
    </row>
    <row r="197" spans="1:23" x14ac:dyDescent="0.5">
      <c r="A197" s="17" t="s">
        <v>994</v>
      </c>
      <c r="B197" s="17" t="s">
        <v>83</v>
      </c>
      <c r="C197" s="17" t="s">
        <v>222</v>
      </c>
      <c r="D197" s="17" t="s">
        <v>336</v>
      </c>
      <c r="E197" s="17" t="s">
        <v>596</v>
      </c>
      <c r="F197" s="15" t="s">
        <v>180</v>
      </c>
      <c r="G197" s="17" t="s">
        <v>76</v>
      </c>
      <c r="H197" s="17" t="s">
        <v>995</v>
      </c>
      <c r="I197" s="17" t="s">
        <v>44</v>
      </c>
      <c r="J197" s="17" t="s">
        <v>45</v>
      </c>
      <c r="K197" s="17" t="s">
        <v>122</v>
      </c>
      <c r="L197" s="17" t="s">
        <v>227</v>
      </c>
      <c r="M197" s="17">
        <v>7</v>
      </c>
      <c r="N197" s="26">
        <v>20</v>
      </c>
      <c r="O197" s="17">
        <v>10</v>
      </c>
      <c r="P197" s="26">
        <v>126</v>
      </c>
      <c r="Q197" s="17">
        <v>4</v>
      </c>
      <c r="R197" s="17" t="s">
        <v>79</v>
      </c>
      <c r="S197" s="17" t="s">
        <v>61</v>
      </c>
      <c r="T197" s="15" t="s">
        <v>89</v>
      </c>
      <c r="U197" s="17">
        <v>9734108795</v>
      </c>
      <c r="V197" s="17" t="s">
        <v>38</v>
      </c>
      <c r="W197" s="29" t="str">
        <f t="shared" si="3"/>
        <v>Arj007De</v>
      </c>
    </row>
    <row r="198" spans="1:23" x14ac:dyDescent="0.5">
      <c r="A198" s="15" t="s">
        <v>997</v>
      </c>
      <c r="B198" s="15" t="s">
        <v>221</v>
      </c>
      <c r="C198" s="15" t="s">
        <v>169</v>
      </c>
      <c r="D198" s="15" t="s">
        <v>252</v>
      </c>
      <c r="E198" s="15" t="s">
        <v>998</v>
      </c>
      <c r="F198" s="15" t="s">
        <v>225</v>
      </c>
      <c r="G198" s="15" t="s">
        <v>76</v>
      </c>
      <c r="H198" s="15" t="s">
        <v>999</v>
      </c>
      <c r="I198" s="15" t="s">
        <v>30</v>
      </c>
      <c r="J198" s="15" t="s">
        <v>31</v>
      </c>
      <c r="K198" s="15" t="s">
        <v>32</v>
      </c>
      <c r="L198" s="15" t="s">
        <v>174</v>
      </c>
      <c r="M198" s="15">
        <v>19</v>
      </c>
      <c r="N198" s="25">
        <v>8500</v>
      </c>
      <c r="O198" s="15">
        <v>20</v>
      </c>
      <c r="P198" s="25">
        <v>129200</v>
      </c>
      <c r="Q198" s="15">
        <v>3</v>
      </c>
      <c r="R198" s="15" t="s">
        <v>48</v>
      </c>
      <c r="S198" s="15" t="s">
        <v>61</v>
      </c>
      <c r="T198" s="15" t="s">
        <v>228</v>
      </c>
      <c r="U198" s="15">
        <v>9799597413</v>
      </c>
      <c r="V198" s="15" t="s">
        <v>64</v>
      </c>
      <c r="W198" s="29" t="str">
        <f t="shared" si="3"/>
        <v>Vik005Hy</v>
      </c>
    </row>
    <row r="199" spans="1:23" x14ac:dyDescent="0.5">
      <c r="A199" s="17" t="s">
        <v>1001</v>
      </c>
      <c r="B199" s="17" t="s">
        <v>100</v>
      </c>
      <c r="C199" s="17" t="s">
        <v>118</v>
      </c>
      <c r="D199" s="17" t="s">
        <v>431</v>
      </c>
      <c r="E199" s="17" t="s">
        <v>414</v>
      </c>
      <c r="F199" s="15" t="s">
        <v>103</v>
      </c>
      <c r="G199" s="17" t="s">
        <v>28</v>
      </c>
      <c r="H199" s="17" t="s">
        <v>1002</v>
      </c>
      <c r="I199" s="17" t="s">
        <v>114</v>
      </c>
      <c r="J199" s="17" t="s">
        <v>106</v>
      </c>
      <c r="K199" s="17" t="s">
        <v>122</v>
      </c>
      <c r="L199" s="17" t="s">
        <v>123</v>
      </c>
      <c r="M199" s="17">
        <v>16</v>
      </c>
      <c r="N199" s="26">
        <v>60</v>
      </c>
      <c r="O199" s="17">
        <v>0</v>
      </c>
      <c r="P199" s="26">
        <v>960</v>
      </c>
      <c r="Q199" s="17">
        <v>2</v>
      </c>
      <c r="R199" s="17" t="s">
        <v>48</v>
      </c>
      <c r="S199" s="17" t="s">
        <v>115</v>
      </c>
      <c r="T199" s="15" t="s">
        <v>144</v>
      </c>
      <c r="U199" s="17">
        <v>9688987266</v>
      </c>
      <c r="V199" s="17" t="s">
        <v>38</v>
      </c>
      <c r="W199" s="29" t="str">
        <f t="shared" si="3"/>
        <v>Pri002Pu</v>
      </c>
    </row>
    <row r="200" spans="1:23" x14ac:dyDescent="0.5">
      <c r="A200" s="15" t="s">
        <v>1004</v>
      </c>
      <c r="B200" s="15" t="s">
        <v>221</v>
      </c>
      <c r="C200" s="15" t="s">
        <v>92</v>
      </c>
      <c r="D200" s="15" t="s">
        <v>1005</v>
      </c>
      <c r="E200" s="15" t="s">
        <v>731</v>
      </c>
      <c r="F200" s="15" t="s">
        <v>225</v>
      </c>
      <c r="G200" s="15" t="s">
        <v>76</v>
      </c>
      <c r="H200" s="15" t="s">
        <v>1006</v>
      </c>
      <c r="I200" s="15" t="s">
        <v>59</v>
      </c>
      <c r="J200" s="15" t="s">
        <v>31</v>
      </c>
      <c r="K200" s="15" t="s">
        <v>1007</v>
      </c>
      <c r="L200" s="15" t="s">
        <v>97</v>
      </c>
      <c r="M200" s="15">
        <v>18</v>
      </c>
      <c r="N200" s="25">
        <v>3500</v>
      </c>
      <c r="O200" s="15">
        <v>5</v>
      </c>
      <c r="P200" s="25">
        <v>59850</v>
      </c>
      <c r="Q200" s="15">
        <v>1</v>
      </c>
      <c r="R200" s="15" t="s">
        <v>88</v>
      </c>
      <c r="S200" s="15" t="s">
        <v>115</v>
      </c>
      <c r="T200" s="15" t="s">
        <v>228</v>
      </c>
      <c r="U200" s="15">
        <v>9867169037</v>
      </c>
      <c r="V200" s="15" t="s">
        <v>64</v>
      </c>
      <c r="W200" s="29" t="str">
        <f t="shared" si="3"/>
        <v>Vik005Be</v>
      </c>
    </row>
    <row r="201" spans="1:23" x14ac:dyDescent="0.5">
      <c r="A201" s="17" t="s">
        <v>1009</v>
      </c>
      <c r="B201" s="17" t="s">
        <v>100</v>
      </c>
      <c r="C201" s="17" t="s">
        <v>54</v>
      </c>
      <c r="D201" s="17" t="s">
        <v>1010</v>
      </c>
      <c r="E201" s="17" t="s">
        <v>431</v>
      </c>
      <c r="F201" s="15" t="s">
        <v>103</v>
      </c>
      <c r="G201" s="17" t="s">
        <v>28</v>
      </c>
      <c r="H201" s="17" t="s">
        <v>1011</v>
      </c>
      <c r="I201" s="17" t="s">
        <v>212</v>
      </c>
      <c r="J201" s="17" t="s">
        <v>45</v>
      </c>
      <c r="K201" s="17" t="s">
        <v>46</v>
      </c>
      <c r="L201" s="17" t="s">
        <v>60</v>
      </c>
      <c r="M201" s="17">
        <v>16</v>
      </c>
      <c r="N201" s="26">
        <v>55000</v>
      </c>
      <c r="O201" s="17">
        <v>0</v>
      </c>
      <c r="P201" s="26">
        <v>880000</v>
      </c>
      <c r="Q201" s="17">
        <v>1</v>
      </c>
      <c r="R201" s="17" t="s">
        <v>79</v>
      </c>
      <c r="S201" s="17" t="s">
        <v>61</v>
      </c>
      <c r="T201" s="15" t="s">
        <v>144</v>
      </c>
      <c r="U201" s="17">
        <v>9485547425</v>
      </c>
      <c r="V201" s="17" t="s">
        <v>69</v>
      </c>
      <c r="W201" s="29" t="str">
        <f t="shared" si="3"/>
        <v>Pri002Ja</v>
      </c>
    </row>
    <row r="202" spans="1:23" x14ac:dyDescent="0.5">
      <c r="A202" s="15" t="s">
        <v>1013</v>
      </c>
      <c r="B202" s="15" t="s">
        <v>221</v>
      </c>
      <c r="C202" s="15" t="s">
        <v>72</v>
      </c>
      <c r="D202" s="15" t="s">
        <v>900</v>
      </c>
      <c r="E202" s="15" t="s">
        <v>435</v>
      </c>
      <c r="F202" s="15" t="s">
        <v>225</v>
      </c>
      <c r="G202" s="15" t="s">
        <v>76</v>
      </c>
      <c r="H202" s="15" t="s">
        <v>1014</v>
      </c>
      <c r="I202" s="15" t="s">
        <v>138</v>
      </c>
      <c r="J202" s="15" t="s">
        <v>106</v>
      </c>
      <c r="K202" s="15" t="s">
        <v>46</v>
      </c>
      <c r="L202" s="15" t="s">
        <v>78</v>
      </c>
      <c r="M202" s="15">
        <v>18</v>
      </c>
      <c r="N202" s="25">
        <v>1200</v>
      </c>
      <c r="O202" s="15">
        <v>15</v>
      </c>
      <c r="P202" s="25">
        <v>18360</v>
      </c>
      <c r="Q202" s="15">
        <v>2</v>
      </c>
      <c r="R202" s="15" t="s">
        <v>48</v>
      </c>
      <c r="S202" s="15" t="s">
        <v>35</v>
      </c>
      <c r="T202" s="15" t="s">
        <v>228</v>
      </c>
      <c r="U202" s="15">
        <v>9889733076</v>
      </c>
      <c r="V202" s="15" t="s">
        <v>69</v>
      </c>
      <c r="W202" s="29" t="str">
        <f t="shared" si="3"/>
        <v>Vik005Ah</v>
      </c>
    </row>
    <row r="203" spans="1:23" x14ac:dyDescent="0.5">
      <c r="A203" s="17" t="s">
        <v>1016</v>
      </c>
      <c r="B203" s="17" t="s">
        <v>71</v>
      </c>
      <c r="C203" s="17" t="s">
        <v>259</v>
      </c>
      <c r="D203" s="17" t="s">
        <v>1017</v>
      </c>
      <c r="E203" s="17" t="s">
        <v>1018</v>
      </c>
      <c r="F203" s="15" t="s">
        <v>217</v>
      </c>
      <c r="G203" s="17" t="s">
        <v>76</v>
      </c>
      <c r="H203" s="17" t="s">
        <v>1019</v>
      </c>
      <c r="I203" s="17" t="s">
        <v>30</v>
      </c>
      <c r="J203" s="17" t="s">
        <v>31</v>
      </c>
      <c r="K203" s="17" t="s">
        <v>122</v>
      </c>
      <c r="L203" s="17" t="s">
        <v>263</v>
      </c>
      <c r="M203" s="17">
        <v>2</v>
      </c>
      <c r="N203" s="26">
        <v>45</v>
      </c>
      <c r="O203" s="17">
        <v>15</v>
      </c>
      <c r="P203" s="26">
        <v>76.5</v>
      </c>
      <c r="Q203" s="17">
        <v>5</v>
      </c>
      <c r="R203" s="17" t="s">
        <v>34</v>
      </c>
      <c r="S203" s="17" t="s">
        <v>61</v>
      </c>
      <c r="T203" s="15" t="s">
        <v>80</v>
      </c>
      <c r="U203" s="17">
        <v>9145434449</v>
      </c>
      <c r="V203" s="17" t="s">
        <v>69</v>
      </c>
      <c r="W203" s="29" t="str">
        <f t="shared" si="3"/>
        <v>Moh009Hy</v>
      </c>
    </row>
    <row r="204" spans="1:23" x14ac:dyDescent="0.5">
      <c r="A204" s="15" t="s">
        <v>1021</v>
      </c>
      <c r="B204" s="15" t="s">
        <v>53</v>
      </c>
      <c r="C204" s="15" t="s">
        <v>169</v>
      </c>
      <c r="D204" s="15" t="s">
        <v>712</v>
      </c>
      <c r="E204" s="15" t="s">
        <v>85</v>
      </c>
      <c r="F204" s="15" t="s">
        <v>163</v>
      </c>
      <c r="G204" s="15" t="s">
        <v>28</v>
      </c>
      <c r="H204" s="15" t="s">
        <v>1022</v>
      </c>
      <c r="I204" s="15" t="s">
        <v>59</v>
      </c>
      <c r="J204" s="15" t="s">
        <v>31</v>
      </c>
      <c r="K204" s="15" t="s">
        <v>32</v>
      </c>
      <c r="L204" s="15" t="s">
        <v>174</v>
      </c>
      <c r="M204" s="15">
        <v>20</v>
      </c>
      <c r="N204" s="25">
        <v>8500</v>
      </c>
      <c r="O204" s="15">
        <v>0</v>
      </c>
      <c r="P204" s="25">
        <v>170000</v>
      </c>
      <c r="Q204" s="15">
        <v>4</v>
      </c>
      <c r="R204" s="15" t="s">
        <v>48</v>
      </c>
      <c r="S204" s="15" t="s">
        <v>61</v>
      </c>
      <c r="T204" s="15" t="s">
        <v>62</v>
      </c>
      <c r="U204" s="15">
        <v>9598942148</v>
      </c>
      <c r="V204" s="15" t="s">
        <v>69</v>
      </c>
      <c r="W204" s="29" t="str">
        <f t="shared" si="3"/>
        <v>Poo010Be</v>
      </c>
    </row>
    <row r="205" spans="1:23" x14ac:dyDescent="0.5">
      <c r="A205" s="17" t="s">
        <v>1024</v>
      </c>
      <c r="B205" s="17" t="s">
        <v>127</v>
      </c>
      <c r="C205" s="17" t="s">
        <v>92</v>
      </c>
      <c r="D205" s="17" t="s">
        <v>298</v>
      </c>
      <c r="E205" s="17" t="s">
        <v>1025</v>
      </c>
      <c r="F205" s="15" t="s">
        <v>200</v>
      </c>
      <c r="G205" s="17" t="s">
        <v>76</v>
      </c>
      <c r="H205" s="17" t="s">
        <v>494</v>
      </c>
      <c r="I205" s="17" t="s">
        <v>212</v>
      </c>
      <c r="J205" s="17" t="s">
        <v>45</v>
      </c>
      <c r="K205" s="17" t="s">
        <v>32</v>
      </c>
      <c r="L205" s="17" t="s">
        <v>97</v>
      </c>
      <c r="M205" s="17">
        <v>6</v>
      </c>
      <c r="N205" s="26">
        <v>3500</v>
      </c>
      <c r="O205" s="17">
        <v>5</v>
      </c>
      <c r="P205" s="26">
        <v>19950</v>
      </c>
      <c r="Q205" s="17">
        <v>1</v>
      </c>
      <c r="R205" s="17" t="s">
        <v>34</v>
      </c>
      <c r="S205" s="17" t="s">
        <v>151</v>
      </c>
      <c r="T205" s="15" t="s">
        <v>132</v>
      </c>
      <c r="U205" s="17">
        <v>9599252705</v>
      </c>
      <c r="V205" s="17" t="s">
        <v>38</v>
      </c>
      <c r="W205" s="29" t="str">
        <f t="shared" si="3"/>
        <v>Roh003Ja</v>
      </c>
    </row>
    <row r="206" spans="1:23" x14ac:dyDescent="0.5">
      <c r="A206" s="15" t="s">
        <v>1027</v>
      </c>
      <c r="B206" s="15" t="s">
        <v>168</v>
      </c>
      <c r="C206" s="15" t="s">
        <v>259</v>
      </c>
      <c r="D206" s="15" t="s">
        <v>308</v>
      </c>
      <c r="E206" s="15" t="s">
        <v>281</v>
      </c>
      <c r="F206" s="15" t="s">
        <v>361</v>
      </c>
      <c r="G206" s="15" t="s">
        <v>28</v>
      </c>
      <c r="H206" s="15" t="s">
        <v>1028</v>
      </c>
      <c r="I206" s="15" t="s">
        <v>114</v>
      </c>
      <c r="J206" s="15" t="s">
        <v>106</v>
      </c>
      <c r="K206" s="15" t="s">
        <v>122</v>
      </c>
      <c r="L206" s="15" t="s">
        <v>263</v>
      </c>
      <c r="M206" s="15">
        <v>8</v>
      </c>
      <c r="N206" s="25">
        <v>45</v>
      </c>
      <c r="O206" s="15">
        <v>5</v>
      </c>
      <c r="P206" s="25">
        <v>342</v>
      </c>
      <c r="Q206" s="15">
        <v>2</v>
      </c>
      <c r="R206" s="15" t="s">
        <v>34</v>
      </c>
      <c r="S206" s="15" t="s">
        <v>49</v>
      </c>
      <c r="T206" s="15" t="s">
        <v>175</v>
      </c>
      <c r="U206" s="15">
        <v>9626843681</v>
      </c>
      <c r="V206" s="15" t="s">
        <v>64</v>
      </c>
      <c r="W206" s="29" t="str">
        <f t="shared" si="3"/>
        <v>Ani004Pu</v>
      </c>
    </row>
    <row r="207" spans="1:23" x14ac:dyDescent="0.5">
      <c r="A207" s="17" t="s">
        <v>1030</v>
      </c>
      <c r="B207" s="17" t="s">
        <v>327</v>
      </c>
      <c r="C207" s="17" t="s">
        <v>24</v>
      </c>
      <c r="D207" s="17" t="s">
        <v>414</v>
      </c>
      <c r="E207" s="17" t="s">
        <v>1031</v>
      </c>
      <c r="F207" s="15" t="s">
        <v>394</v>
      </c>
      <c r="G207" s="17" t="s">
        <v>76</v>
      </c>
      <c r="H207" s="17" t="s">
        <v>1032</v>
      </c>
      <c r="I207" s="17" t="s">
        <v>105</v>
      </c>
      <c r="J207" s="17" t="s">
        <v>106</v>
      </c>
      <c r="K207" s="17" t="s">
        <v>32</v>
      </c>
      <c r="L207" s="17" t="s">
        <v>33</v>
      </c>
      <c r="M207" s="17">
        <v>18</v>
      </c>
      <c r="N207" s="26">
        <v>2200</v>
      </c>
      <c r="O207" s="17">
        <v>15</v>
      </c>
      <c r="P207" s="26">
        <v>33660</v>
      </c>
      <c r="Q207" s="17">
        <v>4</v>
      </c>
      <c r="R207" s="17" t="s">
        <v>79</v>
      </c>
      <c r="S207" s="17" t="s">
        <v>61</v>
      </c>
      <c r="T207" s="15" t="s">
        <v>332</v>
      </c>
      <c r="U207" s="17">
        <v>9934933215</v>
      </c>
      <c r="V207" s="17" t="s">
        <v>64</v>
      </c>
      <c r="W207" s="29" t="str">
        <f t="shared" si="3"/>
        <v>Ami001Mu</v>
      </c>
    </row>
    <row r="208" spans="1:23" x14ac:dyDescent="0.5">
      <c r="A208" s="15" t="s">
        <v>1034</v>
      </c>
      <c r="B208" s="15" t="s">
        <v>221</v>
      </c>
      <c r="C208" s="15" t="s">
        <v>184</v>
      </c>
      <c r="D208" s="15" t="s">
        <v>1035</v>
      </c>
      <c r="E208" s="15" t="s">
        <v>1005</v>
      </c>
      <c r="F208" s="15" t="s">
        <v>225</v>
      </c>
      <c r="G208" s="15" t="s">
        <v>76</v>
      </c>
      <c r="H208" s="15" t="s">
        <v>1036</v>
      </c>
      <c r="I208" s="15" t="s">
        <v>30</v>
      </c>
      <c r="J208" s="15" t="s">
        <v>31</v>
      </c>
      <c r="K208" s="15" t="s">
        <v>46</v>
      </c>
      <c r="L208" s="15" t="s">
        <v>189</v>
      </c>
      <c r="M208" s="15">
        <v>18</v>
      </c>
      <c r="N208" s="25">
        <v>700</v>
      </c>
      <c r="O208" s="15">
        <v>15</v>
      </c>
      <c r="P208" s="25">
        <v>10710</v>
      </c>
      <c r="Q208" s="15">
        <v>3</v>
      </c>
      <c r="R208" s="15" t="s">
        <v>79</v>
      </c>
      <c r="S208" s="15" t="s">
        <v>151</v>
      </c>
      <c r="T208" s="15" t="s">
        <v>228</v>
      </c>
      <c r="U208" s="15">
        <v>9508025585</v>
      </c>
      <c r="V208" s="15" t="s">
        <v>69</v>
      </c>
      <c r="W208" s="29" t="str">
        <f t="shared" si="3"/>
        <v>Vik005Hy</v>
      </c>
    </row>
    <row r="209" spans="1:23" x14ac:dyDescent="0.5">
      <c r="A209" s="17" t="s">
        <v>1038</v>
      </c>
      <c r="B209" s="17" t="s">
        <v>327</v>
      </c>
      <c r="C209" s="17" t="s">
        <v>54</v>
      </c>
      <c r="D209" s="17" t="s">
        <v>1039</v>
      </c>
      <c r="E209" s="17" t="s">
        <v>1040</v>
      </c>
      <c r="F209" s="15" t="s">
        <v>394</v>
      </c>
      <c r="G209" s="17" t="s">
        <v>76</v>
      </c>
      <c r="H209" s="17" t="s">
        <v>1041</v>
      </c>
      <c r="I209" s="17" t="s">
        <v>114</v>
      </c>
      <c r="J209" s="17" t="s">
        <v>106</v>
      </c>
      <c r="K209" s="17" t="s">
        <v>46</v>
      </c>
      <c r="L209" s="17" t="s">
        <v>60</v>
      </c>
      <c r="M209" s="17">
        <v>12</v>
      </c>
      <c r="N209" s="26">
        <v>55000</v>
      </c>
      <c r="O209" s="17">
        <v>0</v>
      </c>
      <c r="P209" s="26">
        <v>660000</v>
      </c>
      <c r="Q209" s="17">
        <v>2</v>
      </c>
      <c r="R209" s="17" t="s">
        <v>88</v>
      </c>
      <c r="S209" s="17" t="s">
        <v>49</v>
      </c>
      <c r="T209" s="15" t="s">
        <v>332</v>
      </c>
      <c r="U209" s="17">
        <v>9364681052</v>
      </c>
      <c r="V209" s="17" t="s">
        <v>69</v>
      </c>
      <c r="W209" s="29" t="str">
        <f t="shared" si="3"/>
        <v>Ami001Pu</v>
      </c>
    </row>
    <row r="210" spans="1:23" x14ac:dyDescent="0.5">
      <c r="A210" s="15" t="s">
        <v>1043</v>
      </c>
      <c r="B210" s="15" t="s">
        <v>23</v>
      </c>
      <c r="C210" s="15" t="s">
        <v>40</v>
      </c>
      <c r="D210" s="15" t="s">
        <v>502</v>
      </c>
      <c r="E210" s="15" t="s">
        <v>1044</v>
      </c>
      <c r="F210" s="15" t="s">
        <v>27</v>
      </c>
      <c r="G210" s="15" t="s">
        <v>28</v>
      </c>
      <c r="H210" s="15" t="s">
        <v>1045</v>
      </c>
      <c r="I210" s="15" t="s">
        <v>105</v>
      </c>
      <c r="J210" s="15" t="s">
        <v>106</v>
      </c>
      <c r="K210" s="15" t="s">
        <v>46</v>
      </c>
      <c r="L210" s="15" t="s">
        <v>47</v>
      </c>
      <c r="M210" s="15">
        <v>7</v>
      </c>
      <c r="N210" s="25">
        <v>12000</v>
      </c>
      <c r="O210" s="15">
        <v>5</v>
      </c>
      <c r="P210" s="25">
        <v>79800</v>
      </c>
      <c r="Q210" s="15">
        <v>3</v>
      </c>
      <c r="R210" s="15" t="s">
        <v>79</v>
      </c>
      <c r="S210" s="15" t="s">
        <v>151</v>
      </c>
      <c r="T210" s="15" t="s">
        <v>50</v>
      </c>
      <c r="U210" s="15">
        <v>9117102884</v>
      </c>
      <c r="V210" s="15" t="s">
        <v>64</v>
      </c>
      <c r="W210" s="29" t="str">
        <f t="shared" si="3"/>
        <v>Kav008Mu</v>
      </c>
    </row>
    <row r="211" spans="1:23" x14ac:dyDescent="0.5">
      <c r="A211" s="17" t="s">
        <v>1047</v>
      </c>
      <c r="B211" s="17" t="s">
        <v>251</v>
      </c>
      <c r="C211" s="17" t="s">
        <v>40</v>
      </c>
      <c r="D211" s="17" t="s">
        <v>1048</v>
      </c>
      <c r="E211" s="17" t="s">
        <v>129</v>
      </c>
      <c r="F211" s="15" t="s">
        <v>254</v>
      </c>
      <c r="G211" s="17" t="s">
        <v>28</v>
      </c>
      <c r="H211" s="17" t="s">
        <v>1049</v>
      </c>
      <c r="I211" s="17" t="s">
        <v>105</v>
      </c>
      <c r="J211" s="17" t="s">
        <v>106</v>
      </c>
      <c r="K211" s="17" t="s">
        <v>46</v>
      </c>
      <c r="L211" s="17" t="s">
        <v>47</v>
      </c>
      <c r="M211" s="17">
        <v>8</v>
      </c>
      <c r="N211" s="26">
        <v>12000</v>
      </c>
      <c r="O211" s="17">
        <v>15</v>
      </c>
      <c r="P211" s="26">
        <v>81600</v>
      </c>
      <c r="Q211" s="17">
        <v>4</v>
      </c>
      <c r="R211" s="17" t="s">
        <v>79</v>
      </c>
      <c r="S211" s="17" t="s">
        <v>49</v>
      </c>
      <c r="T211" s="15" t="s">
        <v>256</v>
      </c>
      <c r="U211" s="17">
        <v>9819453185</v>
      </c>
      <c r="V211" s="17" t="s">
        <v>38</v>
      </c>
      <c r="W211" s="29" t="str">
        <f t="shared" si="3"/>
        <v>Sne006Mu</v>
      </c>
    </row>
    <row r="212" spans="1:23" x14ac:dyDescent="0.5">
      <c r="A212" s="15" t="s">
        <v>1051</v>
      </c>
      <c r="B212" s="15" t="s">
        <v>327</v>
      </c>
      <c r="C212" s="15" t="s">
        <v>92</v>
      </c>
      <c r="D212" s="15" t="s">
        <v>788</v>
      </c>
      <c r="E212" s="15" t="s">
        <v>1052</v>
      </c>
      <c r="F212" s="15" t="s">
        <v>394</v>
      </c>
      <c r="G212" s="15" t="s">
        <v>76</v>
      </c>
      <c r="H212" s="15" t="s">
        <v>1053</v>
      </c>
      <c r="I212" s="15" t="s">
        <v>105</v>
      </c>
      <c r="J212" s="15" t="s">
        <v>106</v>
      </c>
      <c r="K212" s="15" t="s">
        <v>32</v>
      </c>
      <c r="L212" s="15" t="s">
        <v>97</v>
      </c>
      <c r="M212" s="15">
        <v>19</v>
      </c>
      <c r="N212" s="25">
        <v>3500</v>
      </c>
      <c r="O212" s="15">
        <v>5</v>
      </c>
      <c r="P212" s="25">
        <v>63175</v>
      </c>
      <c r="Q212" s="15">
        <v>3</v>
      </c>
      <c r="R212" s="15" t="s">
        <v>79</v>
      </c>
      <c r="S212" s="15" t="s">
        <v>61</v>
      </c>
      <c r="T212" s="15" t="s">
        <v>332</v>
      </c>
      <c r="U212" s="15">
        <v>9511806701</v>
      </c>
      <c r="V212" s="15" t="s">
        <v>64</v>
      </c>
      <c r="W212" s="29" t="str">
        <f t="shared" si="3"/>
        <v>Ami001Mu</v>
      </c>
    </row>
    <row r="213" spans="1:23" x14ac:dyDescent="0.5">
      <c r="A213" s="17" t="s">
        <v>1055</v>
      </c>
      <c r="B213" s="17" t="s">
        <v>251</v>
      </c>
      <c r="C213" s="17" t="s">
        <v>259</v>
      </c>
      <c r="D213" s="17" t="s">
        <v>900</v>
      </c>
      <c r="E213" s="17" t="s">
        <v>987</v>
      </c>
      <c r="F213" s="15" t="s">
        <v>254</v>
      </c>
      <c r="G213" s="17" t="s">
        <v>28</v>
      </c>
      <c r="H213" s="17" t="s">
        <v>1056</v>
      </c>
      <c r="I213" s="17" t="s">
        <v>138</v>
      </c>
      <c r="J213" s="17" t="s">
        <v>106</v>
      </c>
      <c r="K213" s="17" t="s">
        <v>122</v>
      </c>
      <c r="L213" s="17" t="s">
        <v>263</v>
      </c>
      <c r="M213" s="17">
        <v>7</v>
      </c>
      <c r="N213" s="26">
        <v>45</v>
      </c>
      <c r="O213" s="17">
        <v>5</v>
      </c>
      <c r="P213" s="26">
        <v>299.25</v>
      </c>
      <c r="Q213" s="17">
        <v>3</v>
      </c>
      <c r="R213" s="17" t="s">
        <v>79</v>
      </c>
      <c r="S213" s="17" t="s">
        <v>35</v>
      </c>
      <c r="T213" s="15" t="s">
        <v>256</v>
      </c>
      <c r="U213" s="17">
        <v>9875249891</v>
      </c>
      <c r="V213" s="17" t="s">
        <v>69</v>
      </c>
      <c r="W213" s="29" t="str">
        <f t="shared" si="3"/>
        <v>Sne006Ah</v>
      </c>
    </row>
    <row r="214" spans="1:23" x14ac:dyDescent="0.5">
      <c r="A214" s="15" t="s">
        <v>1058</v>
      </c>
      <c r="B214" s="15" t="s">
        <v>23</v>
      </c>
      <c r="C214" s="15" t="s">
        <v>118</v>
      </c>
      <c r="D214" s="15" t="s">
        <v>684</v>
      </c>
      <c r="E214" s="15" t="s">
        <v>750</v>
      </c>
      <c r="F214" s="15" t="s">
        <v>27</v>
      </c>
      <c r="G214" s="15" t="s">
        <v>28</v>
      </c>
      <c r="H214" s="15" t="s">
        <v>331</v>
      </c>
      <c r="I214" s="15" t="s">
        <v>30</v>
      </c>
      <c r="J214" s="15" t="s">
        <v>31</v>
      </c>
      <c r="K214" s="15" t="s">
        <v>122</v>
      </c>
      <c r="L214" s="15" t="s">
        <v>123</v>
      </c>
      <c r="M214" s="15">
        <v>3</v>
      </c>
      <c r="N214" s="25">
        <v>60</v>
      </c>
      <c r="O214" s="15">
        <v>15</v>
      </c>
      <c r="P214" s="25">
        <v>153</v>
      </c>
      <c r="Q214" s="15">
        <v>3</v>
      </c>
      <c r="R214" s="15" t="s">
        <v>48</v>
      </c>
      <c r="S214" s="15" t="s">
        <v>49</v>
      </c>
      <c r="T214" s="15" t="s">
        <v>50</v>
      </c>
      <c r="U214" s="15">
        <v>9438232503</v>
      </c>
      <c r="V214" s="15" t="s">
        <v>69</v>
      </c>
      <c r="W214" s="29" t="str">
        <f t="shared" si="3"/>
        <v>Kav008Hy</v>
      </c>
    </row>
    <row r="215" spans="1:23" x14ac:dyDescent="0.5">
      <c r="A215" s="17" t="s">
        <v>1060</v>
      </c>
      <c r="B215" s="17" t="s">
        <v>53</v>
      </c>
      <c r="C215" s="17" t="s">
        <v>259</v>
      </c>
      <c r="D215" s="17" t="s">
        <v>1061</v>
      </c>
      <c r="E215" s="17" t="s">
        <v>582</v>
      </c>
      <c r="F215" s="15" t="s">
        <v>163</v>
      </c>
      <c r="G215" s="17" t="s">
        <v>28</v>
      </c>
      <c r="H215" s="17" t="s">
        <v>1062</v>
      </c>
      <c r="I215" s="17" t="s">
        <v>114</v>
      </c>
      <c r="J215" s="17" t="s">
        <v>106</v>
      </c>
      <c r="K215" s="17" t="s">
        <v>122</v>
      </c>
      <c r="L215" s="17" t="s">
        <v>263</v>
      </c>
      <c r="M215" s="17">
        <v>19</v>
      </c>
      <c r="N215" s="26">
        <v>45</v>
      </c>
      <c r="O215" s="17">
        <v>0</v>
      </c>
      <c r="P215" s="26">
        <v>855</v>
      </c>
      <c r="Q215" s="17">
        <v>2</v>
      </c>
      <c r="R215" s="17" t="s">
        <v>34</v>
      </c>
      <c r="S215" s="17" t="s">
        <v>61</v>
      </c>
      <c r="T215" s="15" t="s">
        <v>62</v>
      </c>
      <c r="U215" s="17">
        <v>9449953754</v>
      </c>
      <c r="V215" s="17" t="s">
        <v>38</v>
      </c>
      <c r="W215" s="29" t="str">
        <f t="shared" si="3"/>
        <v>Poo010Pu</v>
      </c>
    </row>
    <row r="216" spans="1:23" x14ac:dyDescent="0.5">
      <c r="A216" s="15" t="s">
        <v>1064</v>
      </c>
      <c r="B216" s="15" t="s">
        <v>100</v>
      </c>
      <c r="C216" s="15" t="s">
        <v>40</v>
      </c>
      <c r="D216" s="15" t="s">
        <v>1065</v>
      </c>
      <c r="E216" s="15" t="s">
        <v>543</v>
      </c>
      <c r="F216" s="15" t="s">
        <v>103</v>
      </c>
      <c r="G216" s="15" t="s">
        <v>28</v>
      </c>
      <c r="H216" s="15" t="s">
        <v>1066</v>
      </c>
      <c r="I216" s="15" t="s">
        <v>59</v>
      </c>
      <c r="J216" s="15" t="s">
        <v>31</v>
      </c>
      <c r="K216" s="15" t="s">
        <v>46</v>
      </c>
      <c r="L216" s="15" t="s">
        <v>47</v>
      </c>
      <c r="M216" s="15">
        <v>10</v>
      </c>
      <c r="N216" s="25">
        <v>12000</v>
      </c>
      <c r="O216" s="15">
        <v>5</v>
      </c>
      <c r="P216" s="25">
        <v>114000</v>
      </c>
      <c r="Q216" s="15">
        <v>1</v>
      </c>
      <c r="R216" s="15" t="s">
        <v>79</v>
      </c>
      <c r="S216" s="15" t="s">
        <v>115</v>
      </c>
      <c r="T216" s="15" t="s">
        <v>144</v>
      </c>
      <c r="U216" s="15">
        <v>9833801891</v>
      </c>
      <c r="V216" s="15" t="s">
        <v>69</v>
      </c>
      <c r="W216" s="29" t="str">
        <f t="shared" si="3"/>
        <v>Pri002Be</v>
      </c>
    </row>
    <row r="217" spans="1:23" x14ac:dyDescent="0.5">
      <c r="A217" s="17" t="s">
        <v>1068</v>
      </c>
      <c r="B217" s="17" t="s">
        <v>23</v>
      </c>
      <c r="C217" s="17" t="s">
        <v>72</v>
      </c>
      <c r="D217" s="17" t="s">
        <v>1069</v>
      </c>
      <c r="E217" s="17" t="s">
        <v>1031</v>
      </c>
      <c r="F217" s="15" t="s">
        <v>27</v>
      </c>
      <c r="G217" s="17" t="s">
        <v>28</v>
      </c>
      <c r="H217" s="17" t="s">
        <v>1070</v>
      </c>
      <c r="I217" s="17" t="s">
        <v>294</v>
      </c>
      <c r="J217" s="17" t="s">
        <v>295</v>
      </c>
      <c r="K217" s="17" t="s">
        <v>46</v>
      </c>
      <c r="L217" s="17" t="s">
        <v>78</v>
      </c>
      <c r="M217" s="17">
        <v>4</v>
      </c>
      <c r="N217" s="26">
        <v>1200</v>
      </c>
      <c r="O217" s="17">
        <v>0</v>
      </c>
      <c r="P217" s="26">
        <v>4800</v>
      </c>
      <c r="Q217" s="17">
        <v>4</v>
      </c>
      <c r="R217" s="17" t="s">
        <v>34</v>
      </c>
      <c r="S217" s="17" t="s">
        <v>61</v>
      </c>
      <c r="T217" s="15" t="s">
        <v>50</v>
      </c>
      <c r="U217" s="17">
        <v>9183949273</v>
      </c>
      <c r="V217" s="17" t="s">
        <v>38</v>
      </c>
      <c r="W217" s="29" t="str">
        <f t="shared" si="3"/>
        <v>Kav008Ko</v>
      </c>
    </row>
    <row r="218" spans="1:23" x14ac:dyDescent="0.5">
      <c r="A218" s="15" t="s">
        <v>1072</v>
      </c>
      <c r="B218" s="15" t="s">
        <v>221</v>
      </c>
      <c r="C218" s="15" t="s">
        <v>169</v>
      </c>
      <c r="D218" s="15" t="s">
        <v>531</v>
      </c>
      <c r="E218" s="15" t="s">
        <v>1073</v>
      </c>
      <c r="F218" s="15" t="s">
        <v>225</v>
      </c>
      <c r="G218" s="15" t="s">
        <v>76</v>
      </c>
      <c r="H218" s="15" t="s">
        <v>1074</v>
      </c>
      <c r="I218" s="15" t="s">
        <v>59</v>
      </c>
      <c r="J218" s="15" t="s">
        <v>31</v>
      </c>
      <c r="K218" s="15" t="s">
        <v>32</v>
      </c>
      <c r="L218" s="15" t="s">
        <v>174</v>
      </c>
      <c r="M218" s="15">
        <v>2</v>
      </c>
      <c r="N218" s="25">
        <v>8500</v>
      </c>
      <c r="O218" s="15">
        <v>20</v>
      </c>
      <c r="P218" s="25">
        <v>13600</v>
      </c>
      <c r="Q218" s="15">
        <v>3</v>
      </c>
      <c r="R218" s="15" t="s">
        <v>79</v>
      </c>
      <c r="S218" s="15" t="s">
        <v>151</v>
      </c>
      <c r="T218" s="15" t="s">
        <v>228</v>
      </c>
      <c r="U218" s="15">
        <v>9168257367</v>
      </c>
      <c r="V218" s="15" t="s">
        <v>38</v>
      </c>
      <c r="W218" s="29" t="str">
        <f t="shared" si="3"/>
        <v>Vik005Be</v>
      </c>
    </row>
    <row r="219" spans="1:23" x14ac:dyDescent="0.5">
      <c r="A219" s="17" t="s">
        <v>1076</v>
      </c>
      <c r="B219" s="17" t="s">
        <v>83</v>
      </c>
      <c r="C219" s="17" t="s">
        <v>184</v>
      </c>
      <c r="D219" s="17" t="s">
        <v>1077</v>
      </c>
      <c r="E219" s="17" t="s">
        <v>322</v>
      </c>
      <c r="F219" s="15" t="s">
        <v>180</v>
      </c>
      <c r="G219" s="17" t="s">
        <v>76</v>
      </c>
      <c r="H219" s="17" t="s">
        <v>1078</v>
      </c>
      <c r="I219" s="17" t="s">
        <v>294</v>
      </c>
      <c r="J219" s="17" t="s">
        <v>295</v>
      </c>
      <c r="K219" s="17" t="s">
        <v>46</v>
      </c>
      <c r="L219" s="17" t="s">
        <v>189</v>
      </c>
      <c r="M219" s="17">
        <v>7</v>
      </c>
      <c r="N219" s="26">
        <v>700</v>
      </c>
      <c r="O219" s="17">
        <v>20</v>
      </c>
      <c r="P219" s="26">
        <v>3920</v>
      </c>
      <c r="Q219" s="17">
        <v>2</v>
      </c>
      <c r="R219" s="17" t="s">
        <v>79</v>
      </c>
      <c r="S219" s="17" t="s">
        <v>151</v>
      </c>
      <c r="T219" s="15" t="s">
        <v>89</v>
      </c>
      <c r="U219" s="17">
        <v>9580903210</v>
      </c>
      <c r="V219" s="17" t="s">
        <v>64</v>
      </c>
      <c r="W219" s="29" t="str">
        <f t="shared" si="3"/>
        <v>Arj007Ko</v>
      </c>
    </row>
    <row r="220" spans="1:23" x14ac:dyDescent="0.5">
      <c r="A220" s="15" t="s">
        <v>1080</v>
      </c>
      <c r="B220" s="15" t="s">
        <v>53</v>
      </c>
      <c r="C220" s="15" t="s">
        <v>222</v>
      </c>
      <c r="D220" s="15" t="s">
        <v>1081</v>
      </c>
      <c r="E220" s="15" t="s">
        <v>518</v>
      </c>
      <c r="F220" s="15" t="s">
        <v>163</v>
      </c>
      <c r="G220" s="15" t="s">
        <v>28</v>
      </c>
      <c r="H220" s="15" t="s">
        <v>1082</v>
      </c>
      <c r="I220" s="15" t="s">
        <v>114</v>
      </c>
      <c r="J220" s="15" t="s">
        <v>106</v>
      </c>
      <c r="K220" s="15" t="s">
        <v>122</v>
      </c>
      <c r="L220" s="15" t="s">
        <v>227</v>
      </c>
      <c r="M220" s="15">
        <v>9</v>
      </c>
      <c r="N220" s="25">
        <v>20</v>
      </c>
      <c r="O220" s="15">
        <v>15</v>
      </c>
      <c r="P220" s="25">
        <v>153</v>
      </c>
      <c r="Q220" s="15">
        <v>3</v>
      </c>
      <c r="R220" s="15" t="s">
        <v>48</v>
      </c>
      <c r="S220" s="15" t="s">
        <v>115</v>
      </c>
      <c r="T220" s="15" t="s">
        <v>62</v>
      </c>
      <c r="U220" s="15">
        <v>9602152945</v>
      </c>
      <c r="V220" s="15" t="s">
        <v>38</v>
      </c>
      <c r="W220" s="29" t="str">
        <f t="shared" si="3"/>
        <v>Poo010Pu</v>
      </c>
    </row>
    <row r="221" spans="1:23" x14ac:dyDescent="0.5">
      <c r="A221" s="17" t="s">
        <v>1084</v>
      </c>
      <c r="B221" s="17" t="s">
        <v>100</v>
      </c>
      <c r="C221" s="17" t="s">
        <v>169</v>
      </c>
      <c r="D221" s="17" t="s">
        <v>1085</v>
      </c>
      <c r="E221" s="17" t="s">
        <v>1086</v>
      </c>
      <c r="F221" s="15" t="s">
        <v>103</v>
      </c>
      <c r="G221" s="17" t="s">
        <v>28</v>
      </c>
      <c r="H221" s="17" t="s">
        <v>1087</v>
      </c>
      <c r="I221" s="17" t="s">
        <v>294</v>
      </c>
      <c r="J221" s="17" t="s">
        <v>295</v>
      </c>
      <c r="K221" s="17" t="s">
        <v>32</v>
      </c>
      <c r="L221" s="17" t="s">
        <v>174</v>
      </c>
      <c r="M221" s="17">
        <v>16</v>
      </c>
      <c r="N221" s="26">
        <v>8500</v>
      </c>
      <c r="O221" s="17">
        <v>0</v>
      </c>
      <c r="P221" s="26">
        <v>136000</v>
      </c>
      <c r="Q221" s="17">
        <v>4</v>
      </c>
      <c r="R221" s="17" t="s">
        <v>48</v>
      </c>
      <c r="S221" s="17" t="s">
        <v>35</v>
      </c>
      <c r="T221" s="15" t="s">
        <v>144</v>
      </c>
      <c r="U221" s="17">
        <v>9646917552</v>
      </c>
      <c r="V221" s="17" t="s">
        <v>38</v>
      </c>
      <c r="W221" s="29" t="str">
        <f t="shared" si="3"/>
        <v>Pri002Ko</v>
      </c>
    </row>
    <row r="222" spans="1:23" x14ac:dyDescent="0.5">
      <c r="A222" s="15" t="s">
        <v>1089</v>
      </c>
      <c r="B222" s="15" t="s">
        <v>251</v>
      </c>
      <c r="C222" s="15" t="s">
        <v>92</v>
      </c>
      <c r="D222" s="15" t="s">
        <v>544</v>
      </c>
      <c r="E222" s="15" t="s">
        <v>1090</v>
      </c>
      <c r="F222" s="15" t="s">
        <v>254</v>
      </c>
      <c r="G222" s="15" t="s">
        <v>28</v>
      </c>
      <c r="H222" s="15" t="s">
        <v>1091</v>
      </c>
      <c r="I222" s="15" t="s">
        <v>44</v>
      </c>
      <c r="J222" s="15" t="s">
        <v>45</v>
      </c>
      <c r="K222" s="15" t="s">
        <v>32</v>
      </c>
      <c r="L222" s="15" t="s">
        <v>97</v>
      </c>
      <c r="M222" s="15">
        <v>10</v>
      </c>
      <c r="N222" s="25">
        <v>3500</v>
      </c>
      <c r="O222" s="15">
        <v>5</v>
      </c>
      <c r="P222" s="25">
        <v>33250</v>
      </c>
      <c r="Q222" s="15">
        <v>3</v>
      </c>
      <c r="R222" s="15" t="s">
        <v>48</v>
      </c>
      <c r="S222" s="15" t="s">
        <v>115</v>
      </c>
      <c r="T222" s="15" t="s">
        <v>256</v>
      </c>
      <c r="U222" s="15">
        <v>9127548552</v>
      </c>
      <c r="V222" s="15" t="s">
        <v>38</v>
      </c>
      <c r="W222" s="29" t="str">
        <f t="shared" si="3"/>
        <v>Sne006De</v>
      </c>
    </row>
    <row r="223" spans="1:23" x14ac:dyDescent="0.5">
      <c r="A223" s="17" t="s">
        <v>1093</v>
      </c>
      <c r="B223" s="17" t="s">
        <v>53</v>
      </c>
      <c r="C223" s="17" t="s">
        <v>40</v>
      </c>
      <c r="D223" s="17" t="s">
        <v>1094</v>
      </c>
      <c r="E223" s="17" t="s">
        <v>588</v>
      </c>
      <c r="F223" s="15" t="s">
        <v>163</v>
      </c>
      <c r="G223" s="17" t="s">
        <v>28</v>
      </c>
      <c r="H223" s="17" t="s">
        <v>1095</v>
      </c>
      <c r="I223" s="17" t="s">
        <v>294</v>
      </c>
      <c r="J223" s="17" t="s">
        <v>295</v>
      </c>
      <c r="K223" s="17" t="s">
        <v>46</v>
      </c>
      <c r="L223" s="17" t="s">
        <v>47</v>
      </c>
      <c r="M223" s="17">
        <v>1</v>
      </c>
      <c r="N223" s="26">
        <v>12000</v>
      </c>
      <c r="O223" s="17">
        <v>0</v>
      </c>
      <c r="P223" s="26">
        <v>12000</v>
      </c>
      <c r="Q223" s="17">
        <v>5</v>
      </c>
      <c r="R223" s="17" t="s">
        <v>88</v>
      </c>
      <c r="S223" s="17" t="s">
        <v>115</v>
      </c>
      <c r="T223" s="15" t="s">
        <v>62</v>
      </c>
      <c r="U223" s="17">
        <v>9712805603</v>
      </c>
      <c r="V223" s="17" t="s">
        <v>64</v>
      </c>
      <c r="W223" s="29" t="str">
        <f t="shared" si="3"/>
        <v>Poo010Ko</v>
      </c>
    </row>
    <row r="224" spans="1:23" x14ac:dyDescent="0.5">
      <c r="A224" s="15" t="s">
        <v>1097</v>
      </c>
      <c r="B224" s="15" t="s">
        <v>327</v>
      </c>
      <c r="C224" s="15" t="s">
        <v>259</v>
      </c>
      <c r="D224" s="15" t="s">
        <v>1098</v>
      </c>
      <c r="E224" s="15" t="s">
        <v>601</v>
      </c>
      <c r="F224" s="15" t="s">
        <v>394</v>
      </c>
      <c r="G224" s="15" t="s">
        <v>76</v>
      </c>
      <c r="H224" s="15" t="s">
        <v>1099</v>
      </c>
      <c r="I224" s="15" t="s">
        <v>294</v>
      </c>
      <c r="J224" s="15" t="s">
        <v>295</v>
      </c>
      <c r="K224" s="15" t="s">
        <v>122</v>
      </c>
      <c r="L224" s="15" t="s">
        <v>263</v>
      </c>
      <c r="M224" s="15">
        <v>19</v>
      </c>
      <c r="N224" s="25">
        <v>45</v>
      </c>
      <c r="O224" s="15">
        <v>15</v>
      </c>
      <c r="P224" s="25">
        <v>726.75</v>
      </c>
      <c r="Q224" s="15">
        <v>2</v>
      </c>
      <c r="R224" s="15" t="s">
        <v>88</v>
      </c>
      <c r="S224" s="15" t="s">
        <v>151</v>
      </c>
      <c r="T224" s="15" t="s">
        <v>332</v>
      </c>
      <c r="U224" s="15">
        <v>9798313682</v>
      </c>
      <c r="V224" s="15" t="s">
        <v>64</v>
      </c>
      <c r="W224" s="29" t="str">
        <f t="shared" si="3"/>
        <v>Ami001Ko</v>
      </c>
    </row>
    <row r="225" spans="1:23" x14ac:dyDescent="0.5">
      <c r="A225" s="17" t="s">
        <v>1101</v>
      </c>
      <c r="B225" s="17" t="s">
        <v>23</v>
      </c>
      <c r="C225" s="17" t="s">
        <v>54</v>
      </c>
      <c r="D225" s="17" t="s">
        <v>531</v>
      </c>
      <c r="E225" s="17" t="s">
        <v>1102</v>
      </c>
      <c r="F225" s="15" t="s">
        <v>27</v>
      </c>
      <c r="G225" s="17" t="s">
        <v>28</v>
      </c>
      <c r="H225" s="17" t="s">
        <v>1103</v>
      </c>
      <c r="I225" s="17" t="s">
        <v>44</v>
      </c>
      <c r="J225" s="17" t="s">
        <v>45</v>
      </c>
      <c r="K225" s="17" t="s">
        <v>46</v>
      </c>
      <c r="L225" s="17" t="s">
        <v>60</v>
      </c>
      <c r="M225" s="17">
        <v>13</v>
      </c>
      <c r="N225" s="26">
        <v>55000</v>
      </c>
      <c r="O225" s="17">
        <v>5</v>
      </c>
      <c r="P225" s="26">
        <v>679250</v>
      </c>
      <c r="Q225" s="17">
        <v>4</v>
      </c>
      <c r="R225" s="17" t="s">
        <v>79</v>
      </c>
      <c r="S225" s="17" t="s">
        <v>49</v>
      </c>
      <c r="T225" s="15" t="s">
        <v>50</v>
      </c>
      <c r="U225" s="17">
        <v>9642822397</v>
      </c>
      <c r="V225" s="17" t="s">
        <v>69</v>
      </c>
      <c r="W225" s="29" t="str">
        <f t="shared" si="3"/>
        <v>Kav008De</v>
      </c>
    </row>
    <row r="226" spans="1:23" x14ac:dyDescent="0.5">
      <c r="A226" s="15" t="s">
        <v>1105</v>
      </c>
      <c r="B226" s="15" t="s">
        <v>83</v>
      </c>
      <c r="C226" s="15" t="s">
        <v>259</v>
      </c>
      <c r="D226" s="15" t="s">
        <v>1106</v>
      </c>
      <c r="E226" s="15" t="s">
        <v>155</v>
      </c>
      <c r="F226" s="15" t="s">
        <v>180</v>
      </c>
      <c r="G226" s="15" t="s">
        <v>76</v>
      </c>
      <c r="H226" s="15" t="s">
        <v>1107</v>
      </c>
      <c r="I226" s="15" t="s">
        <v>105</v>
      </c>
      <c r="J226" s="15" t="s">
        <v>106</v>
      </c>
      <c r="K226" s="15" t="s">
        <v>122</v>
      </c>
      <c r="L226" s="15" t="s">
        <v>263</v>
      </c>
      <c r="M226" s="15">
        <v>2</v>
      </c>
      <c r="N226" s="25">
        <v>45</v>
      </c>
      <c r="O226" s="15">
        <v>15</v>
      </c>
      <c r="P226" s="25">
        <v>76.5</v>
      </c>
      <c r="Q226" s="15">
        <v>1</v>
      </c>
      <c r="R226" s="15" t="s">
        <v>48</v>
      </c>
      <c r="S226" s="15" t="s">
        <v>115</v>
      </c>
      <c r="T226" s="15" t="s">
        <v>89</v>
      </c>
      <c r="U226" s="15">
        <v>9490067655</v>
      </c>
      <c r="V226" s="15" t="s">
        <v>38</v>
      </c>
      <c r="W226" s="29" t="str">
        <f t="shared" si="3"/>
        <v>Arj007Mu</v>
      </c>
    </row>
    <row r="227" spans="1:23" x14ac:dyDescent="0.5">
      <c r="A227" s="17" t="s">
        <v>1109</v>
      </c>
      <c r="B227" s="17" t="s">
        <v>100</v>
      </c>
      <c r="C227" s="17" t="s">
        <v>222</v>
      </c>
      <c r="D227" s="17" t="s">
        <v>303</v>
      </c>
      <c r="E227" s="17" t="s">
        <v>1110</v>
      </c>
      <c r="F227" s="15" t="s">
        <v>103</v>
      </c>
      <c r="G227" s="17" t="s">
        <v>28</v>
      </c>
      <c r="H227" s="17" t="s">
        <v>1111</v>
      </c>
      <c r="I227" s="17" t="s">
        <v>30</v>
      </c>
      <c r="J227" s="17" t="s">
        <v>31</v>
      </c>
      <c r="K227" s="17" t="s">
        <v>122</v>
      </c>
      <c r="L227" s="17" t="s">
        <v>227</v>
      </c>
      <c r="M227" s="17">
        <v>8</v>
      </c>
      <c r="N227" s="26">
        <v>20</v>
      </c>
      <c r="O227" s="17">
        <v>15</v>
      </c>
      <c r="P227" s="26">
        <v>136</v>
      </c>
      <c r="Q227" s="17">
        <v>1</v>
      </c>
      <c r="R227" s="17" t="s">
        <v>79</v>
      </c>
      <c r="S227" s="17" t="s">
        <v>35</v>
      </c>
      <c r="T227" s="15" t="s">
        <v>144</v>
      </c>
      <c r="U227" s="17">
        <v>9389792144</v>
      </c>
      <c r="V227" s="17" t="s">
        <v>64</v>
      </c>
      <c r="W227" s="29" t="str">
        <f t="shared" si="3"/>
        <v>Pri002Hy</v>
      </c>
    </row>
    <row r="228" spans="1:23" x14ac:dyDescent="0.5">
      <c r="A228" s="15" t="s">
        <v>1113</v>
      </c>
      <c r="B228" s="15" t="s">
        <v>168</v>
      </c>
      <c r="C228" s="15" t="s">
        <v>40</v>
      </c>
      <c r="D228" s="15" t="s">
        <v>1114</v>
      </c>
      <c r="E228" s="15" t="s">
        <v>1115</v>
      </c>
      <c r="F228" s="15" t="s">
        <v>361</v>
      </c>
      <c r="G228" s="15" t="s">
        <v>28</v>
      </c>
      <c r="H228" s="15" t="s">
        <v>1116</v>
      </c>
      <c r="I228" s="15" t="s">
        <v>30</v>
      </c>
      <c r="J228" s="15" t="s">
        <v>31</v>
      </c>
      <c r="K228" s="15" t="s">
        <v>46</v>
      </c>
      <c r="L228" s="15" t="s">
        <v>47</v>
      </c>
      <c r="M228" s="15">
        <v>9</v>
      </c>
      <c r="N228" s="25">
        <v>12000</v>
      </c>
      <c r="O228" s="15">
        <v>5</v>
      </c>
      <c r="P228" s="25">
        <v>102600</v>
      </c>
      <c r="Q228" s="15">
        <v>2</v>
      </c>
      <c r="R228" s="15" t="s">
        <v>79</v>
      </c>
      <c r="S228" s="15" t="s">
        <v>35</v>
      </c>
      <c r="T228" s="15" t="s">
        <v>175</v>
      </c>
      <c r="U228" s="15">
        <v>9736113863</v>
      </c>
      <c r="V228" s="15" t="s">
        <v>69</v>
      </c>
      <c r="W228" s="29" t="str">
        <f t="shared" si="3"/>
        <v>Ani004Hy</v>
      </c>
    </row>
    <row r="229" spans="1:23" x14ac:dyDescent="0.5">
      <c r="A229" s="17" t="s">
        <v>1118</v>
      </c>
      <c r="B229" s="17" t="s">
        <v>71</v>
      </c>
      <c r="C229" s="17" t="s">
        <v>92</v>
      </c>
      <c r="D229" s="17" t="s">
        <v>1119</v>
      </c>
      <c r="E229" s="17" t="s">
        <v>1120</v>
      </c>
      <c r="F229" s="15" t="s">
        <v>217</v>
      </c>
      <c r="G229" s="17" t="s">
        <v>76</v>
      </c>
      <c r="H229" s="17" t="s">
        <v>1121</v>
      </c>
      <c r="I229" s="17" t="s">
        <v>294</v>
      </c>
      <c r="J229" s="17" t="s">
        <v>295</v>
      </c>
      <c r="K229" s="17" t="s">
        <v>32</v>
      </c>
      <c r="L229" s="17" t="s">
        <v>97</v>
      </c>
      <c r="M229" s="17">
        <v>3</v>
      </c>
      <c r="N229" s="26">
        <v>3500</v>
      </c>
      <c r="O229" s="17">
        <v>15</v>
      </c>
      <c r="P229" s="26">
        <v>8925</v>
      </c>
      <c r="Q229" s="17">
        <v>1</v>
      </c>
      <c r="R229" s="17" t="s">
        <v>34</v>
      </c>
      <c r="S229" s="17" t="s">
        <v>49</v>
      </c>
      <c r="T229" s="15" t="s">
        <v>80</v>
      </c>
      <c r="U229" s="17">
        <v>9324634732</v>
      </c>
      <c r="V229" s="17" t="s">
        <v>69</v>
      </c>
      <c r="W229" s="29" t="str">
        <f t="shared" si="3"/>
        <v>Moh009Ko</v>
      </c>
    </row>
    <row r="230" spans="1:23" x14ac:dyDescent="0.5">
      <c r="A230" s="15" t="s">
        <v>1123</v>
      </c>
      <c r="B230" s="15" t="s">
        <v>100</v>
      </c>
      <c r="C230" s="15" t="s">
        <v>184</v>
      </c>
      <c r="D230" s="15" t="s">
        <v>1086</v>
      </c>
      <c r="E230" s="15" t="s">
        <v>1124</v>
      </c>
      <c r="F230" s="15" t="s">
        <v>103</v>
      </c>
      <c r="G230" s="15" t="s">
        <v>28</v>
      </c>
      <c r="H230" s="15" t="s">
        <v>1125</v>
      </c>
      <c r="I230" s="15" t="s">
        <v>30</v>
      </c>
      <c r="J230" s="15" t="s">
        <v>31</v>
      </c>
      <c r="K230" s="15" t="s">
        <v>46</v>
      </c>
      <c r="L230" s="15" t="s">
        <v>189</v>
      </c>
      <c r="M230" s="15">
        <v>18</v>
      </c>
      <c r="N230" s="25">
        <v>700</v>
      </c>
      <c r="O230" s="15">
        <v>20</v>
      </c>
      <c r="P230" s="25">
        <v>10080</v>
      </c>
      <c r="Q230" s="15">
        <v>1</v>
      </c>
      <c r="R230" s="15" t="s">
        <v>79</v>
      </c>
      <c r="S230" s="15" t="s">
        <v>151</v>
      </c>
      <c r="T230" s="15" t="s">
        <v>144</v>
      </c>
      <c r="U230" s="15">
        <v>9529968110</v>
      </c>
      <c r="V230" s="15" t="s">
        <v>38</v>
      </c>
      <c r="W230" s="29" t="str">
        <f t="shared" si="3"/>
        <v>Pri002Hy</v>
      </c>
    </row>
    <row r="231" spans="1:23" x14ac:dyDescent="0.5">
      <c r="A231" s="17" t="s">
        <v>1127</v>
      </c>
      <c r="B231" s="17" t="s">
        <v>71</v>
      </c>
      <c r="C231" s="17" t="s">
        <v>92</v>
      </c>
      <c r="D231" s="17" t="s">
        <v>1128</v>
      </c>
      <c r="E231" s="17" t="s">
        <v>110</v>
      </c>
      <c r="F231" s="15" t="s">
        <v>217</v>
      </c>
      <c r="G231" s="17" t="s">
        <v>76</v>
      </c>
      <c r="H231" s="17" t="s">
        <v>1129</v>
      </c>
      <c r="I231" s="17" t="s">
        <v>114</v>
      </c>
      <c r="J231" s="17" t="s">
        <v>106</v>
      </c>
      <c r="K231" s="17" t="s">
        <v>32</v>
      </c>
      <c r="L231" s="17" t="s">
        <v>97</v>
      </c>
      <c r="M231" s="17">
        <v>14</v>
      </c>
      <c r="N231" s="26">
        <v>3500</v>
      </c>
      <c r="O231" s="17">
        <v>5</v>
      </c>
      <c r="P231" s="26">
        <v>46550</v>
      </c>
      <c r="Q231" s="17">
        <v>1</v>
      </c>
      <c r="R231" s="17" t="s">
        <v>34</v>
      </c>
      <c r="S231" s="17" t="s">
        <v>61</v>
      </c>
      <c r="T231" s="15" t="s">
        <v>80</v>
      </c>
      <c r="U231" s="17">
        <v>9102417647</v>
      </c>
      <c r="V231" s="17" t="s">
        <v>38</v>
      </c>
      <c r="W231" s="29" t="str">
        <f t="shared" si="3"/>
        <v>Moh009Pu</v>
      </c>
    </row>
    <row r="232" spans="1:23" x14ac:dyDescent="0.5">
      <c r="A232" s="15" t="s">
        <v>1131</v>
      </c>
      <c r="B232" s="15" t="s">
        <v>100</v>
      </c>
      <c r="C232" s="15" t="s">
        <v>184</v>
      </c>
      <c r="D232" s="15" t="s">
        <v>684</v>
      </c>
      <c r="E232" s="15" t="s">
        <v>318</v>
      </c>
      <c r="F232" s="15" t="s">
        <v>103</v>
      </c>
      <c r="G232" s="15" t="s">
        <v>28</v>
      </c>
      <c r="H232" s="15" t="s">
        <v>1132</v>
      </c>
      <c r="I232" s="15" t="s">
        <v>294</v>
      </c>
      <c r="J232" s="15" t="s">
        <v>295</v>
      </c>
      <c r="K232" s="15" t="s">
        <v>46</v>
      </c>
      <c r="L232" s="15" t="s">
        <v>189</v>
      </c>
      <c r="M232" s="15">
        <v>6</v>
      </c>
      <c r="N232" s="25">
        <v>700</v>
      </c>
      <c r="O232" s="15">
        <v>5</v>
      </c>
      <c r="P232" s="25">
        <v>3990</v>
      </c>
      <c r="Q232" s="15">
        <v>5</v>
      </c>
      <c r="R232" s="15" t="s">
        <v>34</v>
      </c>
      <c r="S232" s="15" t="s">
        <v>35</v>
      </c>
      <c r="T232" s="15" t="s">
        <v>144</v>
      </c>
      <c r="U232" s="15">
        <v>9630302865</v>
      </c>
      <c r="V232" s="15" t="s">
        <v>38</v>
      </c>
      <c r="W232" s="29" t="str">
        <f t="shared" si="3"/>
        <v>Pri002Ko</v>
      </c>
    </row>
    <row r="233" spans="1:23" x14ac:dyDescent="0.5">
      <c r="A233" s="17" t="s">
        <v>1134</v>
      </c>
      <c r="B233" s="17" t="s">
        <v>100</v>
      </c>
      <c r="C233" s="17" t="s">
        <v>92</v>
      </c>
      <c r="D233" s="17" t="s">
        <v>679</v>
      </c>
      <c r="E233" s="17" t="s">
        <v>872</v>
      </c>
      <c r="F233" s="15" t="s">
        <v>103</v>
      </c>
      <c r="G233" s="17" t="s">
        <v>28</v>
      </c>
      <c r="H233" s="17" t="s">
        <v>1135</v>
      </c>
      <c r="I233" s="17" t="s">
        <v>105</v>
      </c>
      <c r="J233" s="17" t="s">
        <v>106</v>
      </c>
      <c r="K233" s="17" t="s">
        <v>32</v>
      </c>
      <c r="L233" s="17" t="s">
        <v>97</v>
      </c>
      <c r="M233" s="17">
        <v>17</v>
      </c>
      <c r="N233" s="26">
        <v>3500</v>
      </c>
      <c r="O233" s="17">
        <v>15</v>
      </c>
      <c r="P233" s="26">
        <v>50575</v>
      </c>
      <c r="Q233" s="17">
        <v>3</v>
      </c>
      <c r="R233" s="17" t="s">
        <v>48</v>
      </c>
      <c r="S233" s="17" t="s">
        <v>49</v>
      </c>
      <c r="T233" s="15" t="s">
        <v>144</v>
      </c>
      <c r="U233" s="17">
        <v>9465353780</v>
      </c>
      <c r="V233" s="17" t="s">
        <v>64</v>
      </c>
      <c r="W233" s="29" t="str">
        <f t="shared" si="3"/>
        <v>Pri002Mu</v>
      </c>
    </row>
    <row r="234" spans="1:23" x14ac:dyDescent="0.5">
      <c r="A234" s="15" t="s">
        <v>1137</v>
      </c>
      <c r="B234" s="15" t="s">
        <v>251</v>
      </c>
      <c r="C234" s="15" t="s">
        <v>222</v>
      </c>
      <c r="D234" s="15" t="s">
        <v>253</v>
      </c>
      <c r="E234" s="15" t="s">
        <v>1128</v>
      </c>
      <c r="F234" s="15" t="s">
        <v>254</v>
      </c>
      <c r="G234" s="15" t="s">
        <v>28</v>
      </c>
      <c r="H234" s="15" t="s">
        <v>1138</v>
      </c>
      <c r="I234" s="15" t="s">
        <v>294</v>
      </c>
      <c r="J234" s="15" t="s">
        <v>295</v>
      </c>
      <c r="K234" s="15" t="s">
        <v>122</v>
      </c>
      <c r="L234" s="15" t="s">
        <v>227</v>
      </c>
      <c r="M234" s="15">
        <v>7</v>
      </c>
      <c r="N234" s="25">
        <v>20</v>
      </c>
      <c r="O234" s="15">
        <v>5</v>
      </c>
      <c r="P234" s="25">
        <v>133</v>
      </c>
      <c r="Q234" s="15">
        <v>2</v>
      </c>
      <c r="R234" s="15" t="s">
        <v>88</v>
      </c>
      <c r="S234" s="15" t="s">
        <v>151</v>
      </c>
      <c r="T234" s="15" t="s">
        <v>256</v>
      </c>
      <c r="U234" s="15">
        <v>9837426414</v>
      </c>
      <c r="V234" s="15" t="s">
        <v>38</v>
      </c>
      <c r="W234" s="29" t="str">
        <f t="shared" si="3"/>
        <v>Sne006Ko</v>
      </c>
    </row>
    <row r="235" spans="1:23" x14ac:dyDescent="0.5">
      <c r="A235" s="17" t="s">
        <v>1140</v>
      </c>
      <c r="B235" s="17" t="s">
        <v>23</v>
      </c>
      <c r="C235" s="17" t="s">
        <v>24</v>
      </c>
      <c r="D235" s="17" t="s">
        <v>1141</v>
      </c>
      <c r="E235" s="17" t="s">
        <v>1142</v>
      </c>
      <c r="F235" s="15" t="s">
        <v>27</v>
      </c>
      <c r="G235" s="17" t="s">
        <v>28</v>
      </c>
      <c r="H235" s="17" t="s">
        <v>1143</v>
      </c>
      <c r="I235" s="17" t="s">
        <v>59</v>
      </c>
      <c r="J235" s="17" t="s">
        <v>31</v>
      </c>
      <c r="K235" s="17" t="s">
        <v>32</v>
      </c>
      <c r="L235" s="17" t="s">
        <v>33</v>
      </c>
      <c r="M235" s="17">
        <v>15</v>
      </c>
      <c r="N235" s="26">
        <v>2200</v>
      </c>
      <c r="O235" s="17">
        <v>20</v>
      </c>
      <c r="P235" s="26">
        <v>26400</v>
      </c>
      <c r="Q235" s="17">
        <v>2</v>
      </c>
      <c r="R235" s="17" t="s">
        <v>34</v>
      </c>
      <c r="S235" s="17" t="s">
        <v>61</v>
      </c>
      <c r="T235" s="15" t="s">
        <v>50</v>
      </c>
      <c r="U235" s="17">
        <v>9249918272</v>
      </c>
      <c r="V235" s="17" t="s">
        <v>38</v>
      </c>
      <c r="W235" s="29" t="str">
        <f t="shared" si="3"/>
        <v>Kav008Be</v>
      </c>
    </row>
    <row r="236" spans="1:23" x14ac:dyDescent="0.5">
      <c r="A236" s="15" t="s">
        <v>1145</v>
      </c>
      <c r="B236" s="15" t="s">
        <v>71</v>
      </c>
      <c r="C236" s="15" t="s">
        <v>222</v>
      </c>
      <c r="D236" s="15" t="s">
        <v>736</v>
      </c>
      <c r="E236" s="15" t="s">
        <v>94</v>
      </c>
      <c r="F236" s="15" t="s">
        <v>217</v>
      </c>
      <c r="G236" s="15" t="s">
        <v>76</v>
      </c>
      <c r="H236" s="15" t="s">
        <v>1146</v>
      </c>
      <c r="I236" s="15" t="s">
        <v>105</v>
      </c>
      <c r="J236" s="15" t="s">
        <v>106</v>
      </c>
      <c r="K236" s="15" t="s">
        <v>122</v>
      </c>
      <c r="L236" s="15" t="s">
        <v>227</v>
      </c>
      <c r="M236" s="15">
        <v>5</v>
      </c>
      <c r="N236" s="25">
        <v>20</v>
      </c>
      <c r="O236" s="15">
        <v>0</v>
      </c>
      <c r="P236" s="25">
        <v>100</v>
      </c>
      <c r="Q236" s="15">
        <v>3</v>
      </c>
      <c r="R236" s="15" t="s">
        <v>34</v>
      </c>
      <c r="S236" s="15" t="s">
        <v>151</v>
      </c>
      <c r="T236" s="15" t="s">
        <v>80</v>
      </c>
      <c r="U236" s="15">
        <v>9265580582</v>
      </c>
      <c r="V236" s="15" t="s">
        <v>38</v>
      </c>
      <c r="W236" s="29" t="str">
        <f t="shared" si="3"/>
        <v>Moh009Mu</v>
      </c>
    </row>
    <row r="237" spans="1:23" x14ac:dyDescent="0.5">
      <c r="A237" s="17" t="s">
        <v>1148</v>
      </c>
      <c r="B237" s="17" t="s">
        <v>127</v>
      </c>
      <c r="C237" s="17" t="s">
        <v>40</v>
      </c>
      <c r="D237" s="17" t="s">
        <v>1149</v>
      </c>
      <c r="E237" s="17" t="s">
        <v>779</v>
      </c>
      <c r="F237" s="15" t="s">
        <v>200</v>
      </c>
      <c r="G237" s="17" t="s">
        <v>76</v>
      </c>
      <c r="H237" s="17" t="s">
        <v>1150</v>
      </c>
      <c r="I237" s="17" t="s">
        <v>44</v>
      </c>
      <c r="J237" s="17" t="s">
        <v>45</v>
      </c>
      <c r="K237" s="17" t="s">
        <v>46</v>
      </c>
      <c r="L237" s="17" t="s">
        <v>47</v>
      </c>
      <c r="M237" s="17">
        <v>8</v>
      </c>
      <c r="N237" s="26">
        <v>12000</v>
      </c>
      <c r="O237" s="17">
        <v>20</v>
      </c>
      <c r="P237" s="26">
        <v>76800</v>
      </c>
      <c r="Q237" s="17">
        <v>3</v>
      </c>
      <c r="R237" s="17" t="s">
        <v>79</v>
      </c>
      <c r="S237" s="17" t="s">
        <v>61</v>
      </c>
      <c r="T237" s="15" t="s">
        <v>132</v>
      </c>
      <c r="U237" s="17">
        <v>9751049833</v>
      </c>
      <c r="V237" s="17" t="s">
        <v>64</v>
      </c>
      <c r="W237" s="29" t="str">
        <f t="shared" si="3"/>
        <v>Roh003De</v>
      </c>
    </row>
    <row r="238" spans="1:23" x14ac:dyDescent="0.5">
      <c r="A238" s="15" t="s">
        <v>1152</v>
      </c>
      <c r="B238" s="15" t="s">
        <v>127</v>
      </c>
      <c r="C238" s="15" t="s">
        <v>92</v>
      </c>
      <c r="D238" s="15" t="s">
        <v>1153</v>
      </c>
      <c r="E238" s="15" t="s">
        <v>987</v>
      </c>
      <c r="F238" s="15" t="s">
        <v>200</v>
      </c>
      <c r="G238" s="15" t="s">
        <v>76</v>
      </c>
      <c r="H238" s="15" t="s">
        <v>1154</v>
      </c>
      <c r="I238" s="15" t="s">
        <v>105</v>
      </c>
      <c r="J238" s="15" t="s">
        <v>106</v>
      </c>
      <c r="K238" s="15" t="s">
        <v>32</v>
      </c>
      <c r="L238" s="15" t="s">
        <v>97</v>
      </c>
      <c r="M238" s="15">
        <v>4</v>
      </c>
      <c r="N238" s="25">
        <v>3500</v>
      </c>
      <c r="O238" s="15">
        <v>20</v>
      </c>
      <c r="P238" s="25">
        <v>11200</v>
      </c>
      <c r="Q238" s="15">
        <v>1</v>
      </c>
      <c r="R238" s="15" t="s">
        <v>79</v>
      </c>
      <c r="S238" s="15" t="s">
        <v>115</v>
      </c>
      <c r="T238" s="15" t="s">
        <v>132</v>
      </c>
      <c r="U238" s="15">
        <v>9741671507</v>
      </c>
      <c r="V238" s="15" t="s">
        <v>38</v>
      </c>
      <c r="W238" s="29" t="str">
        <f t="shared" si="3"/>
        <v>Roh003Mu</v>
      </c>
    </row>
    <row r="239" spans="1:23" x14ac:dyDescent="0.5">
      <c r="A239" s="17" t="s">
        <v>1156</v>
      </c>
      <c r="B239" s="17" t="s">
        <v>221</v>
      </c>
      <c r="C239" s="17" t="s">
        <v>259</v>
      </c>
      <c r="D239" s="17" t="s">
        <v>628</v>
      </c>
      <c r="E239" s="17" t="s">
        <v>1157</v>
      </c>
      <c r="F239" s="15" t="s">
        <v>225</v>
      </c>
      <c r="G239" s="17" t="s">
        <v>76</v>
      </c>
      <c r="H239" s="17" t="s">
        <v>1158</v>
      </c>
      <c r="I239" s="17" t="s">
        <v>30</v>
      </c>
      <c r="J239" s="17" t="s">
        <v>31</v>
      </c>
      <c r="K239" s="17" t="s">
        <v>122</v>
      </c>
      <c r="L239" s="17" t="s">
        <v>263</v>
      </c>
      <c r="M239" s="17">
        <v>19</v>
      </c>
      <c r="N239" s="26">
        <v>45</v>
      </c>
      <c r="O239" s="17">
        <v>10</v>
      </c>
      <c r="P239" s="26">
        <v>769.5</v>
      </c>
      <c r="Q239" s="17">
        <v>1</v>
      </c>
      <c r="R239" s="17" t="s">
        <v>34</v>
      </c>
      <c r="S239" s="17" t="s">
        <v>115</v>
      </c>
      <c r="T239" s="15" t="s">
        <v>228</v>
      </c>
      <c r="U239" s="17">
        <v>9367541035</v>
      </c>
      <c r="V239" s="17" t="s">
        <v>38</v>
      </c>
      <c r="W239" s="29" t="str">
        <f t="shared" si="3"/>
        <v>Vik005Hy</v>
      </c>
    </row>
    <row r="240" spans="1:23" x14ac:dyDescent="0.5">
      <c r="A240" s="15" t="s">
        <v>1160</v>
      </c>
      <c r="B240" s="15" t="s">
        <v>53</v>
      </c>
      <c r="C240" s="15" t="s">
        <v>259</v>
      </c>
      <c r="D240" s="15" t="s">
        <v>588</v>
      </c>
      <c r="E240" s="15" t="s">
        <v>1161</v>
      </c>
      <c r="F240" s="15" t="s">
        <v>163</v>
      </c>
      <c r="G240" s="15" t="s">
        <v>28</v>
      </c>
      <c r="H240" s="15" t="s">
        <v>1162</v>
      </c>
      <c r="I240" s="15" t="s">
        <v>114</v>
      </c>
      <c r="J240" s="15" t="s">
        <v>106</v>
      </c>
      <c r="K240" s="15" t="s">
        <v>122</v>
      </c>
      <c r="L240" s="15" t="s">
        <v>263</v>
      </c>
      <c r="M240" s="15">
        <v>10</v>
      </c>
      <c r="N240" s="25">
        <v>45</v>
      </c>
      <c r="O240" s="15">
        <v>0</v>
      </c>
      <c r="P240" s="25">
        <v>450</v>
      </c>
      <c r="Q240" s="15">
        <v>4</v>
      </c>
      <c r="R240" s="15" t="s">
        <v>88</v>
      </c>
      <c r="S240" s="15" t="s">
        <v>61</v>
      </c>
      <c r="T240" s="15" t="s">
        <v>62</v>
      </c>
      <c r="U240" s="15">
        <v>9323696971</v>
      </c>
      <c r="V240" s="15" t="s">
        <v>38</v>
      </c>
      <c r="W240" s="29" t="str">
        <f t="shared" si="3"/>
        <v>Poo010Pu</v>
      </c>
    </row>
    <row r="241" spans="1:23" x14ac:dyDescent="0.5">
      <c r="A241" s="17" t="s">
        <v>1164</v>
      </c>
      <c r="B241" s="17" t="s">
        <v>53</v>
      </c>
      <c r="C241" s="17" t="s">
        <v>259</v>
      </c>
      <c r="D241" s="17" t="s">
        <v>1165</v>
      </c>
      <c r="E241" s="17" t="s">
        <v>1039</v>
      </c>
      <c r="F241" s="15" t="s">
        <v>163</v>
      </c>
      <c r="G241" s="17" t="s">
        <v>28</v>
      </c>
      <c r="H241" s="17" t="s">
        <v>1166</v>
      </c>
      <c r="I241" s="17" t="s">
        <v>30</v>
      </c>
      <c r="J241" s="17" t="s">
        <v>31</v>
      </c>
      <c r="K241" s="17" t="s">
        <v>122</v>
      </c>
      <c r="L241" s="17" t="s">
        <v>263</v>
      </c>
      <c r="M241" s="17">
        <v>16</v>
      </c>
      <c r="N241" s="26">
        <v>45</v>
      </c>
      <c r="O241" s="17">
        <v>15</v>
      </c>
      <c r="P241" s="26">
        <v>612</v>
      </c>
      <c r="Q241" s="17">
        <v>3</v>
      </c>
      <c r="R241" s="17" t="s">
        <v>34</v>
      </c>
      <c r="S241" s="17" t="s">
        <v>115</v>
      </c>
      <c r="T241" s="15" t="s">
        <v>62</v>
      </c>
      <c r="U241" s="17">
        <v>9786384529</v>
      </c>
      <c r="V241" s="17" t="s">
        <v>69</v>
      </c>
      <c r="W241" s="29" t="str">
        <f t="shared" si="3"/>
        <v>Poo010Hy</v>
      </c>
    </row>
    <row r="242" spans="1:23" x14ac:dyDescent="0.5">
      <c r="A242" s="15" t="s">
        <v>1168</v>
      </c>
      <c r="B242" s="15" t="s">
        <v>168</v>
      </c>
      <c r="C242" s="15" t="s">
        <v>169</v>
      </c>
      <c r="D242" s="15" t="s">
        <v>119</v>
      </c>
      <c r="E242" s="15" t="s">
        <v>120</v>
      </c>
      <c r="F242" s="15" t="s">
        <v>361</v>
      </c>
      <c r="G242" s="15" t="s">
        <v>28</v>
      </c>
      <c r="H242" s="15" t="s">
        <v>1169</v>
      </c>
      <c r="I242" s="15" t="s">
        <v>114</v>
      </c>
      <c r="J242" s="15" t="s">
        <v>106</v>
      </c>
      <c r="K242" s="15" t="s">
        <v>32</v>
      </c>
      <c r="L242" s="15" t="s">
        <v>174</v>
      </c>
      <c r="M242" s="15">
        <v>16</v>
      </c>
      <c r="N242" s="25">
        <v>8500</v>
      </c>
      <c r="O242" s="15">
        <v>15</v>
      </c>
      <c r="P242" s="25">
        <v>115600</v>
      </c>
      <c r="Q242" s="15">
        <v>4</v>
      </c>
      <c r="R242" s="15" t="s">
        <v>48</v>
      </c>
      <c r="S242" s="15" t="s">
        <v>35</v>
      </c>
      <c r="T242" s="15" t="s">
        <v>175</v>
      </c>
      <c r="U242" s="15">
        <v>9444900541</v>
      </c>
      <c r="V242" s="15" t="s">
        <v>69</v>
      </c>
      <c r="W242" s="29" t="str">
        <f t="shared" si="3"/>
        <v>Ani004Pu</v>
      </c>
    </row>
    <row r="243" spans="1:23" x14ac:dyDescent="0.5">
      <c r="A243" s="17" t="s">
        <v>1171</v>
      </c>
      <c r="B243" s="17" t="s">
        <v>168</v>
      </c>
      <c r="C243" s="17" t="s">
        <v>222</v>
      </c>
      <c r="D243" s="17" t="s">
        <v>445</v>
      </c>
      <c r="E243" s="17" t="s">
        <v>1172</v>
      </c>
      <c r="F243" s="15" t="s">
        <v>361</v>
      </c>
      <c r="G243" s="17" t="s">
        <v>28</v>
      </c>
      <c r="H243" s="17" t="s">
        <v>1173</v>
      </c>
      <c r="I243" s="17" t="s">
        <v>294</v>
      </c>
      <c r="J243" s="17" t="s">
        <v>295</v>
      </c>
      <c r="K243" s="17" t="s">
        <v>122</v>
      </c>
      <c r="L243" s="17" t="s">
        <v>227</v>
      </c>
      <c r="M243" s="17">
        <v>15</v>
      </c>
      <c r="N243" s="26">
        <v>20</v>
      </c>
      <c r="O243" s="17">
        <v>20</v>
      </c>
      <c r="P243" s="26">
        <v>240</v>
      </c>
      <c r="Q243" s="17">
        <v>3</v>
      </c>
      <c r="R243" s="17" t="s">
        <v>48</v>
      </c>
      <c r="S243" s="17" t="s">
        <v>49</v>
      </c>
      <c r="T243" s="15" t="s">
        <v>175</v>
      </c>
      <c r="U243" s="17">
        <v>9108024911</v>
      </c>
      <c r="V243" s="17" t="s">
        <v>69</v>
      </c>
      <c r="W243" s="29" t="str">
        <f t="shared" si="3"/>
        <v>Ani004Ko</v>
      </c>
    </row>
    <row r="244" spans="1:23" x14ac:dyDescent="0.5">
      <c r="A244" s="15" t="s">
        <v>1175</v>
      </c>
      <c r="B244" s="15" t="s">
        <v>83</v>
      </c>
      <c r="C244" s="15" t="s">
        <v>118</v>
      </c>
      <c r="D244" s="15" t="s">
        <v>440</v>
      </c>
      <c r="E244" s="15" t="s">
        <v>1176</v>
      </c>
      <c r="F244" s="15" t="s">
        <v>180</v>
      </c>
      <c r="G244" s="15" t="s">
        <v>76</v>
      </c>
      <c r="H244" s="15" t="s">
        <v>1177</v>
      </c>
      <c r="I244" s="15" t="s">
        <v>59</v>
      </c>
      <c r="J244" s="15" t="s">
        <v>31</v>
      </c>
      <c r="K244" s="15" t="s">
        <v>122</v>
      </c>
      <c r="L244" s="15" t="s">
        <v>123</v>
      </c>
      <c r="M244" s="15">
        <v>14</v>
      </c>
      <c r="N244" s="25">
        <v>60</v>
      </c>
      <c r="O244" s="15">
        <v>5</v>
      </c>
      <c r="P244" s="25">
        <v>798</v>
      </c>
      <c r="Q244" s="15">
        <v>4</v>
      </c>
      <c r="R244" s="15" t="s">
        <v>34</v>
      </c>
      <c r="S244" s="15" t="s">
        <v>49</v>
      </c>
      <c r="T244" s="15" t="s">
        <v>89</v>
      </c>
      <c r="U244" s="15">
        <v>9897181325</v>
      </c>
      <c r="V244" s="15" t="s">
        <v>38</v>
      </c>
      <c r="W244" s="29" t="str">
        <f t="shared" si="3"/>
        <v>Arj007Be</v>
      </c>
    </row>
    <row r="245" spans="1:23" x14ac:dyDescent="0.5">
      <c r="A245" s="17" t="s">
        <v>1179</v>
      </c>
      <c r="B245" s="17" t="s">
        <v>53</v>
      </c>
      <c r="C245" s="17" t="s">
        <v>72</v>
      </c>
      <c r="D245" s="17" t="s">
        <v>1180</v>
      </c>
      <c r="E245" s="17" t="s">
        <v>1181</v>
      </c>
      <c r="F245" s="15" t="s">
        <v>163</v>
      </c>
      <c r="G245" s="17" t="s">
        <v>28</v>
      </c>
      <c r="H245" s="17" t="s">
        <v>1182</v>
      </c>
      <c r="I245" s="17" t="s">
        <v>105</v>
      </c>
      <c r="J245" s="17" t="s">
        <v>106</v>
      </c>
      <c r="K245" s="17" t="s">
        <v>46</v>
      </c>
      <c r="L245" s="17" t="s">
        <v>78</v>
      </c>
      <c r="M245" s="17">
        <v>19</v>
      </c>
      <c r="N245" s="26">
        <v>1200</v>
      </c>
      <c r="O245" s="17">
        <v>20</v>
      </c>
      <c r="P245" s="26">
        <v>18240</v>
      </c>
      <c r="Q245" s="17">
        <v>2</v>
      </c>
      <c r="R245" s="17" t="s">
        <v>34</v>
      </c>
      <c r="S245" s="17" t="s">
        <v>115</v>
      </c>
      <c r="T245" s="15" t="s">
        <v>62</v>
      </c>
      <c r="U245" s="17">
        <v>9554719621</v>
      </c>
      <c r="V245" s="17" t="s">
        <v>69</v>
      </c>
      <c r="W245" s="29" t="str">
        <f t="shared" si="3"/>
        <v>Poo010Mu</v>
      </c>
    </row>
    <row r="246" spans="1:23" x14ac:dyDescent="0.5">
      <c r="A246" s="15" t="s">
        <v>1184</v>
      </c>
      <c r="B246" s="15" t="s">
        <v>23</v>
      </c>
      <c r="C246" s="15" t="s">
        <v>259</v>
      </c>
      <c r="D246" s="15" t="s">
        <v>340</v>
      </c>
      <c r="E246" s="15" t="s">
        <v>346</v>
      </c>
      <c r="F246" s="15" t="s">
        <v>27</v>
      </c>
      <c r="G246" s="15" t="s">
        <v>28</v>
      </c>
      <c r="H246" s="15" t="s">
        <v>1185</v>
      </c>
      <c r="I246" s="15" t="s">
        <v>59</v>
      </c>
      <c r="J246" s="15" t="s">
        <v>31</v>
      </c>
      <c r="K246" s="15" t="s">
        <v>122</v>
      </c>
      <c r="L246" s="15" t="s">
        <v>263</v>
      </c>
      <c r="M246" s="15">
        <v>5</v>
      </c>
      <c r="N246" s="25">
        <v>45</v>
      </c>
      <c r="O246" s="15">
        <v>15</v>
      </c>
      <c r="P246" s="25">
        <v>191.25</v>
      </c>
      <c r="Q246" s="15">
        <v>2</v>
      </c>
      <c r="R246" s="15" t="s">
        <v>34</v>
      </c>
      <c r="S246" s="15" t="s">
        <v>61</v>
      </c>
      <c r="T246" s="15" t="s">
        <v>50</v>
      </c>
      <c r="U246" s="15">
        <v>9815899217</v>
      </c>
      <c r="V246" s="15" t="s">
        <v>69</v>
      </c>
      <c r="W246" s="29" t="str">
        <f t="shared" si="3"/>
        <v>Kav008Be</v>
      </c>
    </row>
    <row r="247" spans="1:23" x14ac:dyDescent="0.5">
      <c r="A247" s="17" t="s">
        <v>1187</v>
      </c>
      <c r="B247" s="17" t="s">
        <v>327</v>
      </c>
      <c r="C247" s="17" t="s">
        <v>184</v>
      </c>
      <c r="D247" s="17" t="s">
        <v>237</v>
      </c>
      <c r="E247" s="17" t="s">
        <v>1188</v>
      </c>
      <c r="F247" s="15" t="s">
        <v>394</v>
      </c>
      <c r="G247" s="17" t="s">
        <v>76</v>
      </c>
      <c r="H247" s="17" t="s">
        <v>1189</v>
      </c>
      <c r="I247" s="17" t="s">
        <v>30</v>
      </c>
      <c r="J247" s="17" t="s">
        <v>31</v>
      </c>
      <c r="K247" s="17" t="s">
        <v>46</v>
      </c>
      <c r="L247" s="17" t="s">
        <v>189</v>
      </c>
      <c r="M247" s="17">
        <v>19</v>
      </c>
      <c r="N247" s="26">
        <v>700</v>
      </c>
      <c r="O247" s="17">
        <v>5</v>
      </c>
      <c r="P247" s="26">
        <v>12635</v>
      </c>
      <c r="Q247" s="17">
        <v>5</v>
      </c>
      <c r="R247" s="17" t="s">
        <v>88</v>
      </c>
      <c r="S247" s="17" t="s">
        <v>151</v>
      </c>
      <c r="T247" s="15" t="s">
        <v>332</v>
      </c>
      <c r="U247" s="17">
        <v>9308497039</v>
      </c>
      <c r="V247" s="17" t="s">
        <v>38</v>
      </c>
      <c r="W247" s="29" t="str">
        <f t="shared" si="3"/>
        <v>Ami001Hy</v>
      </c>
    </row>
    <row r="248" spans="1:23" x14ac:dyDescent="0.5">
      <c r="A248" s="15" t="s">
        <v>1191</v>
      </c>
      <c r="B248" s="15" t="s">
        <v>127</v>
      </c>
      <c r="C248" s="15" t="s">
        <v>118</v>
      </c>
      <c r="D248" s="15" t="s">
        <v>464</v>
      </c>
      <c r="E248" s="15" t="s">
        <v>84</v>
      </c>
      <c r="F248" s="15" t="s">
        <v>200</v>
      </c>
      <c r="G248" s="15" t="s">
        <v>76</v>
      </c>
      <c r="H248" s="15" t="s">
        <v>1192</v>
      </c>
      <c r="I248" s="15" t="s">
        <v>294</v>
      </c>
      <c r="J248" s="15" t="s">
        <v>295</v>
      </c>
      <c r="K248" s="15" t="s">
        <v>122</v>
      </c>
      <c r="L248" s="15" t="s">
        <v>123</v>
      </c>
      <c r="M248" s="15">
        <v>7</v>
      </c>
      <c r="N248" s="25">
        <v>60</v>
      </c>
      <c r="O248" s="15">
        <v>0</v>
      </c>
      <c r="P248" s="25">
        <v>420</v>
      </c>
      <c r="Q248" s="15">
        <v>4</v>
      </c>
      <c r="R248" s="15" t="s">
        <v>34</v>
      </c>
      <c r="S248" s="15" t="s">
        <v>115</v>
      </c>
      <c r="T248" s="15" t="s">
        <v>132</v>
      </c>
      <c r="U248" s="15">
        <v>9882054354</v>
      </c>
      <c r="V248" s="15" t="s">
        <v>64</v>
      </c>
      <c r="W248" s="29" t="str">
        <f t="shared" si="3"/>
        <v>Roh003Ko</v>
      </c>
    </row>
    <row r="249" spans="1:23" x14ac:dyDescent="0.5">
      <c r="A249" s="17" t="s">
        <v>1194</v>
      </c>
      <c r="B249" s="17" t="s">
        <v>71</v>
      </c>
      <c r="C249" s="17" t="s">
        <v>24</v>
      </c>
      <c r="D249" s="17" t="s">
        <v>215</v>
      </c>
      <c r="E249" s="17" t="s">
        <v>711</v>
      </c>
      <c r="F249" s="15" t="s">
        <v>217</v>
      </c>
      <c r="G249" s="17" t="s">
        <v>76</v>
      </c>
      <c r="H249" s="17" t="s">
        <v>1195</v>
      </c>
      <c r="I249" s="17" t="s">
        <v>105</v>
      </c>
      <c r="J249" s="17" t="s">
        <v>106</v>
      </c>
      <c r="K249" s="17" t="s">
        <v>32</v>
      </c>
      <c r="L249" s="17" t="s">
        <v>33</v>
      </c>
      <c r="M249" s="17">
        <v>13</v>
      </c>
      <c r="N249" s="26">
        <v>2200</v>
      </c>
      <c r="O249" s="17">
        <v>10</v>
      </c>
      <c r="P249" s="26">
        <v>25740</v>
      </c>
      <c r="Q249" s="17">
        <v>1</v>
      </c>
      <c r="R249" s="17" t="s">
        <v>79</v>
      </c>
      <c r="S249" s="17" t="s">
        <v>151</v>
      </c>
      <c r="T249" s="15" t="s">
        <v>80</v>
      </c>
      <c r="U249" s="17">
        <v>9193016830</v>
      </c>
      <c r="V249" s="17" t="s">
        <v>38</v>
      </c>
      <c r="W249" s="29" t="str">
        <f t="shared" si="3"/>
        <v>Moh009Mu</v>
      </c>
    </row>
    <row r="250" spans="1:23" x14ac:dyDescent="0.5">
      <c r="A250" s="15" t="s">
        <v>1197</v>
      </c>
      <c r="B250" s="15" t="s">
        <v>71</v>
      </c>
      <c r="C250" s="15" t="s">
        <v>24</v>
      </c>
      <c r="D250" s="15" t="s">
        <v>1198</v>
      </c>
      <c r="E250" s="15" t="s">
        <v>1199</v>
      </c>
      <c r="F250" s="15" t="s">
        <v>217</v>
      </c>
      <c r="G250" s="15" t="s">
        <v>76</v>
      </c>
      <c r="H250" s="15" t="s">
        <v>1200</v>
      </c>
      <c r="I250" s="15" t="s">
        <v>59</v>
      </c>
      <c r="J250" s="15" t="s">
        <v>31</v>
      </c>
      <c r="K250" s="15" t="s">
        <v>32</v>
      </c>
      <c r="L250" s="15" t="s">
        <v>33</v>
      </c>
      <c r="M250" s="15">
        <v>9</v>
      </c>
      <c r="N250" s="25">
        <v>2200</v>
      </c>
      <c r="O250" s="15">
        <v>10</v>
      </c>
      <c r="P250" s="25">
        <v>17820</v>
      </c>
      <c r="Q250" s="15">
        <v>2</v>
      </c>
      <c r="R250" s="15" t="s">
        <v>1201</v>
      </c>
      <c r="S250" s="15" t="s">
        <v>61</v>
      </c>
      <c r="T250" s="15" t="s">
        <v>80</v>
      </c>
      <c r="U250" s="15">
        <v>9921470418</v>
      </c>
      <c r="V250" s="15" t="s">
        <v>69</v>
      </c>
      <c r="W250" s="29" t="str">
        <f t="shared" si="3"/>
        <v>Moh009Be</v>
      </c>
    </row>
    <row r="251" spans="1:23" x14ac:dyDescent="0.5">
      <c r="A251" s="17" t="s">
        <v>1203</v>
      </c>
      <c r="B251" s="17" t="s">
        <v>327</v>
      </c>
      <c r="C251" s="17" t="s">
        <v>169</v>
      </c>
      <c r="D251" s="17" t="s">
        <v>944</v>
      </c>
      <c r="E251" s="17" t="s">
        <v>1204</v>
      </c>
      <c r="F251" s="15" t="s">
        <v>394</v>
      </c>
      <c r="G251" s="17" t="s">
        <v>76</v>
      </c>
      <c r="H251" s="17" t="s">
        <v>1205</v>
      </c>
      <c r="I251" s="17" t="s">
        <v>59</v>
      </c>
      <c r="J251" s="17" t="s">
        <v>31</v>
      </c>
      <c r="K251" s="17" t="s">
        <v>32</v>
      </c>
      <c r="L251" s="17" t="s">
        <v>174</v>
      </c>
      <c r="M251" s="17">
        <v>6</v>
      </c>
      <c r="N251" s="26">
        <v>8500</v>
      </c>
      <c r="O251" s="17">
        <v>15</v>
      </c>
      <c r="P251" s="26">
        <v>43350</v>
      </c>
      <c r="Q251" s="17">
        <v>2</v>
      </c>
      <c r="R251" s="17" t="s">
        <v>34</v>
      </c>
      <c r="S251" s="17" t="s">
        <v>151</v>
      </c>
      <c r="T251" s="15" t="s">
        <v>332</v>
      </c>
      <c r="U251" s="17">
        <v>9686979026</v>
      </c>
      <c r="V251" s="17" t="s">
        <v>69</v>
      </c>
      <c r="W251" s="29" t="str">
        <f t="shared" si="3"/>
        <v>Ami001Be</v>
      </c>
    </row>
    <row r="252" spans="1:23" x14ac:dyDescent="0.5">
      <c r="A252" s="15" t="s">
        <v>1207</v>
      </c>
      <c r="B252" s="15" t="s">
        <v>221</v>
      </c>
      <c r="C252" s="15" t="s">
        <v>24</v>
      </c>
      <c r="D252" s="15" t="s">
        <v>736</v>
      </c>
      <c r="E252" s="15" t="s">
        <v>94</v>
      </c>
      <c r="F252" s="15" t="s">
        <v>225</v>
      </c>
      <c r="G252" s="15" t="s">
        <v>76</v>
      </c>
      <c r="H252" s="15" t="s">
        <v>1208</v>
      </c>
      <c r="I252" s="15" t="s">
        <v>44</v>
      </c>
      <c r="J252" s="15" t="s">
        <v>45</v>
      </c>
      <c r="K252" s="15" t="s">
        <v>32</v>
      </c>
      <c r="L252" s="15" t="s">
        <v>33</v>
      </c>
      <c r="M252" s="15">
        <v>9</v>
      </c>
      <c r="N252" s="25">
        <v>2200</v>
      </c>
      <c r="O252" s="15">
        <v>10</v>
      </c>
      <c r="P252" s="25">
        <v>17820</v>
      </c>
      <c r="Q252" s="15">
        <v>3</v>
      </c>
      <c r="R252" s="15" t="s">
        <v>79</v>
      </c>
      <c r="S252" s="15" t="s">
        <v>35</v>
      </c>
      <c r="T252" s="15" t="s">
        <v>228</v>
      </c>
      <c r="U252" s="15">
        <v>9569007422</v>
      </c>
      <c r="V252" s="15" t="s">
        <v>64</v>
      </c>
      <c r="W252" s="29" t="str">
        <f t="shared" si="3"/>
        <v>Vik005De</v>
      </c>
    </row>
    <row r="253" spans="1:23" x14ac:dyDescent="0.5">
      <c r="A253" s="17" t="s">
        <v>1210</v>
      </c>
      <c r="B253" s="17" t="s">
        <v>23</v>
      </c>
      <c r="C253" s="17" t="s">
        <v>169</v>
      </c>
      <c r="D253" s="17" t="s">
        <v>825</v>
      </c>
      <c r="E253" s="17" t="s">
        <v>876</v>
      </c>
      <c r="F253" s="15" t="s">
        <v>27</v>
      </c>
      <c r="G253" s="17" t="s">
        <v>28</v>
      </c>
      <c r="H253" s="17" t="s">
        <v>1211</v>
      </c>
      <c r="I253" s="17" t="s">
        <v>294</v>
      </c>
      <c r="J253" s="17" t="s">
        <v>295</v>
      </c>
      <c r="K253" s="17" t="s">
        <v>32</v>
      </c>
      <c r="L253" s="17" t="s">
        <v>174</v>
      </c>
      <c r="M253" s="17">
        <v>16</v>
      </c>
      <c r="N253" s="26">
        <v>8500</v>
      </c>
      <c r="O253" s="17">
        <v>0</v>
      </c>
      <c r="P253" s="26">
        <v>136000</v>
      </c>
      <c r="Q253" s="17">
        <v>5</v>
      </c>
      <c r="R253" s="17" t="s">
        <v>88</v>
      </c>
      <c r="S253" s="17" t="s">
        <v>115</v>
      </c>
      <c r="T253" s="15" t="s">
        <v>50</v>
      </c>
      <c r="U253" s="17">
        <v>9180820441</v>
      </c>
      <c r="V253" s="17" t="s">
        <v>69</v>
      </c>
      <c r="W253" s="29" t="str">
        <f t="shared" si="3"/>
        <v>Kav008Ko</v>
      </c>
    </row>
    <row r="254" spans="1:23" x14ac:dyDescent="0.5">
      <c r="A254" s="15" t="s">
        <v>1213</v>
      </c>
      <c r="B254" s="15" t="s">
        <v>327</v>
      </c>
      <c r="C254" s="15" t="s">
        <v>72</v>
      </c>
      <c r="D254" s="15" t="s">
        <v>1214</v>
      </c>
      <c r="E254" s="15" t="s">
        <v>692</v>
      </c>
      <c r="F254" s="15" t="s">
        <v>394</v>
      </c>
      <c r="G254" s="15" t="s">
        <v>76</v>
      </c>
      <c r="H254" s="15" t="s">
        <v>1215</v>
      </c>
      <c r="I254" s="15" t="s">
        <v>44</v>
      </c>
      <c r="J254" s="15" t="s">
        <v>45</v>
      </c>
      <c r="K254" s="15" t="s">
        <v>46</v>
      </c>
      <c r="L254" s="15" t="s">
        <v>78</v>
      </c>
      <c r="M254" s="15">
        <v>10</v>
      </c>
      <c r="N254" s="25">
        <v>1200</v>
      </c>
      <c r="O254" s="15">
        <v>15</v>
      </c>
      <c r="P254" s="25">
        <v>10200</v>
      </c>
      <c r="Q254" s="15">
        <v>5</v>
      </c>
      <c r="R254" s="15" t="s">
        <v>34</v>
      </c>
      <c r="S254" s="15" t="s">
        <v>49</v>
      </c>
      <c r="T254" s="15" t="s">
        <v>332</v>
      </c>
      <c r="U254" s="15">
        <v>9769075826</v>
      </c>
      <c r="V254" s="15" t="s">
        <v>38</v>
      </c>
      <c r="W254" s="29" t="str">
        <f t="shared" si="3"/>
        <v>Ami001De</v>
      </c>
    </row>
    <row r="255" spans="1:23" x14ac:dyDescent="0.5">
      <c r="A255" s="17" t="s">
        <v>1217</v>
      </c>
      <c r="B255" s="17" t="s">
        <v>127</v>
      </c>
      <c r="C255" s="17" t="s">
        <v>40</v>
      </c>
      <c r="D255" s="17" t="s">
        <v>413</v>
      </c>
      <c r="E255" s="17" t="s">
        <v>136</v>
      </c>
      <c r="F255" s="15" t="s">
        <v>200</v>
      </c>
      <c r="G255" s="17" t="s">
        <v>76</v>
      </c>
      <c r="H255" s="17" t="s">
        <v>1218</v>
      </c>
      <c r="I255" s="17" t="s">
        <v>294</v>
      </c>
      <c r="J255" s="17" t="s">
        <v>295</v>
      </c>
      <c r="K255" s="17" t="s">
        <v>46</v>
      </c>
      <c r="L255" s="17" t="s">
        <v>47</v>
      </c>
      <c r="M255" s="17">
        <v>7</v>
      </c>
      <c r="N255" s="26">
        <v>12000</v>
      </c>
      <c r="O255" s="17">
        <v>0</v>
      </c>
      <c r="P255" s="26">
        <v>84000</v>
      </c>
      <c r="Q255" s="17">
        <v>1</v>
      </c>
      <c r="R255" s="17" t="s">
        <v>88</v>
      </c>
      <c r="S255" s="17" t="s">
        <v>151</v>
      </c>
      <c r="T255" s="15" t="s">
        <v>132</v>
      </c>
      <c r="U255" s="17">
        <v>9467916296</v>
      </c>
      <c r="V255" s="17" t="s">
        <v>64</v>
      </c>
      <c r="W255" s="29" t="str">
        <f t="shared" si="3"/>
        <v>Roh003Ko</v>
      </c>
    </row>
    <row r="256" spans="1:23" x14ac:dyDescent="0.5">
      <c r="A256" s="15" t="s">
        <v>1220</v>
      </c>
      <c r="B256" s="15" t="s">
        <v>221</v>
      </c>
      <c r="C256" s="15" t="s">
        <v>40</v>
      </c>
      <c r="D256" s="15" t="s">
        <v>128</v>
      </c>
      <c r="E256" s="15" t="s">
        <v>1221</v>
      </c>
      <c r="F256" s="15" t="s">
        <v>225</v>
      </c>
      <c r="G256" s="15" t="s">
        <v>76</v>
      </c>
      <c r="H256" s="15" t="s">
        <v>1222</v>
      </c>
      <c r="I256" s="15" t="s">
        <v>114</v>
      </c>
      <c r="J256" s="15" t="s">
        <v>106</v>
      </c>
      <c r="K256" s="15" t="s">
        <v>46</v>
      </c>
      <c r="L256" s="15" t="s">
        <v>47</v>
      </c>
      <c r="M256" s="15">
        <v>3</v>
      </c>
      <c r="N256" s="25">
        <v>12000</v>
      </c>
      <c r="O256" s="15">
        <v>10</v>
      </c>
      <c r="P256" s="25">
        <v>32400</v>
      </c>
      <c r="Q256" s="15">
        <v>4</v>
      </c>
      <c r="R256" s="15" t="s">
        <v>79</v>
      </c>
      <c r="S256" s="15" t="s">
        <v>151</v>
      </c>
      <c r="T256" s="15" t="s">
        <v>228</v>
      </c>
      <c r="U256" s="15">
        <v>9477052923</v>
      </c>
      <c r="V256" s="15" t="s">
        <v>38</v>
      </c>
      <c r="W256" s="29" t="str">
        <f t="shared" si="3"/>
        <v>Vik005Pu</v>
      </c>
    </row>
    <row r="257" spans="1:23" x14ac:dyDescent="0.5">
      <c r="A257" s="17" t="s">
        <v>1224</v>
      </c>
      <c r="B257" s="17" t="s">
        <v>221</v>
      </c>
      <c r="C257" s="17" t="s">
        <v>40</v>
      </c>
      <c r="D257" s="17" t="s">
        <v>1225</v>
      </c>
      <c r="E257" s="17" t="s">
        <v>927</v>
      </c>
      <c r="F257" s="15" t="s">
        <v>225</v>
      </c>
      <c r="G257" s="17" t="s">
        <v>76</v>
      </c>
      <c r="H257" s="17" t="s">
        <v>1226</v>
      </c>
      <c r="I257" s="17" t="s">
        <v>30</v>
      </c>
      <c r="J257" s="17" t="s">
        <v>31</v>
      </c>
      <c r="K257" s="17" t="s">
        <v>46</v>
      </c>
      <c r="L257" s="17" t="s">
        <v>47</v>
      </c>
      <c r="M257" s="17">
        <v>4</v>
      </c>
      <c r="N257" s="26">
        <v>12000</v>
      </c>
      <c r="O257" s="17">
        <v>15</v>
      </c>
      <c r="P257" s="26">
        <v>40800</v>
      </c>
      <c r="Q257" s="17">
        <v>3</v>
      </c>
      <c r="R257" s="17" t="s">
        <v>79</v>
      </c>
      <c r="S257" s="17" t="s">
        <v>35</v>
      </c>
      <c r="T257" s="15" t="s">
        <v>228</v>
      </c>
      <c r="U257" s="17">
        <v>9184311420</v>
      </c>
      <c r="V257" s="17" t="s">
        <v>64</v>
      </c>
      <c r="W257" s="29" t="str">
        <f t="shared" si="3"/>
        <v>Vik005Hy</v>
      </c>
    </row>
    <row r="258" spans="1:23" x14ac:dyDescent="0.5">
      <c r="A258" s="15" t="s">
        <v>1228</v>
      </c>
      <c r="B258" s="15" t="s">
        <v>127</v>
      </c>
      <c r="C258" s="15" t="s">
        <v>40</v>
      </c>
      <c r="D258" s="15" t="s">
        <v>260</v>
      </c>
      <c r="E258" s="15" t="s">
        <v>498</v>
      </c>
      <c r="F258" s="15" t="s">
        <v>200</v>
      </c>
      <c r="G258" s="15" t="s">
        <v>76</v>
      </c>
      <c r="H258" s="15" t="s">
        <v>1229</v>
      </c>
      <c r="I258" s="15" t="s">
        <v>30</v>
      </c>
      <c r="J258" s="15" t="s">
        <v>31</v>
      </c>
      <c r="K258" s="15" t="s">
        <v>46</v>
      </c>
      <c r="L258" s="15" t="s">
        <v>47</v>
      </c>
      <c r="M258" s="15">
        <v>13</v>
      </c>
      <c r="N258" s="25">
        <v>12000</v>
      </c>
      <c r="O258" s="15">
        <v>10</v>
      </c>
      <c r="P258" s="25">
        <v>140400</v>
      </c>
      <c r="Q258" s="15">
        <v>2</v>
      </c>
      <c r="R258" s="15" t="s">
        <v>34</v>
      </c>
      <c r="S258" s="15" t="s">
        <v>151</v>
      </c>
      <c r="T258" s="15" t="s">
        <v>132</v>
      </c>
      <c r="U258" s="15">
        <v>9630913127</v>
      </c>
      <c r="V258" s="15" t="s">
        <v>69</v>
      </c>
      <c r="W258" s="29" t="str">
        <f t="shared" si="3"/>
        <v>Roh003Hy</v>
      </c>
    </row>
    <row r="259" spans="1:23" x14ac:dyDescent="0.5">
      <c r="A259" s="17" t="s">
        <v>1231</v>
      </c>
      <c r="B259" s="17" t="s">
        <v>23</v>
      </c>
      <c r="C259" s="17" t="s">
        <v>92</v>
      </c>
      <c r="D259" s="17" t="s">
        <v>318</v>
      </c>
      <c r="E259" s="17" t="s">
        <v>679</v>
      </c>
      <c r="F259" s="15" t="s">
        <v>27</v>
      </c>
      <c r="G259" s="17" t="s">
        <v>28</v>
      </c>
      <c r="H259" s="17" t="s">
        <v>1232</v>
      </c>
      <c r="I259" s="17" t="s">
        <v>59</v>
      </c>
      <c r="J259" s="17" t="s">
        <v>31</v>
      </c>
      <c r="K259" s="17" t="s">
        <v>32</v>
      </c>
      <c r="L259" s="17" t="s">
        <v>97</v>
      </c>
      <c r="M259" s="17">
        <v>19</v>
      </c>
      <c r="N259" s="26">
        <v>3500</v>
      </c>
      <c r="O259" s="17">
        <v>20</v>
      </c>
      <c r="P259" s="26">
        <v>53200</v>
      </c>
      <c r="Q259" s="17">
        <v>1</v>
      </c>
      <c r="R259" s="17" t="s">
        <v>34</v>
      </c>
      <c r="S259" s="17" t="s">
        <v>61</v>
      </c>
      <c r="T259" s="15" t="s">
        <v>50</v>
      </c>
      <c r="U259" s="17">
        <v>9997515828</v>
      </c>
      <c r="V259" s="17" t="s">
        <v>69</v>
      </c>
      <c r="W259" s="29" t="str">
        <f t="shared" ref="W259:W322" si="4">LEFT(F259, 3) &amp; RIGHT(B259,3) &amp; LEFT(I259,2)</f>
        <v>Kav008Be</v>
      </c>
    </row>
    <row r="260" spans="1:23" x14ac:dyDescent="0.5">
      <c r="A260" s="15" t="s">
        <v>1234</v>
      </c>
      <c r="B260" s="15" t="s">
        <v>23</v>
      </c>
      <c r="C260" s="15" t="s">
        <v>24</v>
      </c>
      <c r="D260" s="15" t="s">
        <v>932</v>
      </c>
      <c r="E260" s="15" t="s">
        <v>436</v>
      </c>
      <c r="F260" s="15" t="s">
        <v>27</v>
      </c>
      <c r="G260" s="15" t="s">
        <v>28</v>
      </c>
      <c r="H260" s="15" t="s">
        <v>1235</v>
      </c>
      <c r="I260" s="15" t="s">
        <v>105</v>
      </c>
      <c r="J260" s="15" t="s">
        <v>106</v>
      </c>
      <c r="K260" s="15" t="s">
        <v>32</v>
      </c>
      <c r="L260" s="15" t="s">
        <v>33</v>
      </c>
      <c r="M260" s="15">
        <v>7</v>
      </c>
      <c r="N260" s="25">
        <v>2200</v>
      </c>
      <c r="O260" s="15">
        <v>5</v>
      </c>
      <c r="P260" s="25">
        <v>14630</v>
      </c>
      <c r="Q260" s="15">
        <v>3</v>
      </c>
      <c r="R260" s="15" t="s">
        <v>88</v>
      </c>
      <c r="S260" s="15" t="s">
        <v>61</v>
      </c>
      <c r="T260" s="15" t="s">
        <v>50</v>
      </c>
      <c r="U260" s="15">
        <v>9394291182</v>
      </c>
      <c r="V260" s="15" t="s">
        <v>69</v>
      </c>
      <c r="W260" s="29" t="str">
        <f t="shared" si="4"/>
        <v>Kav008Mu</v>
      </c>
    </row>
    <row r="261" spans="1:23" x14ac:dyDescent="0.5">
      <c r="A261" s="17" t="s">
        <v>1237</v>
      </c>
      <c r="B261" s="17" t="s">
        <v>83</v>
      </c>
      <c r="C261" s="17" t="s">
        <v>184</v>
      </c>
      <c r="D261" s="17" t="s">
        <v>1238</v>
      </c>
      <c r="E261" s="17" t="s">
        <v>426</v>
      </c>
      <c r="F261" s="15" t="s">
        <v>180</v>
      </c>
      <c r="G261" s="17" t="s">
        <v>76</v>
      </c>
      <c r="H261" s="17" t="s">
        <v>1239</v>
      </c>
      <c r="I261" s="17" t="s">
        <v>212</v>
      </c>
      <c r="J261" s="17" t="s">
        <v>45</v>
      </c>
      <c r="K261" s="17" t="s">
        <v>46</v>
      </c>
      <c r="L261" s="17" t="s">
        <v>189</v>
      </c>
      <c r="M261" s="17">
        <v>18</v>
      </c>
      <c r="N261" s="26">
        <v>700</v>
      </c>
      <c r="O261" s="17">
        <v>5</v>
      </c>
      <c r="P261" s="26">
        <v>11970</v>
      </c>
      <c r="Q261" s="17">
        <v>2</v>
      </c>
      <c r="R261" s="17" t="s">
        <v>88</v>
      </c>
      <c r="S261" s="17" t="s">
        <v>61</v>
      </c>
      <c r="T261" s="15" t="s">
        <v>89</v>
      </c>
      <c r="U261" s="17">
        <v>9616853220</v>
      </c>
      <c r="V261" s="17" t="s">
        <v>69</v>
      </c>
      <c r="W261" s="29" t="str">
        <f t="shared" si="4"/>
        <v>Arj007Ja</v>
      </c>
    </row>
    <row r="262" spans="1:23" x14ac:dyDescent="0.5">
      <c r="A262" s="15" t="s">
        <v>1241</v>
      </c>
      <c r="B262" s="15" t="s">
        <v>23</v>
      </c>
      <c r="C262" s="15" t="s">
        <v>222</v>
      </c>
      <c r="D262" s="15" t="s">
        <v>1106</v>
      </c>
      <c r="E262" s="15" t="s">
        <v>1242</v>
      </c>
      <c r="F262" s="15" t="s">
        <v>27</v>
      </c>
      <c r="G262" s="15" t="s">
        <v>28</v>
      </c>
      <c r="H262" s="15" t="s">
        <v>1243</v>
      </c>
      <c r="I262" s="15" t="s">
        <v>294</v>
      </c>
      <c r="J262" s="15" t="s">
        <v>295</v>
      </c>
      <c r="K262" s="15" t="s">
        <v>122</v>
      </c>
      <c r="L262" s="15" t="s">
        <v>227</v>
      </c>
      <c r="M262" s="15">
        <v>11</v>
      </c>
      <c r="N262" s="25">
        <v>20</v>
      </c>
      <c r="O262" s="15">
        <v>0</v>
      </c>
      <c r="P262" s="25">
        <v>220</v>
      </c>
      <c r="Q262" s="15">
        <v>2</v>
      </c>
      <c r="R262" s="15" t="s">
        <v>48</v>
      </c>
      <c r="S262" s="15" t="s">
        <v>115</v>
      </c>
      <c r="T262" s="15" t="s">
        <v>50</v>
      </c>
      <c r="U262" s="15">
        <v>9147552626</v>
      </c>
      <c r="V262" s="15" t="s">
        <v>69</v>
      </c>
      <c r="W262" s="29" t="str">
        <f t="shared" si="4"/>
        <v>Kav008Ko</v>
      </c>
    </row>
    <row r="263" spans="1:23" x14ac:dyDescent="0.5">
      <c r="A263" s="17" t="s">
        <v>1245</v>
      </c>
      <c r="B263" s="17" t="s">
        <v>327</v>
      </c>
      <c r="C263" s="17" t="s">
        <v>40</v>
      </c>
      <c r="D263" s="17" t="s">
        <v>1069</v>
      </c>
      <c r="E263" s="17" t="s">
        <v>272</v>
      </c>
      <c r="F263" s="15" t="s">
        <v>394</v>
      </c>
      <c r="G263" s="17" t="s">
        <v>76</v>
      </c>
      <c r="H263" s="17" t="s">
        <v>1246</v>
      </c>
      <c r="I263" s="17" t="s">
        <v>114</v>
      </c>
      <c r="J263" s="17" t="s">
        <v>106</v>
      </c>
      <c r="K263" s="17" t="s">
        <v>46</v>
      </c>
      <c r="L263" s="17" t="s">
        <v>47</v>
      </c>
      <c r="M263" s="17">
        <v>17</v>
      </c>
      <c r="N263" s="26">
        <v>12000</v>
      </c>
      <c r="O263" s="17">
        <v>20</v>
      </c>
      <c r="P263" s="26">
        <v>163200</v>
      </c>
      <c r="Q263" s="17">
        <v>4</v>
      </c>
      <c r="R263" s="17" t="s">
        <v>88</v>
      </c>
      <c r="S263" s="17" t="s">
        <v>151</v>
      </c>
      <c r="T263" s="15" t="s">
        <v>332</v>
      </c>
      <c r="U263" s="17">
        <v>9724197033</v>
      </c>
      <c r="V263" s="17" t="s">
        <v>38</v>
      </c>
      <c r="W263" s="29" t="str">
        <f t="shared" si="4"/>
        <v>Ami001Pu</v>
      </c>
    </row>
    <row r="264" spans="1:23" x14ac:dyDescent="0.5">
      <c r="A264" s="15" t="s">
        <v>1248</v>
      </c>
      <c r="B264" s="15" t="s">
        <v>251</v>
      </c>
      <c r="C264" s="15" t="s">
        <v>24</v>
      </c>
      <c r="D264" s="15" t="s">
        <v>1249</v>
      </c>
      <c r="E264" s="15" t="s">
        <v>267</v>
      </c>
      <c r="F264" s="15" t="s">
        <v>254</v>
      </c>
      <c r="G264" s="15" t="s">
        <v>28</v>
      </c>
      <c r="H264" s="15" t="s">
        <v>1250</v>
      </c>
      <c r="I264" s="15" t="s">
        <v>294</v>
      </c>
      <c r="J264" s="15" t="s">
        <v>295</v>
      </c>
      <c r="K264" s="15" t="s">
        <v>32</v>
      </c>
      <c r="L264" s="15" t="s">
        <v>33</v>
      </c>
      <c r="M264" s="15">
        <v>4</v>
      </c>
      <c r="N264" s="25">
        <v>2200</v>
      </c>
      <c r="O264" s="15">
        <v>5</v>
      </c>
      <c r="P264" s="25">
        <v>8360</v>
      </c>
      <c r="Q264" s="15">
        <v>2</v>
      </c>
      <c r="R264" s="15" t="s">
        <v>34</v>
      </c>
      <c r="S264" s="15" t="s">
        <v>35</v>
      </c>
      <c r="T264" s="15" t="s">
        <v>256</v>
      </c>
      <c r="U264" s="15">
        <v>9130666128</v>
      </c>
      <c r="V264" s="15" t="s">
        <v>38</v>
      </c>
      <c r="W264" s="29" t="str">
        <f t="shared" si="4"/>
        <v>Sne006Ko</v>
      </c>
    </row>
    <row r="265" spans="1:23" x14ac:dyDescent="0.5">
      <c r="A265" s="17" t="s">
        <v>1252</v>
      </c>
      <c r="B265" s="17" t="s">
        <v>23</v>
      </c>
      <c r="C265" s="17" t="s">
        <v>54</v>
      </c>
      <c r="D265" s="17" t="s">
        <v>1253</v>
      </c>
      <c r="E265" s="17" t="s">
        <v>455</v>
      </c>
      <c r="F265" s="15" t="s">
        <v>27</v>
      </c>
      <c r="G265" s="17" t="s">
        <v>28</v>
      </c>
      <c r="H265" s="17" t="s">
        <v>1254</v>
      </c>
      <c r="I265" s="17" t="s">
        <v>138</v>
      </c>
      <c r="J265" s="17" t="s">
        <v>106</v>
      </c>
      <c r="K265" s="17" t="s">
        <v>46</v>
      </c>
      <c r="L265" s="17" t="s">
        <v>60</v>
      </c>
      <c r="M265" s="17">
        <v>6</v>
      </c>
      <c r="N265" s="26">
        <v>55000</v>
      </c>
      <c r="O265" s="17">
        <v>20</v>
      </c>
      <c r="P265" s="26">
        <v>264000</v>
      </c>
      <c r="Q265" s="17">
        <v>2</v>
      </c>
      <c r="R265" s="17" t="s">
        <v>88</v>
      </c>
      <c r="S265" s="17" t="s">
        <v>151</v>
      </c>
      <c r="T265" s="15" t="s">
        <v>50</v>
      </c>
      <c r="U265" s="17">
        <v>9866567601</v>
      </c>
      <c r="V265" s="17" t="s">
        <v>69</v>
      </c>
      <c r="W265" s="29" t="str">
        <f t="shared" si="4"/>
        <v>Kav008Ah</v>
      </c>
    </row>
    <row r="266" spans="1:23" x14ac:dyDescent="0.5">
      <c r="A266" s="15" t="s">
        <v>1256</v>
      </c>
      <c r="B266" s="15" t="s">
        <v>71</v>
      </c>
      <c r="C266" s="15" t="s">
        <v>169</v>
      </c>
      <c r="D266" s="15" t="s">
        <v>84</v>
      </c>
      <c r="E266" s="15" t="s">
        <v>998</v>
      </c>
      <c r="F266" s="15" t="s">
        <v>217</v>
      </c>
      <c r="G266" s="15" t="s">
        <v>76</v>
      </c>
      <c r="H266" s="15" t="s">
        <v>1257</v>
      </c>
      <c r="I266" s="15" t="s">
        <v>44</v>
      </c>
      <c r="J266" s="15" t="s">
        <v>45</v>
      </c>
      <c r="K266" s="15" t="s">
        <v>32</v>
      </c>
      <c r="L266" s="15" t="s">
        <v>174</v>
      </c>
      <c r="M266" s="15">
        <v>6</v>
      </c>
      <c r="N266" s="25">
        <v>8500</v>
      </c>
      <c r="O266" s="15">
        <v>10</v>
      </c>
      <c r="P266" s="25">
        <v>45900</v>
      </c>
      <c r="Q266" s="15">
        <v>5</v>
      </c>
      <c r="R266" s="15" t="s">
        <v>88</v>
      </c>
      <c r="S266" s="15" t="s">
        <v>61</v>
      </c>
      <c r="T266" s="15" t="s">
        <v>80</v>
      </c>
      <c r="U266" s="15">
        <v>9477282450</v>
      </c>
      <c r="V266" s="15" t="s">
        <v>38</v>
      </c>
      <c r="W266" s="29" t="str">
        <f t="shared" si="4"/>
        <v>Moh009De</v>
      </c>
    </row>
    <row r="267" spans="1:23" x14ac:dyDescent="0.5">
      <c r="A267" s="17" t="s">
        <v>1259</v>
      </c>
      <c r="B267" s="17" t="s">
        <v>23</v>
      </c>
      <c r="C267" s="17" t="s">
        <v>222</v>
      </c>
      <c r="D267" s="17" t="s">
        <v>558</v>
      </c>
      <c r="E267" s="17" t="s">
        <v>371</v>
      </c>
      <c r="F267" s="15" t="s">
        <v>27</v>
      </c>
      <c r="G267" s="17" t="s">
        <v>28</v>
      </c>
      <c r="H267" s="17" t="s">
        <v>1260</v>
      </c>
      <c r="I267" s="17" t="s">
        <v>212</v>
      </c>
      <c r="J267" s="17" t="s">
        <v>45</v>
      </c>
      <c r="K267" s="17" t="s">
        <v>122</v>
      </c>
      <c r="L267" s="17" t="s">
        <v>227</v>
      </c>
      <c r="M267" s="17">
        <v>6</v>
      </c>
      <c r="N267" s="26">
        <v>20</v>
      </c>
      <c r="O267" s="17">
        <v>15</v>
      </c>
      <c r="P267" s="26">
        <v>102</v>
      </c>
      <c r="Q267" s="17">
        <v>2</v>
      </c>
      <c r="R267" s="17" t="s">
        <v>88</v>
      </c>
      <c r="S267" s="17" t="s">
        <v>49</v>
      </c>
      <c r="T267" s="15" t="s">
        <v>50</v>
      </c>
      <c r="U267" s="17">
        <v>9857621478</v>
      </c>
      <c r="V267" s="17" t="s">
        <v>69</v>
      </c>
      <c r="W267" s="29" t="str">
        <f t="shared" si="4"/>
        <v>Kav008Ja</v>
      </c>
    </row>
    <row r="268" spans="1:23" x14ac:dyDescent="0.5">
      <c r="A268" s="15" t="s">
        <v>1262</v>
      </c>
      <c r="B268" s="15" t="s">
        <v>53</v>
      </c>
      <c r="C268" s="15" t="s">
        <v>118</v>
      </c>
      <c r="D268" s="15" t="s">
        <v>1263</v>
      </c>
      <c r="E268" s="15" t="s">
        <v>597</v>
      </c>
      <c r="F268" s="15" t="s">
        <v>163</v>
      </c>
      <c r="G268" s="15" t="s">
        <v>28</v>
      </c>
      <c r="H268" s="15" t="s">
        <v>1264</v>
      </c>
      <c r="I268" s="15" t="s">
        <v>105</v>
      </c>
      <c r="J268" s="15" t="s">
        <v>106</v>
      </c>
      <c r="K268" s="15" t="s">
        <v>122</v>
      </c>
      <c r="L268" s="15" t="s">
        <v>123</v>
      </c>
      <c r="M268" s="15">
        <v>6</v>
      </c>
      <c r="N268" s="25">
        <v>60</v>
      </c>
      <c r="O268" s="15">
        <v>5</v>
      </c>
      <c r="P268" s="25">
        <v>342</v>
      </c>
      <c r="Q268" s="15">
        <v>1</v>
      </c>
      <c r="R268" s="15" t="s">
        <v>48</v>
      </c>
      <c r="S268" s="15" t="s">
        <v>61</v>
      </c>
      <c r="T268" s="15" t="s">
        <v>62</v>
      </c>
      <c r="U268" s="15">
        <v>9753869055</v>
      </c>
      <c r="V268" s="15" t="s">
        <v>38</v>
      </c>
      <c r="W268" s="29" t="str">
        <f t="shared" si="4"/>
        <v>Poo010Mu</v>
      </c>
    </row>
    <row r="269" spans="1:23" x14ac:dyDescent="0.5">
      <c r="A269" s="17" t="s">
        <v>1266</v>
      </c>
      <c r="B269" s="17" t="s">
        <v>127</v>
      </c>
      <c r="C269" s="17" t="s">
        <v>169</v>
      </c>
      <c r="D269" s="17" t="s">
        <v>1267</v>
      </c>
      <c r="E269" s="17" t="s">
        <v>1268</v>
      </c>
      <c r="F269" s="15" t="s">
        <v>200</v>
      </c>
      <c r="G269" s="17" t="s">
        <v>76</v>
      </c>
      <c r="H269" s="17" t="s">
        <v>1269</v>
      </c>
      <c r="I269" s="17" t="s">
        <v>30</v>
      </c>
      <c r="J269" s="17" t="s">
        <v>31</v>
      </c>
      <c r="K269" s="17" t="s">
        <v>32</v>
      </c>
      <c r="L269" s="17" t="s">
        <v>174</v>
      </c>
      <c r="M269" s="17">
        <v>19</v>
      </c>
      <c r="N269" s="26">
        <v>8500</v>
      </c>
      <c r="O269" s="17">
        <v>0</v>
      </c>
      <c r="P269" s="26">
        <v>161500</v>
      </c>
      <c r="Q269" s="17">
        <v>5</v>
      </c>
      <c r="R269" s="17" t="s">
        <v>88</v>
      </c>
      <c r="S269" s="17" t="s">
        <v>151</v>
      </c>
      <c r="T269" s="15" t="s">
        <v>132</v>
      </c>
      <c r="U269" s="17">
        <v>9663266204</v>
      </c>
      <c r="V269" s="17" t="s">
        <v>38</v>
      </c>
      <c r="W269" s="29" t="str">
        <f t="shared" si="4"/>
        <v>Roh003Hy</v>
      </c>
    </row>
    <row r="270" spans="1:23" x14ac:dyDescent="0.5">
      <c r="A270" s="15" t="s">
        <v>1271</v>
      </c>
      <c r="B270" s="15" t="s">
        <v>251</v>
      </c>
      <c r="C270" s="15" t="s">
        <v>54</v>
      </c>
      <c r="D270" s="15" t="s">
        <v>445</v>
      </c>
      <c r="E270" s="15" t="s">
        <v>573</v>
      </c>
      <c r="F270" s="15" t="s">
        <v>254</v>
      </c>
      <c r="G270" s="15" t="s">
        <v>28</v>
      </c>
      <c r="H270" s="15" t="s">
        <v>1272</v>
      </c>
      <c r="I270" s="15" t="s">
        <v>212</v>
      </c>
      <c r="J270" s="15" t="s">
        <v>45</v>
      </c>
      <c r="K270" s="15" t="s">
        <v>46</v>
      </c>
      <c r="L270" s="15" t="s">
        <v>60</v>
      </c>
      <c r="M270" s="15">
        <v>8</v>
      </c>
      <c r="N270" s="25">
        <v>55000</v>
      </c>
      <c r="O270" s="15">
        <v>0</v>
      </c>
      <c r="P270" s="25">
        <v>440000</v>
      </c>
      <c r="Q270" s="15">
        <v>3</v>
      </c>
      <c r="R270" s="15" t="s">
        <v>79</v>
      </c>
      <c r="S270" s="15" t="s">
        <v>115</v>
      </c>
      <c r="T270" s="15" t="s">
        <v>256</v>
      </c>
      <c r="U270" s="15">
        <v>9675208616</v>
      </c>
      <c r="V270" s="15" t="s">
        <v>64</v>
      </c>
      <c r="W270" s="29" t="str">
        <f t="shared" si="4"/>
        <v>Sne006Ja</v>
      </c>
    </row>
    <row r="271" spans="1:23" x14ac:dyDescent="0.5">
      <c r="A271" s="17" t="s">
        <v>1274</v>
      </c>
      <c r="B271" s="17" t="s">
        <v>71</v>
      </c>
      <c r="C271" s="17" t="s">
        <v>40</v>
      </c>
      <c r="D271" s="17" t="s">
        <v>1098</v>
      </c>
      <c r="E271" s="17" t="s">
        <v>583</v>
      </c>
      <c r="F271" s="15" t="s">
        <v>217</v>
      </c>
      <c r="G271" s="17" t="s">
        <v>76</v>
      </c>
      <c r="H271" s="17" t="s">
        <v>1275</v>
      </c>
      <c r="I271" s="17" t="s">
        <v>294</v>
      </c>
      <c r="J271" s="17" t="s">
        <v>295</v>
      </c>
      <c r="K271" s="17" t="s">
        <v>46</v>
      </c>
      <c r="L271" s="17" t="s">
        <v>47</v>
      </c>
      <c r="M271" s="17">
        <v>18</v>
      </c>
      <c r="N271" s="26">
        <v>12000</v>
      </c>
      <c r="O271" s="17">
        <v>20</v>
      </c>
      <c r="P271" s="26">
        <v>172800</v>
      </c>
      <c r="Q271" s="17">
        <v>5</v>
      </c>
      <c r="R271" s="17" t="s">
        <v>88</v>
      </c>
      <c r="S271" s="17" t="s">
        <v>61</v>
      </c>
      <c r="T271" s="15" t="s">
        <v>80</v>
      </c>
      <c r="U271" s="17">
        <v>9618393586</v>
      </c>
      <c r="V271" s="17" t="s">
        <v>69</v>
      </c>
      <c r="W271" s="29" t="str">
        <f t="shared" si="4"/>
        <v>Moh009Ko</v>
      </c>
    </row>
    <row r="272" spans="1:23" x14ac:dyDescent="0.5">
      <c r="A272" s="15" t="s">
        <v>1277</v>
      </c>
      <c r="B272" s="15" t="s">
        <v>127</v>
      </c>
      <c r="C272" s="15" t="s">
        <v>169</v>
      </c>
      <c r="D272" s="15" t="s">
        <v>1278</v>
      </c>
      <c r="E272" s="15" t="s">
        <v>198</v>
      </c>
      <c r="F272" s="15" t="s">
        <v>200</v>
      </c>
      <c r="G272" s="15" t="s">
        <v>76</v>
      </c>
      <c r="H272" s="15" t="s">
        <v>1279</v>
      </c>
      <c r="I272" s="15" t="s">
        <v>138</v>
      </c>
      <c r="J272" s="15" t="s">
        <v>106</v>
      </c>
      <c r="K272" s="15" t="s">
        <v>32</v>
      </c>
      <c r="L272" s="15" t="s">
        <v>174</v>
      </c>
      <c r="M272" s="15">
        <v>8</v>
      </c>
      <c r="N272" s="25">
        <v>8500</v>
      </c>
      <c r="O272" s="15">
        <v>5</v>
      </c>
      <c r="P272" s="25">
        <v>64600</v>
      </c>
      <c r="Q272" s="15">
        <v>2</v>
      </c>
      <c r="R272" s="15" t="s">
        <v>79</v>
      </c>
      <c r="S272" s="15" t="s">
        <v>61</v>
      </c>
      <c r="T272" s="15" t="s">
        <v>132</v>
      </c>
      <c r="U272" s="15">
        <v>9137027840</v>
      </c>
      <c r="V272" s="15" t="s">
        <v>69</v>
      </c>
      <c r="W272" s="29" t="str">
        <f t="shared" si="4"/>
        <v>Roh003Ah</v>
      </c>
    </row>
    <row r="273" spans="1:23" x14ac:dyDescent="0.5">
      <c r="A273" s="17" t="s">
        <v>1281</v>
      </c>
      <c r="B273" s="17" t="s">
        <v>23</v>
      </c>
      <c r="C273" s="17" t="s">
        <v>222</v>
      </c>
      <c r="D273" s="17" t="s">
        <v>1282</v>
      </c>
      <c r="E273" s="17" t="s">
        <v>724</v>
      </c>
      <c r="F273" s="15" t="s">
        <v>27</v>
      </c>
      <c r="G273" s="17" t="s">
        <v>28</v>
      </c>
      <c r="H273" s="17" t="s">
        <v>1283</v>
      </c>
      <c r="I273" s="17" t="s">
        <v>105</v>
      </c>
      <c r="J273" s="17" t="s">
        <v>106</v>
      </c>
      <c r="K273" s="17" t="s">
        <v>122</v>
      </c>
      <c r="L273" s="17" t="s">
        <v>227</v>
      </c>
      <c r="M273" s="17">
        <v>13</v>
      </c>
      <c r="N273" s="26">
        <v>20</v>
      </c>
      <c r="O273" s="17">
        <v>5</v>
      </c>
      <c r="P273" s="26">
        <v>247</v>
      </c>
      <c r="Q273" s="17">
        <v>3</v>
      </c>
      <c r="R273" s="17" t="s">
        <v>48</v>
      </c>
      <c r="S273" s="17" t="s">
        <v>115</v>
      </c>
      <c r="T273" s="15" t="s">
        <v>50</v>
      </c>
      <c r="U273" s="17">
        <v>9362758134</v>
      </c>
      <c r="V273" s="17" t="s">
        <v>64</v>
      </c>
      <c r="W273" s="29" t="str">
        <f t="shared" si="4"/>
        <v>Kav008Mu</v>
      </c>
    </row>
    <row r="274" spans="1:23" x14ac:dyDescent="0.5">
      <c r="A274" s="15" t="s">
        <v>1285</v>
      </c>
      <c r="B274" s="15" t="s">
        <v>83</v>
      </c>
      <c r="C274" s="15" t="s">
        <v>118</v>
      </c>
      <c r="D274" s="15" t="s">
        <v>740</v>
      </c>
      <c r="E274" s="15" t="s">
        <v>1286</v>
      </c>
      <c r="F274" s="15" t="s">
        <v>180</v>
      </c>
      <c r="G274" s="15" t="s">
        <v>76</v>
      </c>
      <c r="H274" s="15" t="s">
        <v>1287</v>
      </c>
      <c r="I274" s="15" t="s">
        <v>212</v>
      </c>
      <c r="J274" s="15" t="s">
        <v>45</v>
      </c>
      <c r="K274" s="15" t="s">
        <v>122</v>
      </c>
      <c r="L274" s="15" t="s">
        <v>123</v>
      </c>
      <c r="M274" s="15">
        <v>1</v>
      </c>
      <c r="N274" s="25">
        <v>60</v>
      </c>
      <c r="O274" s="15">
        <v>15</v>
      </c>
      <c r="P274" s="25">
        <v>51</v>
      </c>
      <c r="Q274" s="15">
        <v>2</v>
      </c>
      <c r="R274" s="15" t="s">
        <v>79</v>
      </c>
      <c r="S274" s="15" t="s">
        <v>61</v>
      </c>
      <c r="T274" s="15" t="s">
        <v>89</v>
      </c>
      <c r="U274" s="15">
        <v>9648541985</v>
      </c>
      <c r="V274" s="15" t="s">
        <v>69</v>
      </c>
      <c r="W274" s="29" t="str">
        <f t="shared" si="4"/>
        <v>Arj007Ja</v>
      </c>
    </row>
    <row r="275" spans="1:23" x14ac:dyDescent="0.5">
      <c r="A275" s="17" t="s">
        <v>1289</v>
      </c>
      <c r="B275" s="17" t="s">
        <v>53</v>
      </c>
      <c r="C275" s="17" t="s">
        <v>222</v>
      </c>
      <c r="D275" s="17" t="s">
        <v>1290</v>
      </c>
      <c r="E275" s="17" t="s">
        <v>965</v>
      </c>
      <c r="F275" s="15" t="s">
        <v>163</v>
      </c>
      <c r="G275" s="17" t="s">
        <v>28</v>
      </c>
      <c r="H275" s="17" t="s">
        <v>1291</v>
      </c>
      <c r="I275" s="17" t="s">
        <v>114</v>
      </c>
      <c r="J275" s="17" t="s">
        <v>106</v>
      </c>
      <c r="K275" s="17" t="s">
        <v>122</v>
      </c>
      <c r="L275" s="17" t="s">
        <v>227</v>
      </c>
      <c r="M275" s="17">
        <v>5</v>
      </c>
      <c r="N275" s="26">
        <v>20</v>
      </c>
      <c r="O275" s="17">
        <v>5</v>
      </c>
      <c r="P275" s="26">
        <v>95</v>
      </c>
      <c r="Q275" s="17">
        <v>2</v>
      </c>
      <c r="R275" s="17" t="s">
        <v>48</v>
      </c>
      <c r="S275" s="17" t="s">
        <v>49</v>
      </c>
      <c r="T275" s="15" t="s">
        <v>62</v>
      </c>
      <c r="U275" s="17">
        <v>9175002781</v>
      </c>
      <c r="V275" s="17" t="s">
        <v>64</v>
      </c>
      <c r="W275" s="29" t="str">
        <f t="shared" si="4"/>
        <v>Poo010Pu</v>
      </c>
    </row>
    <row r="276" spans="1:23" x14ac:dyDescent="0.5">
      <c r="A276" s="15" t="s">
        <v>1293</v>
      </c>
      <c r="B276" s="15" t="s">
        <v>221</v>
      </c>
      <c r="C276" s="15" t="s">
        <v>222</v>
      </c>
      <c r="D276" s="15" t="s">
        <v>1294</v>
      </c>
      <c r="E276" s="15" t="s">
        <v>1017</v>
      </c>
      <c r="F276" s="15" t="s">
        <v>225</v>
      </c>
      <c r="G276" s="15" t="s">
        <v>76</v>
      </c>
      <c r="H276" s="15" t="s">
        <v>1295</v>
      </c>
      <c r="I276" s="15" t="s">
        <v>294</v>
      </c>
      <c r="J276" s="15" t="s">
        <v>295</v>
      </c>
      <c r="K276" s="15" t="s">
        <v>122</v>
      </c>
      <c r="L276" s="15" t="s">
        <v>227</v>
      </c>
      <c r="M276" s="15">
        <v>19</v>
      </c>
      <c r="N276" s="25">
        <v>20</v>
      </c>
      <c r="O276" s="15">
        <v>20</v>
      </c>
      <c r="P276" s="25">
        <v>304</v>
      </c>
      <c r="Q276" s="15">
        <v>3</v>
      </c>
      <c r="R276" s="15" t="s">
        <v>34</v>
      </c>
      <c r="S276" s="15" t="s">
        <v>35</v>
      </c>
      <c r="T276" s="15" t="s">
        <v>228</v>
      </c>
      <c r="U276" s="15">
        <v>9786241263</v>
      </c>
      <c r="V276" s="15" t="s">
        <v>69</v>
      </c>
      <c r="W276" s="29" t="str">
        <f t="shared" si="4"/>
        <v>Vik005Ko</v>
      </c>
    </row>
    <row r="277" spans="1:23" x14ac:dyDescent="0.5">
      <c r="A277" s="17" t="s">
        <v>1297</v>
      </c>
      <c r="B277" s="17" t="s">
        <v>100</v>
      </c>
      <c r="C277" s="17" t="s">
        <v>259</v>
      </c>
      <c r="D277" s="17" t="s">
        <v>1298</v>
      </c>
      <c r="E277" s="17" t="s">
        <v>366</v>
      </c>
      <c r="F277" s="15" t="s">
        <v>103</v>
      </c>
      <c r="G277" s="17" t="s">
        <v>28</v>
      </c>
      <c r="H277" s="17" t="s">
        <v>1299</v>
      </c>
      <c r="I277" s="17" t="s">
        <v>138</v>
      </c>
      <c r="J277" s="17" t="s">
        <v>106</v>
      </c>
      <c r="K277" s="17" t="s">
        <v>122</v>
      </c>
      <c r="L277" s="17" t="s">
        <v>263</v>
      </c>
      <c r="M277" s="17">
        <v>17</v>
      </c>
      <c r="N277" s="26">
        <v>45</v>
      </c>
      <c r="O277" s="17">
        <v>5</v>
      </c>
      <c r="P277" s="26">
        <v>726.75</v>
      </c>
      <c r="Q277" s="17">
        <v>4</v>
      </c>
      <c r="R277" s="17" t="s">
        <v>34</v>
      </c>
      <c r="S277" s="17" t="s">
        <v>115</v>
      </c>
      <c r="T277" s="15" t="s">
        <v>144</v>
      </c>
      <c r="U277" s="17">
        <v>9691078176</v>
      </c>
      <c r="V277" s="17" t="s">
        <v>64</v>
      </c>
      <c r="W277" s="29" t="str">
        <f t="shared" si="4"/>
        <v>Pri002Ah</v>
      </c>
    </row>
    <row r="278" spans="1:23" x14ac:dyDescent="0.5">
      <c r="A278" s="15" t="s">
        <v>1301</v>
      </c>
      <c r="B278" s="15" t="s">
        <v>83</v>
      </c>
      <c r="C278" s="15" t="s">
        <v>184</v>
      </c>
      <c r="D278" s="15" t="s">
        <v>1302</v>
      </c>
      <c r="E278" s="15" t="s">
        <v>170</v>
      </c>
      <c r="F278" s="15" t="s">
        <v>180</v>
      </c>
      <c r="G278" s="15" t="s">
        <v>76</v>
      </c>
      <c r="H278" s="15" t="s">
        <v>1303</v>
      </c>
      <c r="I278" s="15" t="s">
        <v>59</v>
      </c>
      <c r="J278" s="15" t="s">
        <v>31</v>
      </c>
      <c r="K278" s="15" t="s">
        <v>46</v>
      </c>
      <c r="L278" s="15" t="s">
        <v>189</v>
      </c>
      <c r="M278" s="15">
        <v>8</v>
      </c>
      <c r="N278" s="25">
        <v>700</v>
      </c>
      <c r="O278" s="15">
        <v>15</v>
      </c>
      <c r="P278" s="25">
        <v>4760</v>
      </c>
      <c r="Q278" s="15">
        <v>4</v>
      </c>
      <c r="R278" s="15" t="s">
        <v>48</v>
      </c>
      <c r="S278" s="15" t="s">
        <v>35</v>
      </c>
      <c r="T278" s="15" t="s">
        <v>89</v>
      </c>
      <c r="U278" s="15">
        <v>9336679085</v>
      </c>
      <c r="V278" s="15" t="s">
        <v>64</v>
      </c>
      <c r="W278" s="29" t="str">
        <f t="shared" si="4"/>
        <v>Arj007Be</v>
      </c>
    </row>
    <row r="279" spans="1:23" x14ac:dyDescent="0.5">
      <c r="A279" s="17" t="s">
        <v>1305</v>
      </c>
      <c r="B279" s="17" t="s">
        <v>168</v>
      </c>
      <c r="C279" s="17" t="s">
        <v>24</v>
      </c>
      <c r="D279" s="17" t="s">
        <v>1306</v>
      </c>
      <c r="E279" s="17" t="s">
        <v>1307</v>
      </c>
      <c r="F279" s="15" t="s">
        <v>361</v>
      </c>
      <c r="G279" s="17" t="s">
        <v>28</v>
      </c>
      <c r="H279" s="17" t="s">
        <v>1308</v>
      </c>
      <c r="I279" s="17" t="s">
        <v>105</v>
      </c>
      <c r="J279" s="17" t="s">
        <v>106</v>
      </c>
      <c r="K279" s="17" t="s">
        <v>32</v>
      </c>
      <c r="L279" s="17" t="s">
        <v>33</v>
      </c>
      <c r="M279" s="17">
        <v>15</v>
      </c>
      <c r="N279" s="26">
        <v>2200</v>
      </c>
      <c r="O279" s="17">
        <v>10</v>
      </c>
      <c r="P279" s="26">
        <v>29700</v>
      </c>
      <c r="Q279" s="17">
        <v>5</v>
      </c>
      <c r="R279" s="17" t="s">
        <v>88</v>
      </c>
      <c r="S279" s="17" t="s">
        <v>151</v>
      </c>
      <c r="T279" s="15" t="s">
        <v>175</v>
      </c>
      <c r="U279" s="17">
        <v>9497351043</v>
      </c>
      <c r="V279" s="17" t="s">
        <v>38</v>
      </c>
      <c r="W279" s="29" t="str">
        <f t="shared" si="4"/>
        <v>Ani004Mu</v>
      </c>
    </row>
    <row r="280" spans="1:23" x14ac:dyDescent="0.5">
      <c r="A280" s="15" t="s">
        <v>1310</v>
      </c>
      <c r="B280" s="15" t="s">
        <v>100</v>
      </c>
      <c r="C280" s="15" t="s">
        <v>24</v>
      </c>
      <c r="D280" s="15" t="s">
        <v>860</v>
      </c>
      <c r="E280" s="15" t="s">
        <v>1311</v>
      </c>
      <c r="F280" s="15" t="s">
        <v>103</v>
      </c>
      <c r="G280" s="15" t="s">
        <v>28</v>
      </c>
      <c r="H280" s="15" t="s">
        <v>1312</v>
      </c>
      <c r="I280" s="15" t="s">
        <v>105</v>
      </c>
      <c r="J280" s="15" t="s">
        <v>106</v>
      </c>
      <c r="K280" s="15" t="s">
        <v>32</v>
      </c>
      <c r="L280" s="15" t="s">
        <v>33</v>
      </c>
      <c r="M280" s="15">
        <v>1</v>
      </c>
      <c r="N280" s="25">
        <v>2200</v>
      </c>
      <c r="O280" s="15">
        <v>0</v>
      </c>
      <c r="P280" s="25">
        <v>2200</v>
      </c>
      <c r="Q280" s="15">
        <v>4</v>
      </c>
      <c r="R280" s="15" t="s">
        <v>34</v>
      </c>
      <c r="S280" s="15" t="s">
        <v>49</v>
      </c>
      <c r="T280" s="15" t="s">
        <v>144</v>
      </c>
      <c r="U280" s="15">
        <v>9357038998</v>
      </c>
      <c r="V280" s="15" t="s">
        <v>69</v>
      </c>
      <c r="W280" s="29" t="str">
        <f t="shared" si="4"/>
        <v>Pri002Mu</v>
      </c>
    </row>
    <row r="281" spans="1:23" x14ac:dyDescent="0.5">
      <c r="A281" s="17" t="s">
        <v>1314</v>
      </c>
      <c r="B281" s="17" t="s">
        <v>251</v>
      </c>
      <c r="C281" s="17" t="s">
        <v>92</v>
      </c>
      <c r="D281" s="17" t="s">
        <v>872</v>
      </c>
      <c r="E281" s="17" t="s">
        <v>1315</v>
      </c>
      <c r="F281" s="15" t="s">
        <v>254</v>
      </c>
      <c r="G281" s="17" t="s">
        <v>28</v>
      </c>
      <c r="H281" s="17" t="s">
        <v>1316</v>
      </c>
      <c r="I281" s="17" t="s">
        <v>138</v>
      </c>
      <c r="J281" s="17" t="s">
        <v>106</v>
      </c>
      <c r="K281" s="17" t="s">
        <v>32</v>
      </c>
      <c r="L281" s="17" t="s">
        <v>97</v>
      </c>
      <c r="M281" s="17">
        <v>10</v>
      </c>
      <c r="N281" s="26">
        <v>3500</v>
      </c>
      <c r="O281" s="17">
        <v>10</v>
      </c>
      <c r="P281" s="26">
        <v>31500</v>
      </c>
      <c r="Q281" s="17">
        <v>4</v>
      </c>
      <c r="R281" s="17" t="s">
        <v>48</v>
      </c>
      <c r="S281" s="17" t="s">
        <v>35</v>
      </c>
      <c r="T281" s="15" t="s">
        <v>256</v>
      </c>
      <c r="U281" s="17">
        <v>9986371291</v>
      </c>
      <c r="V281" s="17" t="s">
        <v>69</v>
      </c>
      <c r="W281" s="29" t="str">
        <f t="shared" si="4"/>
        <v>Sne006Ah</v>
      </c>
    </row>
    <row r="282" spans="1:23" x14ac:dyDescent="0.5">
      <c r="A282" s="15" t="s">
        <v>1318</v>
      </c>
      <c r="B282" s="15" t="s">
        <v>71</v>
      </c>
      <c r="C282" s="15" t="s">
        <v>92</v>
      </c>
      <c r="D282" s="15" t="s">
        <v>1319</v>
      </c>
      <c r="E282" s="15" t="s">
        <v>1320</v>
      </c>
      <c r="F282" s="15" t="s">
        <v>217</v>
      </c>
      <c r="G282" s="15" t="s">
        <v>76</v>
      </c>
      <c r="H282" s="15" t="s">
        <v>1321</v>
      </c>
      <c r="I282" s="15" t="s">
        <v>212</v>
      </c>
      <c r="J282" s="15" t="s">
        <v>45</v>
      </c>
      <c r="K282" s="15" t="s">
        <v>32</v>
      </c>
      <c r="L282" s="15" t="s">
        <v>97</v>
      </c>
      <c r="M282" s="15">
        <v>16</v>
      </c>
      <c r="N282" s="25">
        <v>3500</v>
      </c>
      <c r="O282" s="15">
        <v>15</v>
      </c>
      <c r="P282" s="25">
        <v>47600</v>
      </c>
      <c r="Q282" s="15">
        <v>1</v>
      </c>
      <c r="R282" s="15" t="s">
        <v>79</v>
      </c>
      <c r="S282" s="15" t="s">
        <v>115</v>
      </c>
      <c r="T282" s="15" t="s">
        <v>80</v>
      </c>
      <c r="U282" s="15">
        <v>9397839191</v>
      </c>
      <c r="V282" s="15" t="s">
        <v>64</v>
      </c>
      <c r="W282" s="29" t="str">
        <f t="shared" si="4"/>
        <v>Moh009Ja</v>
      </c>
    </row>
    <row r="283" spans="1:23" x14ac:dyDescent="0.5">
      <c r="A283" s="17" t="s">
        <v>1323</v>
      </c>
      <c r="B283" s="17" t="s">
        <v>251</v>
      </c>
      <c r="C283" s="17" t="s">
        <v>40</v>
      </c>
      <c r="D283" s="17" t="s">
        <v>1324</v>
      </c>
      <c r="E283" s="17" t="s">
        <v>25</v>
      </c>
      <c r="F283" s="15" t="s">
        <v>254</v>
      </c>
      <c r="G283" s="17" t="s">
        <v>28</v>
      </c>
      <c r="H283" s="17" t="s">
        <v>1325</v>
      </c>
      <c r="I283" s="17" t="s">
        <v>212</v>
      </c>
      <c r="J283" s="17" t="s">
        <v>45</v>
      </c>
      <c r="K283" s="17" t="s">
        <v>46</v>
      </c>
      <c r="L283" s="17" t="s">
        <v>47</v>
      </c>
      <c r="M283" s="17">
        <v>1</v>
      </c>
      <c r="N283" s="26">
        <v>12000</v>
      </c>
      <c r="O283" s="17">
        <v>0</v>
      </c>
      <c r="P283" s="26">
        <v>12000</v>
      </c>
      <c r="Q283" s="17">
        <v>4</v>
      </c>
      <c r="R283" s="17" t="s">
        <v>48</v>
      </c>
      <c r="S283" s="17" t="s">
        <v>115</v>
      </c>
      <c r="T283" s="15" t="s">
        <v>256</v>
      </c>
      <c r="U283" s="17">
        <v>9162975843</v>
      </c>
      <c r="V283" s="17" t="s">
        <v>69</v>
      </c>
      <c r="W283" s="29" t="str">
        <f t="shared" si="4"/>
        <v>Sne006Ja</v>
      </c>
    </row>
    <row r="284" spans="1:23" x14ac:dyDescent="0.5">
      <c r="A284" s="15" t="s">
        <v>1327</v>
      </c>
      <c r="B284" s="15" t="s">
        <v>83</v>
      </c>
      <c r="C284" s="15" t="s">
        <v>184</v>
      </c>
      <c r="D284" s="15" t="s">
        <v>1328</v>
      </c>
      <c r="E284" s="15" t="s">
        <v>606</v>
      </c>
      <c r="F284" s="15" t="s">
        <v>180</v>
      </c>
      <c r="G284" s="15" t="s">
        <v>76</v>
      </c>
      <c r="H284" s="15" t="s">
        <v>1329</v>
      </c>
      <c r="I284" s="15" t="s">
        <v>105</v>
      </c>
      <c r="J284" s="15" t="s">
        <v>106</v>
      </c>
      <c r="K284" s="15" t="s">
        <v>46</v>
      </c>
      <c r="L284" s="15" t="s">
        <v>189</v>
      </c>
      <c r="M284" s="15">
        <v>6</v>
      </c>
      <c r="N284" s="25">
        <v>700</v>
      </c>
      <c r="O284" s="15">
        <v>20</v>
      </c>
      <c r="P284" s="25">
        <v>3360</v>
      </c>
      <c r="Q284" s="15">
        <v>2</v>
      </c>
      <c r="R284" s="15" t="s">
        <v>48</v>
      </c>
      <c r="S284" s="15" t="s">
        <v>115</v>
      </c>
      <c r="T284" s="15" t="s">
        <v>89</v>
      </c>
      <c r="U284" s="15">
        <v>9237616558</v>
      </c>
      <c r="V284" s="15" t="s">
        <v>64</v>
      </c>
      <c r="W284" s="29" t="str">
        <f t="shared" si="4"/>
        <v>Arj007Mu</v>
      </c>
    </row>
    <row r="285" spans="1:23" x14ac:dyDescent="0.5">
      <c r="A285" s="17" t="s">
        <v>1331</v>
      </c>
      <c r="B285" s="17" t="s">
        <v>71</v>
      </c>
      <c r="C285" s="17" t="s">
        <v>24</v>
      </c>
      <c r="D285" s="17" t="s">
        <v>923</v>
      </c>
      <c r="E285" s="17" t="s">
        <v>1332</v>
      </c>
      <c r="F285" s="15" t="s">
        <v>217</v>
      </c>
      <c r="G285" s="17" t="s">
        <v>76</v>
      </c>
      <c r="H285" s="17" t="s">
        <v>1333</v>
      </c>
      <c r="I285" s="17" t="s">
        <v>138</v>
      </c>
      <c r="J285" s="17" t="s">
        <v>106</v>
      </c>
      <c r="K285" s="17" t="s">
        <v>32</v>
      </c>
      <c r="L285" s="17" t="s">
        <v>33</v>
      </c>
      <c r="M285" s="17">
        <v>3</v>
      </c>
      <c r="N285" s="26">
        <v>2200</v>
      </c>
      <c r="O285" s="17">
        <v>0</v>
      </c>
      <c r="P285" s="26">
        <v>6600</v>
      </c>
      <c r="Q285" s="17">
        <v>4</v>
      </c>
      <c r="R285" s="17" t="s">
        <v>79</v>
      </c>
      <c r="S285" s="17" t="s">
        <v>35</v>
      </c>
      <c r="T285" s="15" t="s">
        <v>80</v>
      </c>
      <c r="U285" s="17">
        <v>9935063989</v>
      </c>
      <c r="V285" s="17" t="s">
        <v>38</v>
      </c>
      <c r="W285" s="29" t="str">
        <f t="shared" si="4"/>
        <v>Moh009Ah</v>
      </c>
    </row>
    <row r="286" spans="1:23" x14ac:dyDescent="0.5">
      <c r="A286" s="15" t="s">
        <v>1335</v>
      </c>
      <c r="B286" s="15" t="s">
        <v>251</v>
      </c>
      <c r="C286" s="15" t="s">
        <v>259</v>
      </c>
      <c r="D286" s="15" t="s">
        <v>1198</v>
      </c>
      <c r="E286" s="15" t="s">
        <v>216</v>
      </c>
      <c r="F286" s="15" t="s">
        <v>254</v>
      </c>
      <c r="G286" s="15" t="s">
        <v>28</v>
      </c>
      <c r="H286" s="15" t="s">
        <v>1336</v>
      </c>
      <c r="I286" s="15" t="s">
        <v>30</v>
      </c>
      <c r="J286" s="15" t="s">
        <v>31</v>
      </c>
      <c r="K286" s="15" t="s">
        <v>122</v>
      </c>
      <c r="L286" s="15" t="s">
        <v>263</v>
      </c>
      <c r="M286" s="15">
        <v>6</v>
      </c>
      <c r="N286" s="25">
        <v>45</v>
      </c>
      <c r="O286" s="15">
        <v>15</v>
      </c>
      <c r="P286" s="25">
        <v>229.5</v>
      </c>
      <c r="Q286" s="15">
        <v>1</v>
      </c>
      <c r="R286" s="15" t="s">
        <v>88</v>
      </c>
      <c r="S286" s="15" t="s">
        <v>49</v>
      </c>
      <c r="T286" s="15" t="s">
        <v>256</v>
      </c>
      <c r="U286" s="15">
        <v>9167376169</v>
      </c>
      <c r="V286" s="15" t="s">
        <v>38</v>
      </c>
      <c r="W286" s="29" t="str">
        <f t="shared" si="4"/>
        <v>Sne006Hy</v>
      </c>
    </row>
    <row r="287" spans="1:23" x14ac:dyDescent="0.5">
      <c r="A287" s="17" t="s">
        <v>1338</v>
      </c>
      <c r="B287" s="17" t="s">
        <v>251</v>
      </c>
      <c r="C287" s="17" t="s">
        <v>72</v>
      </c>
      <c r="D287" s="17" t="s">
        <v>26</v>
      </c>
      <c r="E287" s="17" t="s">
        <v>1339</v>
      </c>
      <c r="F287" s="15" t="s">
        <v>254</v>
      </c>
      <c r="G287" s="17" t="s">
        <v>28</v>
      </c>
      <c r="H287" s="17" t="s">
        <v>1340</v>
      </c>
      <c r="I287" s="17" t="s">
        <v>59</v>
      </c>
      <c r="J287" s="17" t="s">
        <v>31</v>
      </c>
      <c r="K287" s="17" t="s">
        <v>46</v>
      </c>
      <c r="L287" s="17" t="s">
        <v>78</v>
      </c>
      <c r="M287" s="17">
        <v>2</v>
      </c>
      <c r="N287" s="26">
        <v>1200</v>
      </c>
      <c r="O287" s="17">
        <v>0</v>
      </c>
      <c r="P287" s="26">
        <v>2400</v>
      </c>
      <c r="Q287" s="17">
        <v>1</v>
      </c>
      <c r="R287" s="17" t="s">
        <v>34</v>
      </c>
      <c r="S287" s="17" t="s">
        <v>151</v>
      </c>
      <c r="T287" s="15" t="s">
        <v>256</v>
      </c>
      <c r="U287" s="17">
        <v>9231845497</v>
      </c>
      <c r="V287" s="17" t="s">
        <v>69</v>
      </c>
      <c r="W287" s="29" t="str">
        <f t="shared" si="4"/>
        <v>Sne006Be</v>
      </c>
    </row>
    <row r="288" spans="1:23" x14ac:dyDescent="0.5">
      <c r="A288" s="15" t="s">
        <v>1342</v>
      </c>
      <c r="B288" s="15" t="s">
        <v>168</v>
      </c>
      <c r="C288" s="15" t="s">
        <v>184</v>
      </c>
      <c r="D288" s="15" t="s">
        <v>1343</v>
      </c>
      <c r="E288" s="15" t="s">
        <v>1344</v>
      </c>
      <c r="F288" s="15" t="s">
        <v>361</v>
      </c>
      <c r="G288" s="15" t="s">
        <v>28</v>
      </c>
      <c r="H288" s="15" t="s">
        <v>1345</v>
      </c>
      <c r="I288" s="15" t="s">
        <v>30</v>
      </c>
      <c r="J288" s="15" t="s">
        <v>31</v>
      </c>
      <c r="K288" s="15" t="s">
        <v>46</v>
      </c>
      <c r="L288" s="15" t="s">
        <v>189</v>
      </c>
      <c r="M288" s="15">
        <v>14</v>
      </c>
      <c r="N288" s="25">
        <v>700</v>
      </c>
      <c r="O288" s="15">
        <v>15</v>
      </c>
      <c r="P288" s="25">
        <v>8330</v>
      </c>
      <c r="Q288" s="15">
        <v>5</v>
      </c>
      <c r="R288" s="15" t="s">
        <v>34</v>
      </c>
      <c r="S288" s="15" t="s">
        <v>115</v>
      </c>
      <c r="T288" s="15" t="s">
        <v>175</v>
      </c>
      <c r="U288" s="15">
        <v>9409415805</v>
      </c>
      <c r="V288" s="15" t="s">
        <v>64</v>
      </c>
      <c r="W288" s="29" t="str">
        <f t="shared" si="4"/>
        <v>Ani004Hy</v>
      </c>
    </row>
    <row r="289" spans="1:23" x14ac:dyDescent="0.5">
      <c r="A289" s="17" t="s">
        <v>1347</v>
      </c>
      <c r="B289" s="17" t="s">
        <v>100</v>
      </c>
      <c r="C289" s="17" t="s">
        <v>222</v>
      </c>
      <c r="D289" s="17" t="s">
        <v>291</v>
      </c>
      <c r="E289" s="17" t="s">
        <v>507</v>
      </c>
      <c r="F289" s="15" t="s">
        <v>103</v>
      </c>
      <c r="G289" s="17" t="s">
        <v>28</v>
      </c>
      <c r="H289" s="17" t="s">
        <v>1348</v>
      </c>
      <c r="I289" s="17" t="s">
        <v>105</v>
      </c>
      <c r="J289" s="17" t="s">
        <v>106</v>
      </c>
      <c r="K289" s="17" t="s">
        <v>122</v>
      </c>
      <c r="L289" s="17" t="s">
        <v>227</v>
      </c>
      <c r="M289" s="17">
        <v>13</v>
      </c>
      <c r="N289" s="26">
        <v>20</v>
      </c>
      <c r="O289" s="17">
        <v>5</v>
      </c>
      <c r="P289" s="26">
        <v>247</v>
      </c>
      <c r="Q289" s="17">
        <v>1</v>
      </c>
      <c r="R289" s="17" t="s">
        <v>79</v>
      </c>
      <c r="S289" s="17" t="s">
        <v>35</v>
      </c>
      <c r="T289" s="15" t="s">
        <v>2112</v>
      </c>
      <c r="U289" s="17">
        <v>9240800508</v>
      </c>
      <c r="V289" s="17" t="s">
        <v>64</v>
      </c>
      <c r="W289" s="29" t="str">
        <f t="shared" si="4"/>
        <v>Pri002Mu</v>
      </c>
    </row>
    <row r="290" spans="1:23" x14ac:dyDescent="0.5">
      <c r="A290" s="15" t="s">
        <v>1351</v>
      </c>
      <c r="B290" s="15" t="s">
        <v>71</v>
      </c>
      <c r="C290" s="15" t="s">
        <v>24</v>
      </c>
      <c r="D290" s="15" t="s">
        <v>135</v>
      </c>
      <c r="E290" s="15" t="s">
        <v>136</v>
      </c>
      <c r="F290" s="15" t="s">
        <v>217</v>
      </c>
      <c r="G290" s="15" t="s">
        <v>76</v>
      </c>
      <c r="H290" s="15" t="s">
        <v>1352</v>
      </c>
      <c r="I290" s="15" t="s">
        <v>114</v>
      </c>
      <c r="J290" s="15" t="s">
        <v>106</v>
      </c>
      <c r="K290" s="15" t="s">
        <v>32</v>
      </c>
      <c r="L290" s="15" t="s">
        <v>33</v>
      </c>
      <c r="M290" s="15">
        <v>3</v>
      </c>
      <c r="N290" s="25">
        <v>2200</v>
      </c>
      <c r="O290" s="15">
        <v>0</v>
      </c>
      <c r="P290" s="25">
        <v>6600</v>
      </c>
      <c r="Q290" s="15">
        <v>4</v>
      </c>
      <c r="R290" s="15" t="s">
        <v>48</v>
      </c>
      <c r="S290" s="15" t="s">
        <v>61</v>
      </c>
      <c r="T290" s="15" t="s">
        <v>80</v>
      </c>
      <c r="U290" s="15">
        <v>9764609936</v>
      </c>
      <c r="V290" s="15" t="s">
        <v>69</v>
      </c>
      <c r="W290" s="29" t="str">
        <f t="shared" si="4"/>
        <v>Moh009Pu</v>
      </c>
    </row>
    <row r="291" spans="1:23" x14ac:dyDescent="0.5">
      <c r="A291" s="17" t="s">
        <v>1354</v>
      </c>
      <c r="B291" s="17" t="s">
        <v>71</v>
      </c>
      <c r="C291" s="17" t="s">
        <v>118</v>
      </c>
      <c r="D291" s="17" t="s">
        <v>450</v>
      </c>
      <c r="E291" s="17" t="s">
        <v>923</v>
      </c>
      <c r="F291" s="15" t="s">
        <v>217</v>
      </c>
      <c r="G291" s="17" t="s">
        <v>76</v>
      </c>
      <c r="H291" s="17" t="s">
        <v>1355</v>
      </c>
      <c r="I291" s="17" t="s">
        <v>114</v>
      </c>
      <c r="J291" s="17" t="s">
        <v>106</v>
      </c>
      <c r="K291" s="17" t="s">
        <v>122</v>
      </c>
      <c r="L291" s="17" t="s">
        <v>123</v>
      </c>
      <c r="M291" s="17">
        <v>3</v>
      </c>
      <c r="N291" s="26">
        <v>60</v>
      </c>
      <c r="O291" s="17">
        <v>15</v>
      </c>
      <c r="P291" s="26">
        <v>153</v>
      </c>
      <c r="Q291" s="17">
        <v>4</v>
      </c>
      <c r="R291" s="17" t="s">
        <v>88</v>
      </c>
      <c r="S291" s="17" t="s">
        <v>115</v>
      </c>
      <c r="T291" s="15" t="s">
        <v>80</v>
      </c>
      <c r="U291" s="17">
        <v>9362733217</v>
      </c>
      <c r="V291" s="17" t="s">
        <v>38</v>
      </c>
      <c r="W291" s="29" t="str">
        <f t="shared" si="4"/>
        <v>Moh009Pu</v>
      </c>
    </row>
    <row r="292" spans="1:23" x14ac:dyDescent="0.5">
      <c r="A292" s="15" t="s">
        <v>1357</v>
      </c>
      <c r="B292" s="15" t="s">
        <v>127</v>
      </c>
      <c r="C292" s="15" t="s">
        <v>92</v>
      </c>
      <c r="D292" s="15" t="s">
        <v>624</v>
      </c>
      <c r="E292" s="15" t="s">
        <v>825</v>
      </c>
      <c r="F292" s="15" t="s">
        <v>200</v>
      </c>
      <c r="G292" s="15" t="s">
        <v>76</v>
      </c>
      <c r="H292" s="15" t="s">
        <v>584</v>
      </c>
      <c r="I292" s="15" t="s">
        <v>105</v>
      </c>
      <c r="J292" s="15" t="s">
        <v>106</v>
      </c>
      <c r="K292" s="15" t="s">
        <v>32</v>
      </c>
      <c r="L292" s="15" t="s">
        <v>97</v>
      </c>
      <c r="M292" s="15">
        <v>9</v>
      </c>
      <c r="N292" s="25">
        <v>3500</v>
      </c>
      <c r="O292" s="15">
        <v>5</v>
      </c>
      <c r="P292" s="25">
        <v>29925</v>
      </c>
      <c r="Q292" s="15">
        <v>1</v>
      </c>
      <c r="R292" s="15" t="s">
        <v>34</v>
      </c>
      <c r="S292" s="15" t="s">
        <v>61</v>
      </c>
      <c r="T292" s="15" t="s">
        <v>132</v>
      </c>
      <c r="U292" s="15">
        <v>9270466205</v>
      </c>
      <c r="V292" s="15" t="s">
        <v>64</v>
      </c>
      <c r="W292" s="29" t="str">
        <f t="shared" si="4"/>
        <v>Roh003Mu</v>
      </c>
    </row>
    <row r="293" spans="1:23" x14ac:dyDescent="0.5">
      <c r="A293" s="17" t="s">
        <v>1359</v>
      </c>
      <c r="B293" s="17" t="s">
        <v>327</v>
      </c>
      <c r="C293" s="17" t="s">
        <v>72</v>
      </c>
      <c r="D293" s="17" t="s">
        <v>120</v>
      </c>
      <c r="E293" s="17" t="s">
        <v>1360</v>
      </c>
      <c r="F293" s="15" t="s">
        <v>394</v>
      </c>
      <c r="G293" s="17" t="s">
        <v>76</v>
      </c>
      <c r="H293" s="17" t="s">
        <v>1361</v>
      </c>
      <c r="I293" s="17" t="s">
        <v>212</v>
      </c>
      <c r="J293" s="17" t="s">
        <v>45</v>
      </c>
      <c r="K293" s="17" t="s">
        <v>46</v>
      </c>
      <c r="L293" s="17" t="s">
        <v>78</v>
      </c>
      <c r="M293" s="17">
        <v>5</v>
      </c>
      <c r="N293" s="26">
        <v>1200</v>
      </c>
      <c r="O293" s="17">
        <v>20</v>
      </c>
      <c r="P293" s="26">
        <v>4800</v>
      </c>
      <c r="Q293" s="17">
        <v>2</v>
      </c>
      <c r="R293" s="17" t="s">
        <v>88</v>
      </c>
      <c r="S293" s="17" t="s">
        <v>115</v>
      </c>
      <c r="T293" s="15" t="s">
        <v>332</v>
      </c>
      <c r="U293" s="17">
        <v>9571436865</v>
      </c>
      <c r="V293" s="17" t="s">
        <v>64</v>
      </c>
      <c r="W293" s="29" t="str">
        <f t="shared" si="4"/>
        <v>Ami001Ja</v>
      </c>
    </row>
    <row r="294" spans="1:23" x14ac:dyDescent="0.5">
      <c r="A294" s="15" t="s">
        <v>1363</v>
      </c>
      <c r="B294" s="15" t="s">
        <v>53</v>
      </c>
      <c r="C294" s="15" t="s">
        <v>72</v>
      </c>
      <c r="D294" s="15" t="s">
        <v>1031</v>
      </c>
      <c r="E294" s="15" t="s">
        <v>910</v>
      </c>
      <c r="F294" s="15" t="s">
        <v>163</v>
      </c>
      <c r="G294" s="15" t="s">
        <v>28</v>
      </c>
      <c r="H294" s="15" t="s">
        <v>1364</v>
      </c>
      <c r="I294" s="15" t="s">
        <v>212</v>
      </c>
      <c r="J294" s="15" t="s">
        <v>45</v>
      </c>
      <c r="K294" s="15" t="s">
        <v>46</v>
      </c>
      <c r="L294" s="15" t="s">
        <v>78</v>
      </c>
      <c r="M294" s="15">
        <v>10</v>
      </c>
      <c r="N294" s="25">
        <v>1200</v>
      </c>
      <c r="O294" s="15">
        <v>20</v>
      </c>
      <c r="P294" s="25">
        <v>9600</v>
      </c>
      <c r="Q294" s="15">
        <v>4</v>
      </c>
      <c r="R294" s="15" t="s">
        <v>34</v>
      </c>
      <c r="S294" s="15" t="s">
        <v>49</v>
      </c>
      <c r="T294" s="15" t="s">
        <v>62</v>
      </c>
      <c r="U294" s="15">
        <v>9307011171</v>
      </c>
      <c r="V294" s="15" t="s">
        <v>38</v>
      </c>
      <c r="W294" s="29" t="str">
        <f t="shared" si="4"/>
        <v>Poo010Ja</v>
      </c>
    </row>
    <row r="295" spans="1:23" x14ac:dyDescent="0.5">
      <c r="A295" s="17" t="s">
        <v>1367</v>
      </c>
      <c r="B295" s="17" t="s">
        <v>23</v>
      </c>
      <c r="C295" s="17" t="s">
        <v>72</v>
      </c>
      <c r="D295" s="17" t="s">
        <v>1368</v>
      </c>
      <c r="E295" s="17" t="s">
        <v>1369</v>
      </c>
      <c r="F295" s="15" t="s">
        <v>27</v>
      </c>
      <c r="G295" s="17" t="s">
        <v>28</v>
      </c>
      <c r="H295" s="17" t="s">
        <v>1370</v>
      </c>
      <c r="I295" s="17" t="s">
        <v>138</v>
      </c>
      <c r="J295" s="17" t="s">
        <v>106</v>
      </c>
      <c r="K295" s="17" t="s">
        <v>46</v>
      </c>
      <c r="L295" s="17" t="s">
        <v>78</v>
      </c>
      <c r="M295" s="17">
        <v>5</v>
      </c>
      <c r="N295" s="26">
        <v>1200</v>
      </c>
      <c r="O295" s="17">
        <v>20</v>
      </c>
      <c r="P295" s="26">
        <v>4800</v>
      </c>
      <c r="Q295" s="17">
        <v>3</v>
      </c>
      <c r="R295" s="17" t="s">
        <v>48</v>
      </c>
      <c r="S295" s="17" t="s">
        <v>151</v>
      </c>
      <c r="T295" s="15" t="s">
        <v>50</v>
      </c>
      <c r="U295" s="17">
        <v>9922380435</v>
      </c>
      <c r="V295" s="17" t="s">
        <v>38</v>
      </c>
      <c r="W295" s="29" t="str">
        <f t="shared" si="4"/>
        <v>Kav008Ah</v>
      </c>
    </row>
    <row r="296" spans="1:23" x14ac:dyDescent="0.5">
      <c r="A296" s="15" t="s">
        <v>1372</v>
      </c>
      <c r="B296" s="15" t="s">
        <v>168</v>
      </c>
      <c r="C296" s="15" t="s">
        <v>222</v>
      </c>
      <c r="D296" s="15" t="s">
        <v>1373</v>
      </c>
      <c r="E296" s="15" t="s">
        <v>1374</v>
      </c>
      <c r="F296" s="15" t="s">
        <v>361</v>
      </c>
      <c r="G296" s="15" t="s">
        <v>28</v>
      </c>
      <c r="H296" s="15" t="s">
        <v>1375</v>
      </c>
      <c r="I296" s="15" t="s">
        <v>105</v>
      </c>
      <c r="J296" s="15" t="s">
        <v>106</v>
      </c>
      <c r="K296" s="15" t="s">
        <v>122</v>
      </c>
      <c r="L296" s="15" t="s">
        <v>227</v>
      </c>
      <c r="M296" s="15">
        <v>10</v>
      </c>
      <c r="N296" s="25">
        <v>20</v>
      </c>
      <c r="O296" s="15">
        <v>5</v>
      </c>
      <c r="P296" s="25">
        <v>190</v>
      </c>
      <c r="Q296" s="15">
        <v>4</v>
      </c>
      <c r="R296" s="15" t="s">
        <v>34</v>
      </c>
      <c r="S296" s="15" t="s">
        <v>151</v>
      </c>
      <c r="T296" s="15" t="s">
        <v>175</v>
      </c>
      <c r="U296" s="15">
        <v>9463618792</v>
      </c>
      <c r="V296" s="15" t="s">
        <v>64</v>
      </c>
      <c r="W296" s="29" t="str">
        <f t="shared" si="4"/>
        <v>Ani004Mu</v>
      </c>
    </row>
    <row r="297" spans="1:23" x14ac:dyDescent="0.5">
      <c r="A297" s="17" t="s">
        <v>1377</v>
      </c>
      <c r="B297" s="17" t="s">
        <v>100</v>
      </c>
      <c r="C297" s="17" t="s">
        <v>118</v>
      </c>
      <c r="D297" s="17" t="s">
        <v>1378</v>
      </c>
      <c r="E297" s="17" t="s">
        <v>1379</v>
      </c>
      <c r="F297" s="15" t="s">
        <v>103</v>
      </c>
      <c r="G297" s="17" t="s">
        <v>28</v>
      </c>
      <c r="H297" s="17" t="s">
        <v>1380</v>
      </c>
      <c r="I297" s="17" t="s">
        <v>44</v>
      </c>
      <c r="J297" s="17" t="s">
        <v>45</v>
      </c>
      <c r="K297" s="17" t="s">
        <v>122</v>
      </c>
      <c r="L297" s="17" t="s">
        <v>123</v>
      </c>
      <c r="M297" s="17">
        <v>20</v>
      </c>
      <c r="N297" s="26">
        <v>60</v>
      </c>
      <c r="O297" s="17">
        <v>15</v>
      </c>
      <c r="P297" s="26">
        <v>1020</v>
      </c>
      <c r="Q297" s="17">
        <v>5</v>
      </c>
      <c r="R297" s="17" t="s">
        <v>79</v>
      </c>
      <c r="S297" s="17" t="s">
        <v>35</v>
      </c>
      <c r="T297" s="15" t="s">
        <v>144</v>
      </c>
      <c r="U297" s="17">
        <v>9954973200</v>
      </c>
      <c r="V297" s="17" t="s">
        <v>64</v>
      </c>
      <c r="W297" s="29" t="str">
        <f t="shared" si="4"/>
        <v>Pri002De</v>
      </c>
    </row>
    <row r="298" spans="1:23" x14ac:dyDescent="0.5">
      <c r="A298" s="15" t="s">
        <v>1382</v>
      </c>
      <c r="B298" s="15" t="s">
        <v>327</v>
      </c>
      <c r="C298" s="15" t="s">
        <v>24</v>
      </c>
      <c r="D298" s="15" t="s">
        <v>1360</v>
      </c>
      <c r="E298" s="15" t="s">
        <v>577</v>
      </c>
      <c r="F298" s="15" t="s">
        <v>394</v>
      </c>
      <c r="G298" s="15" t="s">
        <v>76</v>
      </c>
      <c r="H298" s="15" t="s">
        <v>1383</v>
      </c>
      <c r="I298" s="15" t="s">
        <v>138</v>
      </c>
      <c r="J298" s="15" t="s">
        <v>106</v>
      </c>
      <c r="K298" s="15" t="s">
        <v>32</v>
      </c>
      <c r="L298" s="15" t="s">
        <v>33</v>
      </c>
      <c r="M298" s="15">
        <v>7</v>
      </c>
      <c r="N298" s="25">
        <v>2200</v>
      </c>
      <c r="O298" s="15">
        <v>15</v>
      </c>
      <c r="P298" s="25">
        <v>13090</v>
      </c>
      <c r="Q298" s="15">
        <v>4</v>
      </c>
      <c r="R298" s="15" t="s">
        <v>34</v>
      </c>
      <c r="S298" s="15" t="s">
        <v>61</v>
      </c>
      <c r="T298" s="15" t="s">
        <v>332</v>
      </c>
      <c r="U298" s="15">
        <v>9383199236</v>
      </c>
      <c r="V298" s="15" t="s">
        <v>69</v>
      </c>
      <c r="W298" s="29" t="str">
        <f t="shared" si="4"/>
        <v>Ami001Ah</v>
      </c>
    </row>
    <row r="299" spans="1:23" x14ac:dyDescent="0.5">
      <c r="A299" s="17" t="s">
        <v>1385</v>
      </c>
      <c r="B299" s="17" t="s">
        <v>127</v>
      </c>
      <c r="C299" s="17" t="s">
        <v>54</v>
      </c>
      <c r="D299" s="17" t="s">
        <v>619</v>
      </c>
      <c r="E299" s="17" t="s">
        <v>760</v>
      </c>
      <c r="F299" s="15" t="s">
        <v>200</v>
      </c>
      <c r="G299" s="17" t="s">
        <v>76</v>
      </c>
      <c r="H299" s="17" t="s">
        <v>1386</v>
      </c>
      <c r="I299" s="17" t="s">
        <v>30</v>
      </c>
      <c r="J299" s="17" t="s">
        <v>31</v>
      </c>
      <c r="K299" s="17" t="s">
        <v>46</v>
      </c>
      <c r="L299" s="17" t="s">
        <v>60</v>
      </c>
      <c r="M299" s="17">
        <v>11</v>
      </c>
      <c r="N299" s="26">
        <v>55000</v>
      </c>
      <c r="O299" s="17">
        <v>5</v>
      </c>
      <c r="P299" s="26">
        <v>574750</v>
      </c>
      <c r="Q299" s="17">
        <v>1</v>
      </c>
      <c r="R299" s="17" t="s">
        <v>88</v>
      </c>
      <c r="S299" s="17" t="s">
        <v>35</v>
      </c>
      <c r="T299" s="15" t="s">
        <v>132</v>
      </c>
      <c r="U299" s="17">
        <v>9482699727</v>
      </c>
      <c r="V299" s="17" t="s">
        <v>69</v>
      </c>
      <c r="W299" s="29" t="str">
        <f t="shared" si="4"/>
        <v>Roh003Hy</v>
      </c>
    </row>
    <row r="300" spans="1:23" x14ac:dyDescent="0.5">
      <c r="A300" s="15" t="s">
        <v>1388</v>
      </c>
      <c r="B300" s="15" t="s">
        <v>83</v>
      </c>
      <c r="C300" s="15" t="s">
        <v>92</v>
      </c>
      <c r="D300" s="15" t="s">
        <v>308</v>
      </c>
      <c r="E300" s="15" t="s">
        <v>1389</v>
      </c>
      <c r="F300" s="15" t="s">
        <v>180</v>
      </c>
      <c r="G300" s="15" t="s">
        <v>76</v>
      </c>
      <c r="H300" s="15" t="s">
        <v>1390</v>
      </c>
      <c r="I300" s="15" t="s">
        <v>212</v>
      </c>
      <c r="J300" s="15" t="s">
        <v>45</v>
      </c>
      <c r="K300" s="15" t="s">
        <v>32</v>
      </c>
      <c r="L300" s="15" t="s">
        <v>97</v>
      </c>
      <c r="M300" s="15">
        <v>12</v>
      </c>
      <c r="N300" s="25">
        <v>3500</v>
      </c>
      <c r="O300" s="15">
        <v>0</v>
      </c>
      <c r="P300" s="25">
        <v>42000</v>
      </c>
      <c r="Q300" s="15">
        <v>2</v>
      </c>
      <c r="R300" s="15" t="s">
        <v>48</v>
      </c>
      <c r="S300" s="15" t="s">
        <v>2109</v>
      </c>
      <c r="T300" s="15" t="s">
        <v>89</v>
      </c>
      <c r="U300" s="15">
        <v>9332473934</v>
      </c>
      <c r="V300" s="15" t="s">
        <v>64</v>
      </c>
      <c r="W300" s="29" t="str">
        <f t="shared" si="4"/>
        <v>Arj007Ja</v>
      </c>
    </row>
    <row r="301" spans="1:23" x14ac:dyDescent="0.5">
      <c r="A301" s="17" t="s">
        <v>1392</v>
      </c>
      <c r="B301" s="17" t="s">
        <v>71</v>
      </c>
      <c r="C301" s="17" t="s">
        <v>259</v>
      </c>
      <c r="D301" s="17" t="s">
        <v>94</v>
      </c>
      <c r="E301" s="17" t="s">
        <v>298</v>
      </c>
      <c r="F301" s="15" t="s">
        <v>217</v>
      </c>
      <c r="G301" s="17" t="s">
        <v>76</v>
      </c>
      <c r="H301" s="17" t="s">
        <v>1393</v>
      </c>
      <c r="I301" s="17" t="s">
        <v>30</v>
      </c>
      <c r="J301" s="17" t="s">
        <v>31</v>
      </c>
      <c r="K301" s="17" t="s">
        <v>122</v>
      </c>
      <c r="L301" s="17" t="s">
        <v>263</v>
      </c>
      <c r="M301" s="17">
        <v>15</v>
      </c>
      <c r="N301" s="26">
        <v>45</v>
      </c>
      <c r="O301" s="17">
        <v>10</v>
      </c>
      <c r="P301" s="26">
        <v>607.5</v>
      </c>
      <c r="Q301" s="17">
        <v>2</v>
      </c>
      <c r="R301" s="17" t="s">
        <v>34</v>
      </c>
      <c r="S301" s="17" t="s">
        <v>151</v>
      </c>
      <c r="T301" s="15" t="s">
        <v>80</v>
      </c>
      <c r="U301" s="17">
        <v>9647657382</v>
      </c>
      <c r="V301" s="17" t="s">
        <v>64</v>
      </c>
      <c r="W301" s="29" t="str">
        <f t="shared" si="4"/>
        <v>Moh009Hy</v>
      </c>
    </row>
    <row r="302" spans="1:23" x14ac:dyDescent="0.5">
      <c r="A302" s="15" t="s">
        <v>1395</v>
      </c>
      <c r="B302" s="15" t="s">
        <v>327</v>
      </c>
      <c r="C302" s="15" t="s">
        <v>259</v>
      </c>
      <c r="D302" s="15" t="s">
        <v>1320</v>
      </c>
      <c r="E302" s="15" t="s">
        <v>936</v>
      </c>
      <c r="F302" s="15" t="s">
        <v>394</v>
      </c>
      <c r="G302" s="15" t="s">
        <v>76</v>
      </c>
      <c r="H302" s="15" t="s">
        <v>1396</v>
      </c>
      <c r="I302" s="15" t="s">
        <v>59</v>
      </c>
      <c r="J302" s="15" t="s">
        <v>31</v>
      </c>
      <c r="K302" s="15" t="s">
        <v>122</v>
      </c>
      <c r="L302" s="15" t="s">
        <v>263</v>
      </c>
      <c r="M302" s="15">
        <v>13</v>
      </c>
      <c r="N302" s="25">
        <v>45</v>
      </c>
      <c r="O302" s="15">
        <v>0</v>
      </c>
      <c r="P302" s="25">
        <v>585</v>
      </c>
      <c r="Q302" s="15">
        <v>5</v>
      </c>
      <c r="R302" s="15" t="s">
        <v>48</v>
      </c>
      <c r="S302" s="15" t="s">
        <v>49</v>
      </c>
      <c r="T302" s="15" t="s">
        <v>332</v>
      </c>
      <c r="U302" s="15">
        <v>9736797776</v>
      </c>
      <c r="V302" s="15" t="s">
        <v>64</v>
      </c>
      <c r="W302" s="29" t="str">
        <f t="shared" si="4"/>
        <v>Ami001Be</v>
      </c>
    </row>
    <row r="303" spans="1:23" x14ac:dyDescent="0.5">
      <c r="A303" s="17" t="s">
        <v>1398</v>
      </c>
      <c r="B303" s="17" t="s">
        <v>127</v>
      </c>
      <c r="C303" s="17" t="s">
        <v>54</v>
      </c>
      <c r="D303" s="17" t="s">
        <v>711</v>
      </c>
      <c r="E303" s="17" t="s">
        <v>1199</v>
      </c>
      <c r="F303" s="15" t="s">
        <v>200</v>
      </c>
      <c r="G303" s="17" t="s">
        <v>76</v>
      </c>
      <c r="H303" s="17" t="s">
        <v>1399</v>
      </c>
      <c r="I303" s="17" t="s">
        <v>59</v>
      </c>
      <c r="J303" s="17" t="s">
        <v>31</v>
      </c>
      <c r="K303" s="17" t="s">
        <v>46</v>
      </c>
      <c r="L303" s="17" t="s">
        <v>60</v>
      </c>
      <c r="M303" s="17">
        <v>8</v>
      </c>
      <c r="N303" s="26">
        <v>55000</v>
      </c>
      <c r="O303" s="17">
        <v>0</v>
      </c>
      <c r="P303" s="26">
        <v>440000</v>
      </c>
      <c r="Q303" s="17">
        <v>2</v>
      </c>
      <c r="R303" s="17" t="s">
        <v>88</v>
      </c>
      <c r="S303" s="17" t="s">
        <v>151</v>
      </c>
      <c r="T303" s="15" t="s">
        <v>132</v>
      </c>
      <c r="U303" s="17">
        <v>9745773533</v>
      </c>
      <c r="V303" s="17" t="s">
        <v>69</v>
      </c>
      <c r="W303" s="29" t="str">
        <f t="shared" si="4"/>
        <v>Roh003Be</v>
      </c>
    </row>
    <row r="304" spans="1:23" x14ac:dyDescent="0.5">
      <c r="A304" s="15" t="s">
        <v>1401</v>
      </c>
      <c r="B304" s="15" t="s">
        <v>251</v>
      </c>
      <c r="C304" s="15" t="s">
        <v>54</v>
      </c>
      <c r="D304" s="15" t="s">
        <v>830</v>
      </c>
      <c r="E304" s="15" t="s">
        <v>381</v>
      </c>
      <c r="F304" s="15" t="s">
        <v>254</v>
      </c>
      <c r="G304" s="15" t="s">
        <v>28</v>
      </c>
      <c r="H304" s="15" t="s">
        <v>1402</v>
      </c>
      <c r="I304" s="15" t="s">
        <v>44</v>
      </c>
      <c r="J304" s="15" t="s">
        <v>45</v>
      </c>
      <c r="K304" s="15" t="s">
        <v>46</v>
      </c>
      <c r="L304" s="15" t="s">
        <v>60</v>
      </c>
      <c r="M304" s="15">
        <v>4</v>
      </c>
      <c r="N304" s="25">
        <v>55000</v>
      </c>
      <c r="O304" s="15">
        <v>20</v>
      </c>
      <c r="P304" s="25">
        <v>176000</v>
      </c>
      <c r="Q304" s="15">
        <v>5</v>
      </c>
      <c r="R304" s="15" t="s">
        <v>34</v>
      </c>
      <c r="S304" s="15" t="s">
        <v>49</v>
      </c>
      <c r="T304" s="15" t="s">
        <v>256</v>
      </c>
      <c r="U304" s="15">
        <v>9246715757</v>
      </c>
      <c r="V304" s="15" t="s">
        <v>64</v>
      </c>
      <c r="W304" s="29" t="str">
        <f t="shared" si="4"/>
        <v>Sne006De</v>
      </c>
    </row>
    <row r="305" spans="1:23" x14ac:dyDescent="0.5">
      <c r="A305" s="17" t="s">
        <v>1404</v>
      </c>
      <c r="B305" s="17" t="s">
        <v>23</v>
      </c>
      <c r="C305" s="17" t="s">
        <v>92</v>
      </c>
      <c r="D305" s="17" t="s">
        <v>1405</v>
      </c>
      <c r="E305" s="17" t="s">
        <v>716</v>
      </c>
      <c r="F305" s="15" t="s">
        <v>27</v>
      </c>
      <c r="G305" s="17" t="s">
        <v>28</v>
      </c>
      <c r="H305" s="17" t="s">
        <v>1406</v>
      </c>
      <c r="I305" s="17" t="s">
        <v>138</v>
      </c>
      <c r="J305" s="17" t="s">
        <v>106</v>
      </c>
      <c r="K305" s="17" t="s">
        <v>32</v>
      </c>
      <c r="L305" s="17" t="s">
        <v>97</v>
      </c>
      <c r="M305" s="17">
        <v>19</v>
      </c>
      <c r="N305" s="26">
        <v>3500</v>
      </c>
      <c r="O305" s="17">
        <v>5</v>
      </c>
      <c r="P305" s="26">
        <v>63175</v>
      </c>
      <c r="Q305" s="17">
        <v>1</v>
      </c>
      <c r="R305" s="17" t="s">
        <v>79</v>
      </c>
      <c r="S305" s="17" t="s">
        <v>115</v>
      </c>
      <c r="T305" s="15" t="s">
        <v>50</v>
      </c>
      <c r="U305" s="17">
        <v>9904065774</v>
      </c>
      <c r="V305" s="17" t="s">
        <v>38</v>
      </c>
      <c r="W305" s="29" t="str">
        <f t="shared" si="4"/>
        <v>Kav008Ah</v>
      </c>
    </row>
    <row r="306" spans="1:23" x14ac:dyDescent="0.5">
      <c r="A306" s="15" t="s">
        <v>1408</v>
      </c>
      <c r="B306" s="15" t="s">
        <v>221</v>
      </c>
      <c r="C306" s="15" t="s">
        <v>72</v>
      </c>
      <c r="D306" s="15" t="s">
        <v>1409</v>
      </c>
      <c r="E306" s="15" t="s">
        <v>414</v>
      </c>
      <c r="F306" s="15" t="s">
        <v>225</v>
      </c>
      <c r="G306" s="15" t="s">
        <v>76</v>
      </c>
      <c r="H306" s="15" t="s">
        <v>1410</v>
      </c>
      <c r="I306" s="15" t="s">
        <v>212</v>
      </c>
      <c r="J306" s="15" t="s">
        <v>45</v>
      </c>
      <c r="K306" s="15" t="s">
        <v>46</v>
      </c>
      <c r="L306" s="15" t="s">
        <v>78</v>
      </c>
      <c r="M306" s="15">
        <v>17</v>
      </c>
      <c r="N306" s="25">
        <v>1200</v>
      </c>
      <c r="O306" s="15">
        <v>15</v>
      </c>
      <c r="P306" s="25">
        <v>17340</v>
      </c>
      <c r="Q306" s="15">
        <v>2</v>
      </c>
      <c r="R306" s="15" t="s">
        <v>48</v>
      </c>
      <c r="S306" s="15" t="s">
        <v>49</v>
      </c>
      <c r="T306" s="15" t="s">
        <v>228</v>
      </c>
      <c r="U306" s="15">
        <v>9652985385</v>
      </c>
      <c r="V306" s="15" t="s">
        <v>38</v>
      </c>
      <c r="W306" s="29" t="str">
        <f t="shared" si="4"/>
        <v>Vik005Ja</v>
      </c>
    </row>
    <row r="307" spans="1:23" x14ac:dyDescent="0.5">
      <c r="A307" s="17" t="s">
        <v>1412</v>
      </c>
      <c r="B307" s="17" t="s">
        <v>23</v>
      </c>
      <c r="C307" s="17" t="s">
        <v>24</v>
      </c>
      <c r="D307" s="17" t="s">
        <v>450</v>
      </c>
      <c r="E307" s="17" t="s">
        <v>736</v>
      </c>
      <c r="F307" s="15" t="s">
        <v>27</v>
      </c>
      <c r="G307" s="17" t="s">
        <v>28</v>
      </c>
      <c r="H307" s="17" t="s">
        <v>1413</v>
      </c>
      <c r="I307" s="17" t="s">
        <v>30</v>
      </c>
      <c r="J307" s="17" t="s">
        <v>31</v>
      </c>
      <c r="K307" s="17" t="s">
        <v>32</v>
      </c>
      <c r="L307" s="17" t="s">
        <v>33</v>
      </c>
      <c r="M307" s="17">
        <v>8</v>
      </c>
      <c r="N307" s="26">
        <v>2200</v>
      </c>
      <c r="O307" s="17">
        <v>5</v>
      </c>
      <c r="P307" s="26">
        <v>16720</v>
      </c>
      <c r="Q307" s="17">
        <v>3</v>
      </c>
      <c r="R307" s="17" t="s">
        <v>79</v>
      </c>
      <c r="S307" s="17" t="s">
        <v>115</v>
      </c>
      <c r="T307" s="15" t="s">
        <v>50</v>
      </c>
      <c r="U307" s="17">
        <v>9427001508</v>
      </c>
      <c r="V307" s="17" t="s">
        <v>64</v>
      </c>
      <c r="W307" s="29" t="str">
        <f t="shared" si="4"/>
        <v>Kav008Hy</v>
      </c>
    </row>
    <row r="308" spans="1:23" x14ac:dyDescent="0.5">
      <c r="A308" s="15" t="s">
        <v>1415</v>
      </c>
      <c r="B308" s="15" t="s">
        <v>251</v>
      </c>
      <c r="C308" s="15" t="s">
        <v>184</v>
      </c>
      <c r="D308" s="15" t="s">
        <v>987</v>
      </c>
      <c r="E308" s="15" t="s">
        <v>387</v>
      </c>
      <c r="F308" s="15" t="s">
        <v>254</v>
      </c>
      <c r="G308" s="15" t="s">
        <v>28</v>
      </c>
      <c r="H308" s="15" t="s">
        <v>813</v>
      </c>
      <c r="I308" s="15" t="s">
        <v>105</v>
      </c>
      <c r="J308" s="15" t="s">
        <v>106</v>
      </c>
      <c r="K308" s="15" t="s">
        <v>46</v>
      </c>
      <c r="L308" s="15" t="s">
        <v>189</v>
      </c>
      <c r="M308" s="15">
        <v>17</v>
      </c>
      <c r="N308" s="25">
        <v>700</v>
      </c>
      <c r="O308" s="15">
        <v>20</v>
      </c>
      <c r="P308" s="25">
        <v>9520</v>
      </c>
      <c r="Q308" s="15">
        <v>4</v>
      </c>
      <c r="R308" s="15" t="s">
        <v>48</v>
      </c>
      <c r="S308" s="15" t="s">
        <v>115</v>
      </c>
      <c r="T308" s="15" t="s">
        <v>256</v>
      </c>
      <c r="U308" s="15">
        <v>9666803655</v>
      </c>
      <c r="V308" s="15" t="s">
        <v>38</v>
      </c>
      <c r="W308" s="29" t="str">
        <f t="shared" si="4"/>
        <v>Sne006Mu</v>
      </c>
    </row>
    <row r="309" spans="1:23" x14ac:dyDescent="0.5">
      <c r="A309" s="17" t="s">
        <v>1417</v>
      </c>
      <c r="B309" s="17" t="s">
        <v>251</v>
      </c>
      <c r="C309" s="17" t="s">
        <v>169</v>
      </c>
      <c r="D309" s="17" t="s">
        <v>372</v>
      </c>
      <c r="E309" s="17" t="s">
        <v>246</v>
      </c>
      <c r="F309" s="15" t="s">
        <v>254</v>
      </c>
      <c r="G309" s="17" t="s">
        <v>28</v>
      </c>
      <c r="H309" s="17" t="s">
        <v>1215</v>
      </c>
      <c r="I309" s="17" t="s">
        <v>114</v>
      </c>
      <c r="J309" s="17" t="s">
        <v>106</v>
      </c>
      <c r="K309" s="17" t="s">
        <v>32</v>
      </c>
      <c r="L309" s="17" t="s">
        <v>174</v>
      </c>
      <c r="M309" s="17">
        <v>6</v>
      </c>
      <c r="N309" s="26">
        <v>8500</v>
      </c>
      <c r="O309" s="17">
        <v>15</v>
      </c>
      <c r="P309" s="26">
        <v>43350</v>
      </c>
      <c r="Q309" s="17">
        <v>1</v>
      </c>
      <c r="R309" s="17" t="s">
        <v>34</v>
      </c>
      <c r="S309" s="17" t="s">
        <v>61</v>
      </c>
      <c r="T309" s="15" t="s">
        <v>256</v>
      </c>
      <c r="U309" s="17">
        <v>9134878547</v>
      </c>
      <c r="V309" s="17" t="s">
        <v>38</v>
      </c>
      <c r="W309" s="29" t="str">
        <f t="shared" si="4"/>
        <v>Sne006Pu</v>
      </c>
    </row>
    <row r="310" spans="1:23" x14ac:dyDescent="0.5">
      <c r="A310" s="15" t="s">
        <v>1419</v>
      </c>
      <c r="B310" s="15" t="s">
        <v>53</v>
      </c>
      <c r="C310" s="15" t="s">
        <v>92</v>
      </c>
      <c r="D310" s="15" t="s">
        <v>941</v>
      </c>
      <c r="E310" s="15" t="s">
        <v>345</v>
      </c>
      <c r="F310" s="15" t="s">
        <v>163</v>
      </c>
      <c r="G310" s="15" t="s">
        <v>28</v>
      </c>
      <c r="H310" s="15" t="s">
        <v>1420</v>
      </c>
      <c r="I310" s="15" t="s">
        <v>30</v>
      </c>
      <c r="J310" s="15" t="s">
        <v>31</v>
      </c>
      <c r="K310" s="15" t="s">
        <v>32</v>
      </c>
      <c r="L310" s="15" t="s">
        <v>97</v>
      </c>
      <c r="M310" s="15">
        <v>3</v>
      </c>
      <c r="N310" s="25">
        <v>3500</v>
      </c>
      <c r="O310" s="15">
        <v>10</v>
      </c>
      <c r="P310" s="25">
        <v>9450</v>
      </c>
      <c r="Q310" s="15">
        <v>1</v>
      </c>
      <c r="R310" s="15" t="s">
        <v>48</v>
      </c>
      <c r="S310" s="15" t="s">
        <v>49</v>
      </c>
      <c r="T310" s="15" t="s">
        <v>62</v>
      </c>
      <c r="U310" s="15">
        <v>9253593557</v>
      </c>
      <c r="V310" s="15" t="s">
        <v>38</v>
      </c>
      <c r="W310" s="29" t="str">
        <f t="shared" si="4"/>
        <v>Poo010Hy</v>
      </c>
    </row>
    <row r="311" spans="1:23" x14ac:dyDescent="0.5">
      <c r="A311" s="17" t="s">
        <v>1422</v>
      </c>
      <c r="B311" s="17" t="s">
        <v>71</v>
      </c>
      <c r="C311" s="17" t="s">
        <v>40</v>
      </c>
      <c r="D311" s="17" t="s">
        <v>1378</v>
      </c>
      <c r="E311" s="17" t="s">
        <v>783</v>
      </c>
      <c r="F311" s="15" t="s">
        <v>217</v>
      </c>
      <c r="G311" s="17" t="s">
        <v>76</v>
      </c>
      <c r="H311" s="17" t="s">
        <v>1423</v>
      </c>
      <c r="I311" s="17" t="s">
        <v>138</v>
      </c>
      <c r="J311" s="17" t="s">
        <v>106</v>
      </c>
      <c r="K311" s="17" t="s">
        <v>46</v>
      </c>
      <c r="L311" s="17" t="s">
        <v>47</v>
      </c>
      <c r="M311" s="17">
        <v>2</v>
      </c>
      <c r="N311" s="26">
        <v>12000</v>
      </c>
      <c r="O311" s="17">
        <v>20</v>
      </c>
      <c r="P311" s="26">
        <v>19200</v>
      </c>
      <c r="Q311" s="17">
        <v>1</v>
      </c>
      <c r="R311" s="17" t="s">
        <v>79</v>
      </c>
      <c r="S311" s="17" t="s">
        <v>61</v>
      </c>
      <c r="T311" s="15" t="s">
        <v>80</v>
      </c>
      <c r="U311" s="17">
        <v>9183094051</v>
      </c>
      <c r="V311" s="17" t="s">
        <v>38</v>
      </c>
      <c r="W311" s="29" t="str">
        <f t="shared" si="4"/>
        <v>Moh009Ah</v>
      </c>
    </row>
    <row r="312" spans="1:23" x14ac:dyDescent="0.5">
      <c r="A312" s="15" t="s">
        <v>1425</v>
      </c>
      <c r="B312" s="15" t="s">
        <v>221</v>
      </c>
      <c r="C312" s="15" t="s">
        <v>222</v>
      </c>
      <c r="D312" s="15" t="s">
        <v>340</v>
      </c>
      <c r="E312" s="15" t="s">
        <v>1426</v>
      </c>
      <c r="F312" s="15" t="s">
        <v>225</v>
      </c>
      <c r="G312" s="15" t="s">
        <v>76</v>
      </c>
      <c r="H312" s="15" t="s">
        <v>1427</v>
      </c>
      <c r="I312" s="15" t="s">
        <v>44</v>
      </c>
      <c r="J312" s="15" t="s">
        <v>45</v>
      </c>
      <c r="K312" s="15" t="s">
        <v>122</v>
      </c>
      <c r="L312" s="15" t="s">
        <v>227</v>
      </c>
      <c r="M312" s="15">
        <v>12</v>
      </c>
      <c r="N312" s="25">
        <v>20</v>
      </c>
      <c r="O312" s="15">
        <v>20</v>
      </c>
      <c r="P312" s="25">
        <v>192</v>
      </c>
      <c r="Q312" s="15">
        <v>2</v>
      </c>
      <c r="R312" s="15" t="s">
        <v>79</v>
      </c>
      <c r="S312" s="15" t="s">
        <v>49</v>
      </c>
      <c r="T312" s="15" t="s">
        <v>228</v>
      </c>
      <c r="U312" s="15">
        <v>9293147620</v>
      </c>
      <c r="V312" s="15" t="s">
        <v>38</v>
      </c>
      <c r="W312" s="29" t="str">
        <f t="shared" si="4"/>
        <v>Vik005De</v>
      </c>
    </row>
    <row r="313" spans="1:23" x14ac:dyDescent="0.5">
      <c r="A313" s="17" t="s">
        <v>1429</v>
      </c>
      <c r="B313" s="17" t="s">
        <v>100</v>
      </c>
      <c r="C313" s="17" t="s">
        <v>40</v>
      </c>
      <c r="D313" s="17" t="s">
        <v>716</v>
      </c>
      <c r="E313" s="17" t="s">
        <v>1430</v>
      </c>
      <c r="F313" s="15" t="s">
        <v>103</v>
      </c>
      <c r="G313" s="17" t="s">
        <v>28</v>
      </c>
      <c r="H313" s="17" t="s">
        <v>1431</v>
      </c>
      <c r="I313" s="17" t="s">
        <v>294</v>
      </c>
      <c r="J313" s="17" t="s">
        <v>295</v>
      </c>
      <c r="K313" s="17" t="s">
        <v>46</v>
      </c>
      <c r="L313" s="17" t="s">
        <v>47</v>
      </c>
      <c r="M313" s="17">
        <v>20</v>
      </c>
      <c r="N313" s="26">
        <v>12000</v>
      </c>
      <c r="O313" s="17">
        <v>15</v>
      </c>
      <c r="P313" s="26">
        <v>204000</v>
      </c>
      <c r="Q313" s="17">
        <v>3</v>
      </c>
      <c r="R313" s="17" t="s">
        <v>34</v>
      </c>
      <c r="S313" s="17" t="s">
        <v>35</v>
      </c>
      <c r="T313" s="15" t="s">
        <v>144</v>
      </c>
      <c r="U313" s="17">
        <v>9755583734</v>
      </c>
      <c r="V313" s="17" t="s">
        <v>64</v>
      </c>
      <c r="W313" s="29" t="str">
        <f t="shared" si="4"/>
        <v>Pri002Ko</v>
      </c>
    </row>
    <row r="314" spans="1:23" x14ac:dyDescent="0.5">
      <c r="A314" s="15" t="s">
        <v>1433</v>
      </c>
      <c r="B314" s="15" t="s">
        <v>53</v>
      </c>
      <c r="C314" s="15" t="s">
        <v>118</v>
      </c>
      <c r="D314" s="15" t="s">
        <v>398</v>
      </c>
      <c r="E314" s="15" t="s">
        <v>740</v>
      </c>
      <c r="F314" s="15" t="s">
        <v>163</v>
      </c>
      <c r="G314" s="15" t="s">
        <v>28</v>
      </c>
      <c r="H314" s="15" t="s">
        <v>1434</v>
      </c>
      <c r="I314" s="15" t="s">
        <v>212</v>
      </c>
      <c r="J314" s="15" t="s">
        <v>45</v>
      </c>
      <c r="K314" s="15" t="s">
        <v>122</v>
      </c>
      <c r="L314" s="15" t="s">
        <v>123</v>
      </c>
      <c r="M314" s="15">
        <v>13</v>
      </c>
      <c r="N314" s="25">
        <v>60</v>
      </c>
      <c r="O314" s="15">
        <v>10</v>
      </c>
      <c r="P314" s="25">
        <v>702</v>
      </c>
      <c r="Q314" s="15">
        <v>5</v>
      </c>
      <c r="R314" s="15" t="s">
        <v>34</v>
      </c>
      <c r="S314" s="15" t="s">
        <v>35</v>
      </c>
      <c r="T314" s="15" t="s">
        <v>62</v>
      </c>
      <c r="U314" s="15">
        <v>9186592813</v>
      </c>
      <c r="V314" s="15" t="s">
        <v>64</v>
      </c>
      <c r="W314" s="29" t="str">
        <f t="shared" si="4"/>
        <v>Poo010Ja</v>
      </c>
    </row>
    <row r="315" spans="1:23" x14ac:dyDescent="0.5">
      <c r="A315" s="17" t="s">
        <v>1436</v>
      </c>
      <c r="B315" s="17" t="s">
        <v>71</v>
      </c>
      <c r="C315" s="17" t="s">
        <v>54</v>
      </c>
      <c r="D315" s="17" t="s">
        <v>1437</v>
      </c>
      <c r="E315" s="17" t="s">
        <v>1294</v>
      </c>
      <c r="F315" s="15" t="s">
        <v>217</v>
      </c>
      <c r="G315" s="17" t="s">
        <v>76</v>
      </c>
      <c r="H315" s="17" t="s">
        <v>1438</v>
      </c>
      <c r="I315" s="17" t="s">
        <v>114</v>
      </c>
      <c r="J315" s="17" t="s">
        <v>106</v>
      </c>
      <c r="K315" s="17" t="s">
        <v>46</v>
      </c>
      <c r="L315" s="17" t="s">
        <v>60</v>
      </c>
      <c r="M315" s="17">
        <v>13</v>
      </c>
      <c r="N315" s="26">
        <v>55000</v>
      </c>
      <c r="O315" s="17">
        <v>5</v>
      </c>
      <c r="P315" s="26">
        <v>679250</v>
      </c>
      <c r="Q315" s="17">
        <v>1</v>
      </c>
      <c r="R315" s="17" t="s">
        <v>88</v>
      </c>
      <c r="S315" s="17" t="s">
        <v>151</v>
      </c>
      <c r="T315" s="15" t="s">
        <v>80</v>
      </c>
      <c r="U315" s="17">
        <v>9203482008</v>
      </c>
      <c r="V315" s="17" t="s">
        <v>64</v>
      </c>
      <c r="W315" s="29" t="str">
        <f t="shared" si="4"/>
        <v>Moh009Pu</v>
      </c>
    </row>
    <row r="316" spans="1:23" x14ac:dyDescent="0.5">
      <c r="A316" s="15" t="s">
        <v>1440</v>
      </c>
      <c r="B316" s="15" t="s">
        <v>100</v>
      </c>
      <c r="C316" s="15" t="s">
        <v>72</v>
      </c>
      <c r="D316" s="15" t="s">
        <v>797</v>
      </c>
      <c r="E316" s="15" t="s">
        <v>798</v>
      </c>
      <c r="F316" s="15" t="s">
        <v>103</v>
      </c>
      <c r="G316" s="15" t="s">
        <v>28</v>
      </c>
      <c r="H316" s="15" t="s">
        <v>1441</v>
      </c>
      <c r="I316" s="15" t="s">
        <v>59</v>
      </c>
      <c r="J316" s="15" t="s">
        <v>31</v>
      </c>
      <c r="K316" s="15" t="s">
        <v>46</v>
      </c>
      <c r="L316" s="15" t="s">
        <v>78</v>
      </c>
      <c r="M316" s="15">
        <v>7</v>
      </c>
      <c r="N316" s="25">
        <v>1200</v>
      </c>
      <c r="O316" s="15">
        <v>15</v>
      </c>
      <c r="P316" s="25">
        <v>7140</v>
      </c>
      <c r="Q316" s="15">
        <v>5</v>
      </c>
      <c r="R316" s="15" t="s">
        <v>88</v>
      </c>
      <c r="S316" s="15" t="s">
        <v>49</v>
      </c>
      <c r="T316" s="15" t="s">
        <v>144</v>
      </c>
      <c r="U316" s="15">
        <v>9829888777</v>
      </c>
      <c r="V316" s="15" t="s">
        <v>64</v>
      </c>
      <c r="W316" s="29" t="str">
        <f t="shared" si="4"/>
        <v>Pri002Be</v>
      </c>
    </row>
    <row r="317" spans="1:23" x14ac:dyDescent="0.5">
      <c r="A317" s="17" t="s">
        <v>1443</v>
      </c>
      <c r="B317" s="17" t="s">
        <v>83</v>
      </c>
      <c r="C317" s="17" t="s">
        <v>40</v>
      </c>
      <c r="D317" s="17" t="s">
        <v>961</v>
      </c>
      <c r="E317" s="17" t="s">
        <v>1444</v>
      </c>
      <c r="F317" s="15" t="s">
        <v>180</v>
      </c>
      <c r="G317" s="17" t="s">
        <v>76</v>
      </c>
      <c r="H317" s="17" t="s">
        <v>1445</v>
      </c>
      <c r="I317" s="17" t="s">
        <v>212</v>
      </c>
      <c r="J317" s="17" t="s">
        <v>45</v>
      </c>
      <c r="K317" s="17" t="s">
        <v>46</v>
      </c>
      <c r="L317" s="17" t="s">
        <v>47</v>
      </c>
      <c r="M317" s="17">
        <v>17</v>
      </c>
      <c r="N317" s="26">
        <v>12000</v>
      </c>
      <c r="O317" s="17">
        <v>5</v>
      </c>
      <c r="P317" s="26">
        <v>193800</v>
      </c>
      <c r="Q317" s="17">
        <v>1</v>
      </c>
      <c r="R317" s="17" t="s">
        <v>34</v>
      </c>
      <c r="S317" s="17" t="s">
        <v>61</v>
      </c>
      <c r="T317" s="15" t="s">
        <v>89</v>
      </c>
      <c r="U317" s="17">
        <v>9566101317</v>
      </c>
      <c r="V317" s="17" t="s">
        <v>69</v>
      </c>
      <c r="W317" s="29" t="str">
        <f t="shared" si="4"/>
        <v>Arj007Ja</v>
      </c>
    </row>
    <row r="318" spans="1:23" x14ac:dyDescent="0.5">
      <c r="A318" s="15" t="s">
        <v>1447</v>
      </c>
      <c r="B318" s="15" t="s">
        <v>83</v>
      </c>
      <c r="C318" s="15" t="s">
        <v>222</v>
      </c>
      <c r="D318" s="15" t="s">
        <v>356</v>
      </c>
      <c r="E318" s="15" t="s">
        <v>517</v>
      </c>
      <c r="F318" s="15" t="s">
        <v>180</v>
      </c>
      <c r="G318" s="15" t="s">
        <v>76</v>
      </c>
      <c r="H318" s="15" t="s">
        <v>1448</v>
      </c>
      <c r="I318" s="15" t="s">
        <v>59</v>
      </c>
      <c r="J318" s="15" t="s">
        <v>31</v>
      </c>
      <c r="K318" s="15" t="s">
        <v>122</v>
      </c>
      <c r="L318" s="15" t="s">
        <v>227</v>
      </c>
      <c r="M318" s="15">
        <v>10</v>
      </c>
      <c r="N318" s="25">
        <v>20</v>
      </c>
      <c r="O318" s="15">
        <v>5</v>
      </c>
      <c r="P318" s="25">
        <v>190</v>
      </c>
      <c r="Q318" s="15">
        <v>2</v>
      </c>
      <c r="R318" s="15" t="s">
        <v>34</v>
      </c>
      <c r="S318" s="15" t="s">
        <v>61</v>
      </c>
      <c r="T318" s="15" t="s">
        <v>89</v>
      </c>
      <c r="U318" s="15">
        <v>9706240823</v>
      </c>
      <c r="V318" s="15" t="s">
        <v>69</v>
      </c>
      <c r="W318" s="29" t="str">
        <f t="shared" si="4"/>
        <v>Arj007Be</v>
      </c>
    </row>
    <row r="319" spans="1:23" x14ac:dyDescent="0.5">
      <c r="A319" s="17" t="s">
        <v>1450</v>
      </c>
      <c r="B319" s="17" t="s">
        <v>168</v>
      </c>
      <c r="C319" s="17" t="s">
        <v>24</v>
      </c>
      <c r="D319" s="17" t="s">
        <v>291</v>
      </c>
      <c r="E319" s="17" t="s">
        <v>1451</v>
      </c>
      <c r="F319" s="15" t="s">
        <v>361</v>
      </c>
      <c r="G319" s="17" t="s">
        <v>28</v>
      </c>
      <c r="H319" s="17" t="s">
        <v>1452</v>
      </c>
      <c r="I319" s="17" t="s">
        <v>44</v>
      </c>
      <c r="J319" s="17" t="s">
        <v>45</v>
      </c>
      <c r="K319" s="17" t="s">
        <v>32</v>
      </c>
      <c r="L319" s="17" t="s">
        <v>33</v>
      </c>
      <c r="M319" s="17">
        <v>11</v>
      </c>
      <c r="N319" s="26">
        <v>2200</v>
      </c>
      <c r="O319" s="17">
        <v>5</v>
      </c>
      <c r="P319" s="26">
        <v>22990</v>
      </c>
      <c r="Q319" s="17">
        <v>5</v>
      </c>
      <c r="R319" s="17" t="s">
        <v>79</v>
      </c>
      <c r="S319" s="17" t="s">
        <v>49</v>
      </c>
      <c r="T319" s="15" t="s">
        <v>175</v>
      </c>
      <c r="U319" s="17">
        <v>9259943760</v>
      </c>
      <c r="V319" s="17" t="s">
        <v>64</v>
      </c>
      <c r="W319" s="29" t="str">
        <f t="shared" si="4"/>
        <v>Ani004De</v>
      </c>
    </row>
    <row r="320" spans="1:23" x14ac:dyDescent="0.5">
      <c r="A320" s="15" t="s">
        <v>1454</v>
      </c>
      <c r="B320" s="15" t="s">
        <v>100</v>
      </c>
      <c r="C320" s="15" t="s">
        <v>118</v>
      </c>
      <c r="D320" s="15" t="s">
        <v>1369</v>
      </c>
      <c r="E320" s="15" t="s">
        <v>178</v>
      </c>
      <c r="F320" s="15" t="s">
        <v>103</v>
      </c>
      <c r="G320" s="15" t="s">
        <v>28</v>
      </c>
      <c r="H320" s="15" t="s">
        <v>1455</v>
      </c>
      <c r="I320" s="15" t="s">
        <v>212</v>
      </c>
      <c r="J320" s="15" t="s">
        <v>45</v>
      </c>
      <c r="K320" s="15" t="s">
        <v>122</v>
      </c>
      <c r="L320" s="15" t="s">
        <v>123</v>
      </c>
      <c r="M320" s="15">
        <v>8</v>
      </c>
      <c r="N320" s="25">
        <v>60</v>
      </c>
      <c r="O320" s="15">
        <v>15</v>
      </c>
      <c r="P320" s="25">
        <v>408</v>
      </c>
      <c r="Q320" s="15">
        <v>4</v>
      </c>
      <c r="R320" s="15" t="s">
        <v>34</v>
      </c>
      <c r="S320" s="15" t="s">
        <v>49</v>
      </c>
      <c r="T320" s="15" t="s">
        <v>144</v>
      </c>
      <c r="U320" s="15">
        <v>9527326977</v>
      </c>
      <c r="V320" s="15" t="s">
        <v>64</v>
      </c>
      <c r="W320" s="29" t="str">
        <f t="shared" si="4"/>
        <v>Pri002Ja</v>
      </c>
    </row>
    <row r="321" spans="1:23" x14ac:dyDescent="0.5">
      <c r="A321" s="17" t="s">
        <v>1457</v>
      </c>
      <c r="B321" s="17" t="s">
        <v>221</v>
      </c>
      <c r="C321" s="17" t="s">
        <v>259</v>
      </c>
      <c r="D321" s="17" t="s">
        <v>825</v>
      </c>
      <c r="E321" s="17" t="s">
        <v>119</v>
      </c>
      <c r="F321" s="15" t="s">
        <v>225</v>
      </c>
      <c r="G321" s="17" t="s">
        <v>76</v>
      </c>
      <c r="H321" s="17" t="s">
        <v>1458</v>
      </c>
      <c r="I321" s="17" t="s">
        <v>44</v>
      </c>
      <c r="J321" s="17" t="s">
        <v>45</v>
      </c>
      <c r="K321" s="17" t="s">
        <v>122</v>
      </c>
      <c r="L321" s="17" t="s">
        <v>263</v>
      </c>
      <c r="M321" s="17">
        <v>17</v>
      </c>
      <c r="N321" s="26">
        <v>45</v>
      </c>
      <c r="O321" s="17">
        <v>15</v>
      </c>
      <c r="P321" s="26">
        <v>650.25</v>
      </c>
      <c r="Q321" s="17">
        <v>2</v>
      </c>
      <c r="R321" s="17" t="s">
        <v>88</v>
      </c>
      <c r="S321" s="17" t="s">
        <v>151</v>
      </c>
      <c r="T321" s="15" t="s">
        <v>228</v>
      </c>
      <c r="U321" s="17">
        <v>9886970990</v>
      </c>
      <c r="V321" s="17" t="s">
        <v>38</v>
      </c>
      <c r="W321" s="29" t="str">
        <f t="shared" si="4"/>
        <v>Vik005De</v>
      </c>
    </row>
    <row r="322" spans="1:23" x14ac:dyDescent="0.5">
      <c r="A322" s="15" t="s">
        <v>1460</v>
      </c>
      <c r="B322" s="15" t="s">
        <v>327</v>
      </c>
      <c r="C322" s="15" t="s">
        <v>184</v>
      </c>
      <c r="D322" s="15" t="s">
        <v>632</v>
      </c>
      <c r="E322" s="15" t="s">
        <v>1461</v>
      </c>
      <c r="F322" s="15" t="s">
        <v>394</v>
      </c>
      <c r="G322" s="15" t="s">
        <v>76</v>
      </c>
      <c r="H322" s="15" t="s">
        <v>1462</v>
      </c>
      <c r="I322" s="15" t="s">
        <v>212</v>
      </c>
      <c r="J322" s="15" t="s">
        <v>45</v>
      </c>
      <c r="K322" s="15" t="s">
        <v>46</v>
      </c>
      <c r="L322" s="15" t="s">
        <v>189</v>
      </c>
      <c r="M322" s="15">
        <v>14</v>
      </c>
      <c r="N322" s="25">
        <v>700</v>
      </c>
      <c r="O322" s="15">
        <v>15</v>
      </c>
      <c r="P322" s="25">
        <v>8330</v>
      </c>
      <c r="Q322" s="15">
        <v>1</v>
      </c>
      <c r="R322" s="15" t="s">
        <v>79</v>
      </c>
      <c r="S322" s="15" t="s">
        <v>115</v>
      </c>
      <c r="T322" s="15" t="s">
        <v>332</v>
      </c>
      <c r="U322" s="15">
        <v>9106930369</v>
      </c>
      <c r="V322" s="15" t="s">
        <v>38</v>
      </c>
      <c r="W322" s="29" t="str">
        <f t="shared" si="4"/>
        <v>Ami001Ja</v>
      </c>
    </row>
    <row r="323" spans="1:23" x14ac:dyDescent="0.5">
      <c r="A323" s="17" t="s">
        <v>1464</v>
      </c>
      <c r="B323" s="17" t="s">
        <v>83</v>
      </c>
      <c r="C323" s="17" t="s">
        <v>72</v>
      </c>
      <c r="D323" s="17" t="s">
        <v>1465</v>
      </c>
      <c r="E323" s="17" t="s">
        <v>948</v>
      </c>
      <c r="F323" s="15" t="s">
        <v>180</v>
      </c>
      <c r="G323" s="17" t="s">
        <v>76</v>
      </c>
      <c r="H323" s="17" t="s">
        <v>1466</v>
      </c>
      <c r="I323" s="17" t="s">
        <v>114</v>
      </c>
      <c r="J323" s="17" t="s">
        <v>106</v>
      </c>
      <c r="K323" s="17" t="s">
        <v>46</v>
      </c>
      <c r="L323" s="17" t="s">
        <v>78</v>
      </c>
      <c r="M323" s="17">
        <v>3</v>
      </c>
      <c r="N323" s="26">
        <v>1200</v>
      </c>
      <c r="O323" s="17">
        <v>5</v>
      </c>
      <c r="P323" s="26">
        <v>3420</v>
      </c>
      <c r="Q323" s="17">
        <v>3</v>
      </c>
      <c r="R323" s="17" t="s">
        <v>48</v>
      </c>
      <c r="S323" s="17" t="s">
        <v>151</v>
      </c>
      <c r="T323" s="15" t="s">
        <v>89</v>
      </c>
      <c r="U323" s="17">
        <v>9342009114</v>
      </c>
      <c r="V323" s="17" t="s">
        <v>38</v>
      </c>
      <c r="W323" s="29" t="str">
        <f t="shared" ref="W323:W386" si="5">LEFT(F323, 3) &amp; RIGHT(B323,3) &amp; LEFT(I323,2)</f>
        <v>Arj007Pu</v>
      </c>
    </row>
    <row r="324" spans="1:23" x14ac:dyDescent="0.5">
      <c r="A324" s="15" t="s">
        <v>1468</v>
      </c>
      <c r="B324" s="15" t="s">
        <v>23</v>
      </c>
      <c r="C324" s="15" t="s">
        <v>72</v>
      </c>
      <c r="D324" s="15" t="s">
        <v>489</v>
      </c>
      <c r="E324" s="15" t="s">
        <v>914</v>
      </c>
      <c r="F324" s="15" t="s">
        <v>27</v>
      </c>
      <c r="G324" s="15" t="s">
        <v>28</v>
      </c>
      <c r="H324" s="15" t="s">
        <v>1469</v>
      </c>
      <c r="I324" s="15" t="s">
        <v>138</v>
      </c>
      <c r="J324" s="15" t="s">
        <v>106</v>
      </c>
      <c r="K324" s="15" t="s">
        <v>46</v>
      </c>
      <c r="L324" s="15" t="s">
        <v>78</v>
      </c>
      <c r="M324" s="15">
        <v>9</v>
      </c>
      <c r="N324" s="25">
        <v>1200</v>
      </c>
      <c r="O324" s="15">
        <v>15</v>
      </c>
      <c r="P324" s="25">
        <v>9180</v>
      </c>
      <c r="Q324" s="15">
        <v>3</v>
      </c>
      <c r="R324" s="15" t="s">
        <v>34</v>
      </c>
      <c r="S324" s="15" t="s">
        <v>49</v>
      </c>
      <c r="T324" s="15" t="s">
        <v>50</v>
      </c>
      <c r="U324" s="15">
        <v>9992739960</v>
      </c>
      <c r="V324" s="15" t="s">
        <v>38</v>
      </c>
      <c r="W324" s="29" t="str">
        <f t="shared" si="5"/>
        <v>Kav008Ah</v>
      </c>
    </row>
    <row r="325" spans="1:23" x14ac:dyDescent="0.5">
      <c r="A325" s="17" t="s">
        <v>1471</v>
      </c>
      <c r="B325" s="17" t="s">
        <v>251</v>
      </c>
      <c r="C325" s="17" t="s">
        <v>222</v>
      </c>
      <c r="D325" s="17" t="s">
        <v>224</v>
      </c>
      <c r="E325" s="17" t="s">
        <v>360</v>
      </c>
      <c r="F325" s="15" t="s">
        <v>254</v>
      </c>
      <c r="G325" s="17" t="s">
        <v>28</v>
      </c>
      <c r="H325" s="17" t="s">
        <v>1472</v>
      </c>
      <c r="I325" s="17" t="s">
        <v>105</v>
      </c>
      <c r="J325" s="17" t="s">
        <v>106</v>
      </c>
      <c r="K325" s="17" t="s">
        <v>122</v>
      </c>
      <c r="L325" s="17" t="s">
        <v>227</v>
      </c>
      <c r="M325" s="17">
        <v>5</v>
      </c>
      <c r="N325" s="26">
        <v>20</v>
      </c>
      <c r="O325" s="17">
        <v>5</v>
      </c>
      <c r="P325" s="26">
        <v>95</v>
      </c>
      <c r="Q325" s="17">
        <v>4</v>
      </c>
      <c r="R325" s="17" t="s">
        <v>34</v>
      </c>
      <c r="S325" s="17" t="s">
        <v>151</v>
      </c>
      <c r="T325" s="15" t="s">
        <v>256</v>
      </c>
      <c r="U325" s="17">
        <v>9241987748</v>
      </c>
      <c r="V325" s="17" t="s">
        <v>38</v>
      </c>
      <c r="W325" s="29" t="str">
        <f t="shared" si="5"/>
        <v>Sne006Mu</v>
      </c>
    </row>
    <row r="326" spans="1:23" x14ac:dyDescent="0.5">
      <c r="A326" s="15" t="s">
        <v>1474</v>
      </c>
      <c r="B326" s="15" t="s">
        <v>251</v>
      </c>
      <c r="C326" s="15" t="s">
        <v>24</v>
      </c>
      <c r="D326" s="15" t="s">
        <v>1475</v>
      </c>
      <c r="E326" s="15" t="s">
        <v>1476</v>
      </c>
      <c r="F326" s="15" t="s">
        <v>254</v>
      </c>
      <c r="G326" s="15" t="s">
        <v>28</v>
      </c>
      <c r="H326" s="15" t="s">
        <v>1477</v>
      </c>
      <c r="I326" s="15" t="s">
        <v>138</v>
      </c>
      <c r="J326" s="15" t="s">
        <v>106</v>
      </c>
      <c r="K326" s="15" t="s">
        <v>32</v>
      </c>
      <c r="L326" s="15" t="s">
        <v>33</v>
      </c>
      <c r="M326" s="15">
        <v>8</v>
      </c>
      <c r="N326" s="25">
        <v>2200</v>
      </c>
      <c r="O326" s="15">
        <v>10</v>
      </c>
      <c r="P326" s="25">
        <v>15840</v>
      </c>
      <c r="Q326" s="15">
        <v>4</v>
      </c>
      <c r="R326" s="15" t="s">
        <v>88</v>
      </c>
      <c r="S326" s="15" t="s">
        <v>61</v>
      </c>
      <c r="T326" s="15" t="s">
        <v>256</v>
      </c>
      <c r="U326" s="15">
        <v>9571990711</v>
      </c>
      <c r="V326" s="15" t="s">
        <v>69</v>
      </c>
      <c r="W326" s="29" t="str">
        <f t="shared" si="5"/>
        <v>Sne006Ah</v>
      </c>
    </row>
    <row r="327" spans="1:23" x14ac:dyDescent="0.5">
      <c r="A327" s="17" t="s">
        <v>1479</v>
      </c>
      <c r="B327" s="17" t="s">
        <v>251</v>
      </c>
      <c r="C327" s="17" t="s">
        <v>184</v>
      </c>
      <c r="D327" s="17" t="s">
        <v>298</v>
      </c>
      <c r="E327" s="17" t="s">
        <v>1480</v>
      </c>
      <c r="F327" s="15" t="s">
        <v>254</v>
      </c>
      <c r="G327" s="17" t="s">
        <v>28</v>
      </c>
      <c r="H327" s="17" t="s">
        <v>1481</v>
      </c>
      <c r="I327" s="17" t="s">
        <v>105</v>
      </c>
      <c r="J327" s="17" t="s">
        <v>106</v>
      </c>
      <c r="K327" s="17" t="s">
        <v>46</v>
      </c>
      <c r="L327" s="17" t="s">
        <v>189</v>
      </c>
      <c r="M327" s="17">
        <v>10</v>
      </c>
      <c r="N327" s="26">
        <v>700</v>
      </c>
      <c r="O327" s="17">
        <v>20</v>
      </c>
      <c r="P327" s="26">
        <v>5600</v>
      </c>
      <c r="Q327" s="17">
        <v>1</v>
      </c>
      <c r="R327" s="17" t="s">
        <v>88</v>
      </c>
      <c r="S327" s="17" t="s">
        <v>115</v>
      </c>
      <c r="T327" s="15" t="s">
        <v>256</v>
      </c>
      <c r="U327" s="17">
        <v>9219231183</v>
      </c>
      <c r="V327" s="17" t="s">
        <v>38</v>
      </c>
      <c r="W327" s="29" t="str">
        <f t="shared" si="5"/>
        <v>Sne006Mu</v>
      </c>
    </row>
    <row r="328" spans="1:23" x14ac:dyDescent="0.5">
      <c r="A328" s="15" t="s">
        <v>1483</v>
      </c>
      <c r="B328" s="15" t="s">
        <v>83</v>
      </c>
      <c r="C328" s="15" t="s">
        <v>184</v>
      </c>
      <c r="D328" s="15" t="s">
        <v>1484</v>
      </c>
      <c r="E328" s="15" t="s">
        <v>1485</v>
      </c>
      <c r="F328" s="15" t="s">
        <v>180</v>
      </c>
      <c r="G328" s="15" t="s">
        <v>76</v>
      </c>
      <c r="H328" s="15" t="s">
        <v>1486</v>
      </c>
      <c r="I328" s="15" t="s">
        <v>59</v>
      </c>
      <c r="J328" s="15" t="s">
        <v>31</v>
      </c>
      <c r="K328" s="15" t="s">
        <v>46</v>
      </c>
      <c r="L328" s="15" t="s">
        <v>189</v>
      </c>
      <c r="M328" s="15">
        <v>2</v>
      </c>
      <c r="N328" s="25">
        <v>700</v>
      </c>
      <c r="O328" s="15">
        <v>20</v>
      </c>
      <c r="P328" s="25">
        <v>1120</v>
      </c>
      <c r="Q328" s="15">
        <v>2</v>
      </c>
      <c r="R328" s="15" t="s">
        <v>34</v>
      </c>
      <c r="S328" s="15" t="s">
        <v>115</v>
      </c>
      <c r="T328" s="15" t="s">
        <v>89</v>
      </c>
      <c r="U328" s="15">
        <v>9847386174</v>
      </c>
      <c r="V328" s="15" t="s">
        <v>64</v>
      </c>
      <c r="W328" s="29" t="str">
        <f t="shared" si="5"/>
        <v>Arj007Be</v>
      </c>
    </row>
    <row r="329" spans="1:23" x14ac:dyDescent="0.5">
      <c r="A329" s="17" t="s">
        <v>1488</v>
      </c>
      <c r="B329" s="17" t="s">
        <v>221</v>
      </c>
      <c r="C329" s="17" t="s">
        <v>92</v>
      </c>
      <c r="D329" s="17" t="s">
        <v>872</v>
      </c>
      <c r="E329" s="17" t="s">
        <v>965</v>
      </c>
      <c r="F329" s="15" t="s">
        <v>225</v>
      </c>
      <c r="G329" s="17" t="s">
        <v>76</v>
      </c>
      <c r="H329" s="17" t="s">
        <v>1489</v>
      </c>
      <c r="I329" s="17" t="s">
        <v>114</v>
      </c>
      <c r="J329" s="17" t="s">
        <v>106</v>
      </c>
      <c r="K329" s="17" t="s">
        <v>32</v>
      </c>
      <c r="L329" s="17" t="s">
        <v>97</v>
      </c>
      <c r="M329" s="17">
        <v>16</v>
      </c>
      <c r="N329" s="26">
        <v>3500</v>
      </c>
      <c r="O329" s="17">
        <v>20</v>
      </c>
      <c r="P329" s="26">
        <v>44800</v>
      </c>
      <c r="Q329" s="17">
        <v>2</v>
      </c>
      <c r="R329" s="17" t="s">
        <v>88</v>
      </c>
      <c r="S329" s="17" t="s">
        <v>35</v>
      </c>
      <c r="T329" s="15" t="s">
        <v>228</v>
      </c>
      <c r="U329" s="17">
        <v>9941274924</v>
      </c>
      <c r="V329" s="17" t="s">
        <v>64</v>
      </c>
      <c r="W329" s="29" t="str">
        <f t="shared" si="5"/>
        <v>Vik005Pu</v>
      </c>
    </row>
    <row r="330" spans="1:23" x14ac:dyDescent="0.5">
      <c r="A330" s="15" t="s">
        <v>1491</v>
      </c>
      <c r="B330" s="15" t="s">
        <v>168</v>
      </c>
      <c r="C330" s="15" t="s">
        <v>92</v>
      </c>
      <c r="D330" s="15" t="s">
        <v>829</v>
      </c>
      <c r="E330" s="15" t="s">
        <v>756</v>
      </c>
      <c r="F330" s="15" t="s">
        <v>361</v>
      </c>
      <c r="G330" s="15" t="s">
        <v>28</v>
      </c>
      <c r="H330" s="15" t="s">
        <v>1492</v>
      </c>
      <c r="I330" s="15" t="s">
        <v>44</v>
      </c>
      <c r="J330" s="15" t="s">
        <v>45</v>
      </c>
      <c r="K330" s="15" t="s">
        <v>32</v>
      </c>
      <c r="L330" s="15" t="s">
        <v>97</v>
      </c>
      <c r="M330" s="15">
        <v>9</v>
      </c>
      <c r="N330" s="25">
        <v>3500</v>
      </c>
      <c r="O330" s="15">
        <v>20</v>
      </c>
      <c r="P330" s="25">
        <v>25200</v>
      </c>
      <c r="Q330" s="15">
        <v>1</v>
      </c>
      <c r="R330" s="15" t="s">
        <v>79</v>
      </c>
      <c r="S330" s="15" t="s">
        <v>49</v>
      </c>
      <c r="T330" s="15" t="s">
        <v>175</v>
      </c>
      <c r="U330" s="15">
        <v>9950650508</v>
      </c>
      <c r="V330" s="15" t="s">
        <v>69</v>
      </c>
      <c r="W330" s="29" t="str">
        <f t="shared" si="5"/>
        <v>Ani004De</v>
      </c>
    </row>
    <row r="331" spans="1:23" x14ac:dyDescent="0.5">
      <c r="A331" s="17" t="s">
        <v>1494</v>
      </c>
      <c r="B331" s="17" t="s">
        <v>127</v>
      </c>
      <c r="C331" s="17" t="s">
        <v>184</v>
      </c>
      <c r="D331" s="17" t="s">
        <v>896</v>
      </c>
      <c r="E331" s="17" t="s">
        <v>530</v>
      </c>
      <c r="F331" s="15" t="s">
        <v>200</v>
      </c>
      <c r="G331" s="17" t="s">
        <v>76</v>
      </c>
      <c r="H331" s="17" t="s">
        <v>1495</v>
      </c>
      <c r="I331" s="17" t="s">
        <v>30</v>
      </c>
      <c r="J331" s="17" t="s">
        <v>31</v>
      </c>
      <c r="K331" s="17" t="s">
        <v>46</v>
      </c>
      <c r="L331" s="17" t="s">
        <v>189</v>
      </c>
      <c r="M331" s="17">
        <v>15</v>
      </c>
      <c r="N331" s="26">
        <v>700</v>
      </c>
      <c r="O331" s="17">
        <v>5</v>
      </c>
      <c r="P331" s="26">
        <v>9975</v>
      </c>
      <c r="Q331" s="17">
        <v>1</v>
      </c>
      <c r="R331" s="17" t="s">
        <v>34</v>
      </c>
      <c r="S331" s="17" t="s">
        <v>49</v>
      </c>
      <c r="T331" s="15" t="s">
        <v>132</v>
      </c>
      <c r="U331" s="17">
        <v>9464035549</v>
      </c>
      <c r="V331" s="17" t="s">
        <v>69</v>
      </c>
      <c r="W331" s="29" t="str">
        <f t="shared" si="5"/>
        <v>Roh003Hy</v>
      </c>
    </row>
    <row r="332" spans="1:23" x14ac:dyDescent="0.5">
      <c r="A332" s="15" t="s">
        <v>1497</v>
      </c>
      <c r="B332" s="15" t="s">
        <v>53</v>
      </c>
      <c r="C332" s="15" t="s">
        <v>72</v>
      </c>
      <c r="D332" s="15" t="s">
        <v>179</v>
      </c>
      <c r="E332" s="15" t="s">
        <v>798</v>
      </c>
      <c r="F332" s="15" t="s">
        <v>163</v>
      </c>
      <c r="G332" s="15" t="s">
        <v>28</v>
      </c>
      <c r="H332" s="15" t="s">
        <v>1498</v>
      </c>
      <c r="I332" s="15" t="s">
        <v>138</v>
      </c>
      <c r="J332" s="15" t="s">
        <v>106</v>
      </c>
      <c r="K332" s="15" t="s">
        <v>46</v>
      </c>
      <c r="L332" s="15" t="s">
        <v>78</v>
      </c>
      <c r="M332" s="15">
        <v>13</v>
      </c>
      <c r="N332" s="25">
        <v>1200</v>
      </c>
      <c r="O332" s="15">
        <v>0</v>
      </c>
      <c r="P332" s="25">
        <v>15600</v>
      </c>
      <c r="Q332" s="15">
        <v>3</v>
      </c>
      <c r="R332" s="15" t="s">
        <v>48</v>
      </c>
      <c r="S332" s="15" t="s">
        <v>115</v>
      </c>
      <c r="T332" s="15" t="s">
        <v>62</v>
      </c>
      <c r="U332" s="15">
        <v>9142334315</v>
      </c>
      <c r="V332" s="15" t="s">
        <v>69</v>
      </c>
      <c r="W332" s="29" t="str">
        <f t="shared" si="5"/>
        <v>Poo010Ah</v>
      </c>
    </row>
    <row r="333" spans="1:23" x14ac:dyDescent="0.5">
      <c r="A333" s="17" t="s">
        <v>1500</v>
      </c>
      <c r="B333" s="17" t="s">
        <v>327</v>
      </c>
      <c r="C333" s="17" t="s">
        <v>40</v>
      </c>
      <c r="D333" s="17" t="s">
        <v>1501</v>
      </c>
      <c r="E333" s="17" t="s">
        <v>1502</v>
      </c>
      <c r="F333" s="15" t="s">
        <v>394</v>
      </c>
      <c r="G333" s="17" t="s">
        <v>76</v>
      </c>
      <c r="H333" s="17" t="s">
        <v>1503</v>
      </c>
      <c r="I333" s="17" t="s">
        <v>44</v>
      </c>
      <c r="J333" s="17" t="s">
        <v>45</v>
      </c>
      <c r="K333" s="17" t="s">
        <v>46</v>
      </c>
      <c r="L333" s="17" t="s">
        <v>47</v>
      </c>
      <c r="M333" s="17">
        <v>5</v>
      </c>
      <c r="N333" s="26">
        <v>12000</v>
      </c>
      <c r="O333" s="17">
        <v>10</v>
      </c>
      <c r="P333" s="26">
        <v>54000</v>
      </c>
      <c r="Q333" s="17">
        <v>3</v>
      </c>
      <c r="R333" s="17" t="s">
        <v>88</v>
      </c>
      <c r="S333" s="17" t="s">
        <v>49</v>
      </c>
      <c r="T333" s="15" t="s">
        <v>332</v>
      </c>
      <c r="U333" s="17">
        <v>9123961962</v>
      </c>
      <c r="V333" s="17" t="s">
        <v>38</v>
      </c>
      <c r="W333" s="29" t="str">
        <f t="shared" si="5"/>
        <v>Ami001De</v>
      </c>
    </row>
    <row r="334" spans="1:23" x14ac:dyDescent="0.5">
      <c r="A334" s="15" t="s">
        <v>1505</v>
      </c>
      <c r="B334" s="15" t="s">
        <v>53</v>
      </c>
      <c r="C334" s="15" t="s">
        <v>259</v>
      </c>
      <c r="D334" s="15" t="s">
        <v>1506</v>
      </c>
      <c r="E334" s="15" t="s">
        <v>1507</v>
      </c>
      <c r="F334" s="15" t="s">
        <v>163</v>
      </c>
      <c r="G334" s="15" t="s">
        <v>28</v>
      </c>
      <c r="H334" s="15" t="s">
        <v>1508</v>
      </c>
      <c r="I334" s="15" t="s">
        <v>59</v>
      </c>
      <c r="J334" s="15" t="s">
        <v>31</v>
      </c>
      <c r="K334" s="15" t="s">
        <v>122</v>
      </c>
      <c r="L334" s="15" t="s">
        <v>263</v>
      </c>
      <c r="M334" s="15">
        <v>12</v>
      </c>
      <c r="N334" s="25">
        <v>45</v>
      </c>
      <c r="O334" s="15">
        <v>20</v>
      </c>
      <c r="P334" s="25">
        <v>432</v>
      </c>
      <c r="Q334" s="15">
        <v>3</v>
      </c>
      <c r="R334" s="15" t="s">
        <v>48</v>
      </c>
      <c r="S334" s="15" t="s">
        <v>61</v>
      </c>
      <c r="T334" s="15" t="s">
        <v>62</v>
      </c>
      <c r="U334" s="15">
        <v>9741953402</v>
      </c>
      <c r="V334" s="15" t="s">
        <v>38</v>
      </c>
      <c r="W334" s="29" t="str">
        <f t="shared" si="5"/>
        <v>Poo010Be</v>
      </c>
    </row>
    <row r="335" spans="1:23" x14ac:dyDescent="0.5">
      <c r="A335" s="17" t="s">
        <v>1510</v>
      </c>
      <c r="B335" s="17" t="s">
        <v>23</v>
      </c>
      <c r="C335" s="17" t="s">
        <v>92</v>
      </c>
      <c r="D335" s="17" t="s">
        <v>652</v>
      </c>
      <c r="E335" s="17" t="s">
        <v>666</v>
      </c>
      <c r="F335" s="15" t="s">
        <v>27</v>
      </c>
      <c r="G335" s="17" t="s">
        <v>28</v>
      </c>
      <c r="H335" s="17" t="s">
        <v>1511</v>
      </c>
      <c r="I335" s="17" t="s">
        <v>59</v>
      </c>
      <c r="J335" s="17" t="s">
        <v>31</v>
      </c>
      <c r="K335" s="17" t="s">
        <v>32</v>
      </c>
      <c r="L335" s="17" t="s">
        <v>97</v>
      </c>
      <c r="M335" s="17">
        <v>2</v>
      </c>
      <c r="N335" s="26">
        <v>3500</v>
      </c>
      <c r="O335" s="17">
        <v>0</v>
      </c>
      <c r="P335" s="26">
        <v>7000</v>
      </c>
      <c r="Q335" s="17">
        <v>1</v>
      </c>
      <c r="R335" s="17" t="s">
        <v>48</v>
      </c>
      <c r="S335" s="17" t="s">
        <v>115</v>
      </c>
      <c r="T335" s="15" t="s">
        <v>50</v>
      </c>
      <c r="U335" s="17">
        <v>9404733633</v>
      </c>
      <c r="V335" s="17" t="s">
        <v>64</v>
      </c>
      <c r="W335" s="29" t="str">
        <f t="shared" si="5"/>
        <v>Kav008Be</v>
      </c>
    </row>
    <row r="336" spans="1:23" x14ac:dyDescent="0.5">
      <c r="A336" s="15" t="s">
        <v>1513</v>
      </c>
      <c r="B336" s="15" t="s">
        <v>23</v>
      </c>
      <c r="C336" s="15" t="s">
        <v>24</v>
      </c>
      <c r="D336" s="15" t="s">
        <v>426</v>
      </c>
      <c r="E336" s="15" t="s">
        <v>1180</v>
      </c>
      <c r="F336" s="15" t="s">
        <v>27</v>
      </c>
      <c r="G336" s="15" t="s">
        <v>28</v>
      </c>
      <c r="H336" s="15" t="s">
        <v>1514</v>
      </c>
      <c r="I336" s="15" t="s">
        <v>114</v>
      </c>
      <c r="J336" s="15" t="s">
        <v>106</v>
      </c>
      <c r="K336" s="15" t="s">
        <v>32</v>
      </c>
      <c r="L336" s="15" t="s">
        <v>33</v>
      </c>
      <c r="M336" s="15">
        <v>15</v>
      </c>
      <c r="N336" s="25">
        <v>2200</v>
      </c>
      <c r="O336" s="15">
        <v>15</v>
      </c>
      <c r="P336" s="25">
        <v>28050</v>
      </c>
      <c r="Q336" s="15">
        <v>2</v>
      </c>
      <c r="R336" s="15" t="s">
        <v>48</v>
      </c>
      <c r="S336" s="15" t="s">
        <v>49</v>
      </c>
      <c r="T336" s="15" t="s">
        <v>50</v>
      </c>
      <c r="U336" s="15">
        <v>9297492337</v>
      </c>
      <c r="V336" s="15" t="s">
        <v>64</v>
      </c>
      <c r="W336" s="29" t="str">
        <f t="shared" si="5"/>
        <v>Kav008Pu</v>
      </c>
    </row>
    <row r="337" spans="1:23" x14ac:dyDescent="0.5">
      <c r="A337" s="17" t="s">
        <v>1516</v>
      </c>
      <c r="B337" s="17" t="s">
        <v>100</v>
      </c>
      <c r="C337" s="17" t="s">
        <v>222</v>
      </c>
      <c r="D337" s="17" t="s">
        <v>186</v>
      </c>
      <c r="E337" s="17" t="s">
        <v>1253</v>
      </c>
      <c r="F337" s="15" t="s">
        <v>103</v>
      </c>
      <c r="G337" s="17" t="s">
        <v>28</v>
      </c>
      <c r="H337" s="17" t="s">
        <v>1517</v>
      </c>
      <c r="I337" s="17" t="s">
        <v>138</v>
      </c>
      <c r="J337" s="17" t="s">
        <v>106</v>
      </c>
      <c r="K337" s="17" t="s">
        <v>122</v>
      </c>
      <c r="L337" s="17" t="s">
        <v>227</v>
      </c>
      <c r="M337" s="17">
        <v>8</v>
      </c>
      <c r="N337" s="26">
        <v>20</v>
      </c>
      <c r="O337" s="17">
        <v>20</v>
      </c>
      <c r="P337" s="26">
        <v>128</v>
      </c>
      <c r="Q337" s="17">
        <v>5</v>
      </c>
      <c r="R337" s="17" t="s">
        <v>88</v>
      </c>
      <c r="S337" s="17" t="s">
        <v>49</v>
      </c>
      <c r="T337" s="15" t="s">
        <v>144</v>
      </c>
      <c r="U337" s="17">
        <v>9350338928</v>
      </c>
      <c r="V337" s="17" t="s">
        <v>38</v>
      </c>
      <c r="W337" s="29" t="str">
        <f t="shared" si="5"/>
        <v>Pri002Ah</v>
      </c>
    </row>
    <row r="338" spans="1:23" x14ac:dyDescent="0.5">
      <c r="A338" s="15" t="s">
        <v>1519</v>
      </c>
      <c r="B338" s="15" t="s">
        <v>127</v>
      </c>
      <c r="C338" s="15" t="s">
        <v>222</v>
      </c>
      <c r="D338" s="15" t="s">
        <v>298</v>
      </c>
      <c r="E338" s="15" t="s">
        <v>798</v>
      </c>
      <c r="F338" s="15" t="s">
        <v>200</v>
      </c>
      <c r="G338" s="15" t="s">
        <v>76</v>
      </c>
      <c r="H338" s="15" t="s">
        <v>1520</v>
      </c>
      <c r="I338" s="15" t="s">
        <v>30</v>
      </c>
      <c r="J338" s="15" t="s">
        <v>31</v>
      </c>
      <c r="K338" s="15" t="s">
        <v>122</v>
      </c>
      <c r="L338" s="15" t="s">
        <v>227</v>
      </c>
      <c r="M338" s="15">
        <v>1</v>
      </c>
      <c r="N338" s="25">
        <v>20</v>
      </c>
      <c r="O338" s="15">
        <v>0</v>
      </c>
      <c r="P338" s="25">
        <v>20</v>
      </c>
      <c r="Q338" s="15">
        <v>3</v>
      </c>
      <c r="R338" s="15" t="s">
        <v>88</v>
      </c>
      <c r="S338" s="15" t="s">
        <v>35</v>
      </c>
      <c r="T338" s="15" t="s">
        <v>132</v>
      </c>
      <c r="U338" s="15">
        <v>9933894798</v>
      </c>
      <c r="V338" s="15" t="s">
        <v>38</v>
      </c>
      <c r="W338" s="29" t="str">
        <f t="shared" si="5"/>
        <v>Roh003Hy</v>
      </c>
    </row>
    <row r="339" spans="1:23" x14ac:dyDescent="0.5">
      <c r="A339" s="17" t="s">
        <v>1522</v>
      </c>
      <c r="B339" s="17" t="s">
        <v>23</v>
      </c>
      <c r="C339" s="17" t="s">
        <v>184</v>
      </c>
      <c r="D339" s="17" t="s">
        <v>1199</v>
      </c>
      <c r="E339" s="17" t="s">
        <v>253</v>
      </c>
      <c r="F339" s="15" t="s">
        <v>27</v>
      </c>
      <c r="G339" s="17" t="s">
        <v>28</v>
      </c>
      <c r="H339" s="17" t="s">
        <v>1523</v>
      </c>
      <c r="I339" s="17" t="s">
        <v>212</v>
      </c>
      <c r="J339" s="17" t="s">
        <v>45</v>
      </c>
      <c r="K339" s="17" t="s">
        <v>46</v>
      </c>
      <c r="L339" s="17" t="s">
        <v>189</v>
      </c>
      <c r="M339" s="17">
        <v>15</v>
      </c>
      <c r="N339" s="26">
        <v>700</v>
      </c>
      <c r="O339" s="17">
        <v>0</v>
      </c>
      <c r="P339" s="26">
        <v>10500</v>
      </c>
      <c r="Q339" s="17">
        <v>2</v>
      </c>
      <c r="R339" s="17" t="s">
        <v>88</v>
      </c>
      <c r="S339" s="17" t="s">
        <v>49</v>
      </c>
      <c r="T339" s="15" t="s">
        <v>50</v>
      </c>
      <c r="U339" s="17">
        <v>9705218824</v>
      </c>
      <c r="V339" s="17" t="s">
        <v>38</v>
      </c>
      <c r="W339" s="29" t="str">
        <f t="shared" si="5"/>
        <v>Kav008Ja</v>
      </c>
    </row>
    <row r="340" spans="1:23" x14ac:dyDescent="0.5">
      <c r="A340" s="15" t="s">
        <v>1525</v>
      </c>
      <c r="B340" s="15" t="s">
        <v>327</v>
      </c>
      <c r="C340" s="15" t="s">
        <v>92</v>
      </c>
      <c r="D340" s="15" t="s">
        <v>932</v>
      </c>
      <c r="E340" s="15" t="s">
        <v>1526</v>
      </c>
      <c r="F340" s="15" t="s">
        <v>394</v>
      </c>
      <c r="G340" s="15" t="s">
        <v>76</v>
      </c>
      <c r="H340" s="15" t="s">
        <v>1527</v>
      </c>
      <c r="I340" s="15" t="s">
        <v>30</v>
      </c>
      <c r="J340" s="15" t="s">
        <v>31</v>
      </c>
      <c r="K340" s="15" t="s">
        <v>32</v>
      </c>
      <c r="L340" s="15" t="s">
        <v>97</v>
      </c>
      <c r="M340" s="15">
        <v>15</v>
      </c>
      <c r="N340" s="25">
        <v>3500</v>
      </c>
      <c r="O340" s="15">
        <v>10</v>
      </c>
      <c r="P340" s="25">
        <v>47250</v>
      </c>
      <c r="Q340" s="15">
        <v>3</v>
      </c>
      <c r="R340" s="15" t="s">
        <v>34</v>
      </c>
      <c r="S340" s="15" t="s">
        <v>151</v>
      </c>
      <c r="T340" s="15" t="s">
        <v>332</v>
      </c>
      <c r="U340" s="15">
        <v>9229164453</v>
      </c>
      <c r="V340" s="15" t="s">
        <v>64</v>
      </c>
      <c r="W340" s="29" t="str">
        <f t="shared" si="5"/>
        <v>Ami001Hy</v>
      </c>
    </row>
    <row r="341" spans="1:23" x14ac:dyDescent="0.5">
      <c r="A341" s="17" t="s">
        <v>1529</v>
      </c>
      <c r="B341" s="17" t="s">
        <v>23</v>
      </c>
      <c r="C341" s="17" t="s">
        <v>118</v>
      </c>
      <c r="D341" s="17" t="s">
        <v>1530</v>
      </c>
      <c r="E341" s="17" t="s">
        <v>156</v>
      </c>
      <c r="F341" s="15" t="s">
        <v>27</v>
      </c>
      <c r="G341" s="17" t="s">
        <v>28</v>
      </c>
      <c r="H341" s="17" t="s">
        <v>1531</v>
      </c>
      <c r="I341" s="17" t="s">
        <v>294</v>
      </c>
      <c r="J341" s="17" t="s">
        <v>295</v>
      </c>
      <c r="K341" s="17" t="s">
        <v>122</v>
      </c>
      <c r="L341" s="17" t="s">
        <v>123</v>
      </c>
      <c r="M341" s="17">
        <v>16</v>
      </c>
      <c r="N341" s="26">
        <v>60</v>
      </c>
      <c r="O341" s="17">
        <v>10</v>
      </c>
      <c r="P341" s="26">
        <v>864</v>
      </c>
      <c r="Q341" s="17">
        <v>4</v>
      </c>
      <c r="R341" s="17" t="s">
        <v>79</v>
      </c>
      <c r="S341" s="17" t="s">
        <v>61</v>
      </c>
      <c r="T341" s="15" t="s">
        <v>50</v>
      </c>
      <c r="U341" s="17">
        <v>9219806176</v>
      </c>
      <c r="V341" s="17" t="s">
        <v>38</v>
      </c>
      <c r="W341" s="29" t="str">
        <f t="shared" si="5"/>
        <v>Kav008Ko</v>
      </c>
    </row>
    <row r="342" spans="1:23" x14ac:dyDescent="0.5">
      <c r="A342" s="15" t="s">
        <v>1533</v>
      </c>
      <c r="B342" s="15" t="s">
        <v>127</v>
      </c>
      <c r="C342" s="15" t="s">
        <v>259</v>
      </c>
      <c r="D342" s="15" t="s">
        <v>309</v>
      </c>
      <c r="E342" s="15" t="s">
        <v>793</v>
      </c>
      <c r="F342" s="15" t="s">
        <v>200</v>
      </c>
      <c r="G342" s="15" t="s">
        <v>76</v>
      </c>
      <c r="H342" s="15" t="s">
        <v>1534</v>
      </c>
      <c r="I342" s="15" t="s">
        <v>44</v>
      </c>
      <c r="J342" s="15" t="s">
        <v>45</v>
      </c>
      <c r="K342" s="15" t="s">
        <v>122</v>
      </c>
      <c r="L342" s="15" t="s">
        <v>263</v>
      </c>
      <c r="M342" s="15">
        <v>2</v>
      </c>
      <c r="N342" s="25">
        <v>45</v>
      </c>
      <c r="O342" s="15">
        <v>15</v>
      </c>
      <c r="P342" s="25">
        <v>76.5</v>
      </c>
      <c r="Q342" s="15">
        <v>1</v>
      </c>
      <c r="R342" s="15" t="s">
        <v>88</v>
      </c>
      <c r="S342" s="15" t="s">
        <v>151</v>
      </c>
      <c r="T342" s="15" t="s">
        <v>132</v>
      </c>
      <c r="U342" s="15">
        <v>9630210250</v>
      </c>
      <c r="V342" s="15" t="s">
        <v>69</v>
      </c>
      <c r="W342" s="29" t="str">
        <f t="shared" si="5"/>
        <v>Roh003De</v>
      </c>
    </row>
    <row r="343" spans="1:23" x14ac:dyDescent="0.5">
      <c r="A343" s="17" t="s">
        <v>1536</v>
      </c>
      <c r="B343" s="17" t="s">
        <v>168</v>
      </c>
      <c r="C343" s="17" t="s">
        <v>118</v>
      </c>
      <c r="D343" s="17" t="s">
        <v>1537</v>
      </c>
      <c r="E343" s="17" t="s">
        <v>1214</v>
      </c>
      <c r="F343" s="15" t="s">
        <v>361</v>
      </c>
      <c r="G343" s="17" t="s">
        <v>28</v>
      </c>
      <c r="H343" s="17" t="s">
        <v>1538</v>
      </c>
      <c r="I343" s="17" t="s">
        <v>44</v>
      </c>
      <c r="J343" s="17" t="s">
        <v>45</v>
      </c>
      <c r="K343" s="17" t="s">
        <v>122</v>
      </c>
      <c r="L343" s="17" t="s">
        <v>123</v>
      </c>
      <c r="M343" s="17">
        <v>13</v>
      </c>
      <c r="N343" s="26">
        <v>60</v>
      </c>
      <c r="O343" s="17">
        <v>15</v>
      </c>
      <c r="P343" s="26">
        <v>663</v>
      </c>
      <c r="Q343" s="17">
        <v>2</v>
      </c>
      <c r="R343" s="17" t="s">
        <v>48</v>
      </c>
      <c r="S343" s="17" t="s">
        <v>61</v>
      </c>
      <c r="T343" s="15" t="s">
        <v>175</v>
      </c>
      <c r="U343" s="17">
        <v>9583354052</v>
      </c>
      <c r="V343" s="17" t="s">
        <v>69</v>
      </c>
      <c r="W343" s="29" t="str">
        <f t="shared" si="5"/>
        <v>Ani004De</v>
      </c>
    </row>
    <row r="344" spans="1:23" x14ac:dyDescent="0.5">
      <c r="A344" s="15" t="s">
        <v>1540</v>
      </c>
      <c r="B344" s="15" t="s">
        <v>83</v>
      </c>
      <c r="C344" s="15" t="s">
        <v>40</v>
      </c>
      <c r="D344" s="15" t="s">
        <v>1086</v>
      </c>
      <c r="E344" s="15" t="s">
        <v>236</v>
      </c>
      <c r="F344" s="15" t="s">
        <v>180</v>
      </c>
      <c r="G344" s="15" t="s">
        <v>76</v>
      </c>
      <c r="H344" s="15" t="s">
        <v>1541</v>
      </c>
      <c r="I344" s="15" t="s">
        <v>44</v>
      </c>
      <c r="J344" s="15" t="s">
        <v>45</v>
      </c>
      <c r="K344" s="15" t="s">
        <v>46</v>
      </c>
      <c r="L344" s="15" t="s">
        <v>47</v>
      </c>
      <c r="M344" s="15">
        <v>15</v>
      </c>
      <c r="N344" s="25">
        <v>12000</v>
      </c>
      <c r="O344" s="15">
        <v>20</v>
      </c>
      <c r="P344" s="25">
        <v>144000</v>
      </c>
      <c r="Q344" s="15">
        <v>3</v>
      </c>
      <c r="R344" s="15" t="s">
        <v>79</v>
      </c>
      <c r="S344" s="15" t="s">
        <v>35</v>
      </c>
      <c r="T344" s="15" t="s">
        <v>89</v>
      </c>
      <c r="U344" s="15">
        <v>9242534507</v>
      </c>
      <c r="V344" s="15" t="s">
        <v>69</v>
      </c>
      <c r="W344" s="29" t="str">
        <f t="shared" si="5"/>
        <v>Arj007De</v>
      </c>
    </row>
    <row r="345" spans="1:23" x14ac:dyDescent="0.5">
      <c r="A345" s="17" t="s">
        <v>1543</v>
      </c>
      <c r="B345" s="17" t="s">
        <v>327</v>
      </c>
      <c r="C345" s="17" t="s">
        <v>222</v>
      </c>
      <c r="D345" s="17" t="s">
        <v>755</v>
      </c>
      <c r="E345" s="17" t="s">
        <v>1544</v>
      </c>
      <c r="F345" s="15" t="s">
        <v>394</v>
      </c>
      <c r="G345" s="17" t="s">
        <v>76</v>
      </c>
      <c r="H345" s="17" t="s">
        <v>1545</v>
      </c>
      <c r="I345" s="17" t="s">
        <v>44</v>
      </c>
      <c r="J345" s="17" t="s">
        <v>45</v>
      </c>
      <c r="K345" s="17" t="s">
        <v>122</v>
      </c>
      <c r="L345" s="17" t="s">
        <v>227</v>
      </c>
      <c r="M345" s="17">
        <v>2</v>
      </c>
      <c r="N345" s="26">
        <v>20</v>
      </c>
      <c r="O345" s="17">
        <v>20</v>
      </c>
      <c r="P345" s="26">
        <v>32</v>
      </c>
      <c r="Q345" s="17">
        <v>4</v>
      </c>
      <c r="R345" s="17" t="s">
        <v>34</v>
      </c>
      <c r="S345" s="17" t="s">
        <v>35</v>
      </c>
      <c r="T345" s="15" t="s">
        <v>332</v>
      </c>
      <c r="U345" s="17">
        <v>9291239150</v>
      </c>
      <c r="V345" s="17" t="s">
        <v>64</v>
      </c>
      <c r="W345" s="29" t="str">
        <f t="shared" si="5"/>
        <v>Ami001De</v>
      </c>
    </row>
    <row r="346" spans="1:23" x14ac:dyDescent="0.5">
      <c r="A346" s="15" t="s">
        <v>1547</v>
      </c>
      <c r="B346" s="15" t="s">
        <v>127</v>
      </c>
      <c r="C346" s="15" t="s">
        <v>92</v>
      </c>
      <c r="D346" s="15" t="s">
        <v>382</v>
      </c>
      <c r="E346" s="15" t="s">
        <v>1548</v>
      </c>
      <c r="F346" s="15" t="s">
        <v>200</v>
      </c>
      <c r="G346" s="15" t="s">
        <v>76</v>
      </c>
      <c r="H346" s="15" t="s">
        <v>1549</v>
      </c>
      <c r="I346" s="15" t="s">
        <v>59</v>
      </c>
      <c r="J346" s="15" t="s">
        <v>31</v>
      </c>
      <c r="K346" s="15" t="s">
        <v>32</v>
      </c>
      <c r="L346" s="15" t="s">
        <v>97</v>
      </c>
      <c r="M346" s="15">
        <v>16</v>
      </c>
      <c r="N346" s="25">
        <v>3500</v>
      </c>
      <c r="O346" s="15">
        <v>0</v>
      </c>
      <c r="P346" s="25">
        <v>56000</v>
      </c>
      <c r="Q346" s="15">
        <v>4</v>
      </c>
      <c r="R346" s="15" t="s">
        <v>34</v>
      </c>
      <c r="S346" s="15" t="s">
        <v>115</v>
      </c>
      <c r="T346" s="15" t="s">
        <v>132</v>
      </c>
      <c r="U346" s="15">
        <v>9550820904</v>
      </c>
      <c r="V346" s="15" t="s">
        <v>38</v>
      </c>
      <c r="W346" s="29" t="str">
        <f t="shared" si="5"/>
        <v>Roh003Be</v>
      </c>
    </row>
    <row r="347" spans="1:23" x14ac:dyDescent="0.5">
      <c r="A347" s="17" t="s">
        <v>1551</v>
      </c>
      <c r="B347" s="17" t="s">
        <v>53</v>
      </c>
      <c r="C347" s="17" t="s">
        <v>92</v>
      </c>
      <c r="D347" s="17" t="s">
        <v>1302</v>
      </c>
      <c r="E347" s="17" t="s">
        <v>94</v>
      </c>
      <c r="F347" s="15" t="s">
        <v>163</v>
      </c>
      <c r="G347" s="17" t="s">
        <v>28</v>
      </c>
      <c r="H347" s="17" t="s">
        <v>1552</v>
      </c>
      <c r="I347" s="17" t="s">
        <v>138</v>
      </c>
      <c r="J347" s="17" t="s">
        <v>106</v>
      </c>
      <c r="K347" s="17" t="s">
        <v>32</v>
      </c>
      <c r="L347" s="17" t="s">
        <v>97</v>
      </c>
      <c r="M347" s="17">
        <v>18</v>
      </c>
      <c r="N347" s="26">
        <v>3500</v>
      </c>
      <c r="O347" s="17">
        <v>15</v>
      </c>
      <c r="P347" s="26">
        <v>53550</v>
      </c>
      <c r="Q347" s="17">
        <v>5</v>
      </c>
      <c r="R347" s="17" t="s">
        <v>34</v>
      </c>
      <c r="S347" s="17" t="s">
        <v>151</v>
      </c>
      <c r="T347" s="15" t="s">
        <v>62</v>
      </c>
      <c r="U347" s="17">
        <v>9294486423</v>
      </c>
      <c r="V347" s="17" t="s">
        <v>69</v>
      </c>
      <c r="W347" s="29" t="str">
        <f t="shared" si="5"/>
        <v>Poo010Ah</v>
      </c>
    </row>
    <row r="348" spans="1:23" x14ac:dyDescent="0.5">
      <c r="A348" s="15" t="s">
        <v>1554</v>
      </c>
      <c r="B348" s="15" t="s">
        <v>23</v>
      </c>
      <c r="C348" s="15" t="s">
        <v>259</v>
      </c>
      <c r="D348" s="15" t="s">
        <v>65</v>
      </c>
      <c r="E348" s="15" t="s">
        <v>544</v>
      </c>
      <c r="F348" s="15" t="s">
        <v>27</v>
      </c>
      <c r="G348" s="15" t="s">
        <v>28</v>
      </c>
      <c r="H348" s="15" t="s">
        <v>1555</v>
      </c>
      <c r="I348" s="15" t="s">
        <v>138</v>
      </c>
      <c r="J348" s="15" t="s">
        <v>106</v>
      </c>
      <c r="K348" s="15" t="s">
        <v>122</v>
      </c>
      <c r="L348" s="15" t="s">
        <v>263</v>
      </c>
      <c r="M348" s="15">
        <v>20</v>
      </c>
      <c r="N348" s="25">
        <v>45</v>
      </c>
      <c r="O348" s="15">
        <v>15</v>
      </c>
      <c r="P348" s="25">
        <v>765</v>
      </c>
      <c r="Q348" s="15">
        <v>4</v>
      </c>
      <c r="R348" s="15" t="s">
        <v>34</v>
      </c>
      <c r="S348" s="15" t="s">
        <v>151</v>
      </c>
      <c r="T348" s="15" t="s">
        <v>50</v>
      </c>
      <c r="U348" s="15">
        <v>9260258621</v>
      </c>
      <c r="V348" s="15" t="s">
        <v>69</v>
      </c>
      <c r="W348" s="29" t="str">
        <f t="shared" si="5"/>
        <v>Kav008Ah</v>
      </c>
    </row>
    <row r="349" spans="1:23" x14ac:dyDescent="0.5">
      <c r="A349" s="17" t="s">
        <v>1557</v>
      </c>
      <c r="B349" s="17" t="s">
        <v>251</v>
      </c>
      <c r="C349" s="17" t="s">
        <v>24</v>
      </c>
      <c r="D349" s="17" t="s">
        <v>1286</v>
      </c>
      <c r="E349" s="17" t="s">
        <v>356</v>
      </c>
      <c r="F349" s="15" t="s">
        <v>254</v>
      </c>
      <c r="G349" s="17" t="s">
        <v>28</v>
      </c>
      <c r="H349" s="17" t="s">
        <v>1558</v>
      </c>
      <c r="I349" s="17" t="s">
        <v>44</v>
      </c>
      <c r="J349" s="17" t="s">
        <v>45</v>
      </c>
      <c r="K349" s="17" t="s">
        <v>32</v>
      </c>
      <c r="L349" s="17" t="s">
        <v>33</v>
      </c>
      <c r="M349" s="17">
        <v>13</v>
      </c>
      <c r="N349" s="26">
        <v>2200</v>
      </c>
      <c r="O349" s="17">
        <v>15</v>
      </c>
      <c r="P349" s="26">
        <v>24310</v>
      </c>
      <c r="Q349" s="17">
        <v>2</v>
      </c>
      <c r="R349" s="17" t="s">
        <v>48</v>
      </c>
      <c r="S349" s="17" t="s">
        <v>115</v>
      </c>
      <c r="T349" s="15" t="s">
        <v>256</v>
      </c>
      <c r="U349" s="17">
        <v>9697433584</v>
      </c>
      <c r="V349" s="17" t="s">
        <v>64</v>
      </c>
      <c r="W349" s="29" t="str">
        <f t="shared" si="5"/>
        <v>Sne006De</v>
      </c>
    </row>
    <row r="350" spans="1:23" x14ac:dyDescent="0.5">
      <c r="A350" s="15" t="s">
        <v>1560</v>
      </c>
      <c r="B350" s="15" t="s">
        <v>53</v>
      </c>
      <c r="C350" s="15" t="s">
        <v>1561</v>
      </c>
      <c r="D350" s="15" t="s">
        <v>340</v>
      </c>
      <c r="E350" s="15" t="s">
        <v>346</v>
      </c>
      <c r="F350" s="15" t="s">
        <v>163</v>
      </c>
      <c r="G350" s="15" t="s">
        <v>28</v>
      </c>
      <c r="H350" s="15" t="s">
        <v>1562</v>
      </c>
      <c r="I350" s="15" t="s">
        <v>294</v>
      </c>
      <c r="J350" s="15" t="s">
        <v>295</v>
      </c>
      <c r="K350" s="15" t="s">
        <v>32</v>
      </c>
      <c r="L350" s="15" t="s">
        <v>174</v>
      </c>
      <c r="M350" s="15">
        <v>11</v>
      </c>
      <c r="N350" s="25">
        <v>8500</v>
      </c>
      <c r="O350" s="15">
        <v>5</v>
      </c>
      <c r="P350" s="25">
        <v>88825</v>
      </c>
      <c r="Q350" s="15">
        <v>1</v>
      </c>
      <c r="R350" s="15" t="s">
        <v>88</v>
      </c>
      <c r="S350" s="15" t="s">
        <v>115</v>
      </c>
      <c r="T350" s="15" t="s">
        <v>62</v>
      </c>
      <c r="U350" s="15">
        <v>9837969758</v>
      </c>
      <c r="V350" s="15" t="s">
        <v>69</v>
      </c>
      <c r="W350" s="29" t="str">
        <f t="shared" si="5"/>
        <v>Poo010Ko</v>
      </c>
    </row>
    <row r="351" spans="1:23" x14ac:dyDescent="0.5">
      <c r="A351" s="17" t="s">
        <v>1564</v>
      </c>
      <c r="B351" s="17" t="s">
        <v>53</v>
      </c>
      <c r="C351" s="17" t="s">
        <v>24</v>
      </c>
      <c r="D351" s="17" t="s">
        <v>1565</v>
      </c>
      <c r="E351" s="17" t="s">
        <v>1475</v>
      </c>
      <c r="F351" s="15" t="s">
        <v>163</v>
      </c>
      <c r="G351" s="17" t="s">
        <v>28</v>
      </c>
      <c r="H351" s="17" t="s">
        <v>1566</v>
      </c>
      <c r="I351" s="17" t="s">
        <v>212</v>
      </c>
      <c r="J351" s="17" t="s">
        <v>45</v>
      </c>
      <c r="K351" s="17" t="s">
        <v>32</v>
      </c>
      <c r="L351" s="17" t="s">
        <v>33</v>
      </c>
      <c r="M351" s="17">
        <v>2</v>
      </c>
      <c r="N351" s="26">
        <v>2200</v>
      </c>
      <c r="O351" s="17">
        <v>0</v>
      </c>
      <c r="P351" s="26">
        <v>4400</v>
      </c>
      <c r="Q351" s="17">
        <v>4</v>
      </c>
      <c r="R351" s="17" t="s">
        <v>88</v>
      </c>
      <c r="S351" s="17" t="s">
        <v>151</v>
      </c>
      <c r="T351" s="15" t="s">
        <v>62</v>
      </c>
      <c r="U351" s="17">
        <v>9209736419</v>
      </c>
      <c r="V351" s="17" t="s">
        <v>64</v>
      </c>
      <c r="W351" s="29" t="str">
        <f t="shared" si="5"/>
        <v>Poo010Ja</v>
      </c>
    </row>
    <row r="352" spans="1:23" x14ac:dyDescent="0.5">
      <c r="A352" s="15" t="s">
        <v>1568</v>
      </c>
      <c r="B352" s="15" t="s">
        <v>83</v>
      </c>
      <c r="C352" s="15" t="s">
        <v>184</v>
      </c>
      <c r="D352" s="15" t="s">
        <v>1242</v>
      </c>
      <c r="E352" s="15" t="s">
        <v>720</v>
      </c>
      <c r="F352" s="15" t="s">
        <v>180</v>
      </c>
      <c r="G352" s="15" t="s">
        <v>76</v>
      </c>
      <c r="H352" s="15" t="s">
        <v>1569</v>
      </c>
      <c r="I352" s="15" t="s">
        <v>105</v>
      </c>
      <c r="J352" s="15" t="s">
        <v>106</v>
      </c>
      <c r="K352" s="15" t="s">
        <v>46</v>
      </c>
      <c r="L352" s="15" t="s">
        <v>189</v>
      </c>
      <c r="M352" s="15">
        <v>15</v>
      </c>
      <c r="N352" s="25">
        <v>700</v>
      </c>
      <c r="O352" s="15">
        <v>15</v>
      </c>
      <c r="P352" s="25">
        <v>8925</v>
      </c>
      <c r="Q352" s="15">
        <v>3</v>
      </c>
      <c r="R352" s="15" t="s">
        <v>48</v>
      </c>
      <c r="S352" s="15" t="s">
        <v>115</v>
      </c>
      <c r="T352" s="15" t="s">
        <v>89</v>
      </c>
      <c r="U352" s="15">
        <v>9645907237</v>
      </c>
      <c r="V352" s="15" t="s">
        <v>38</v>
      </c>
      <c r="W352" s="29" t="str">
        <f t="shared" si="5"/>
        <v>Arj007Mu</v>
      </c>
    </row>
    <row r="353" spans="1:23" x14ac:dyDescent="0.5">
      <c r="A353" s="17" t="s">
        <v>1571</v>
      </c>
      <c r="B353" s="17" t="s">
        <v>127</v>
      </c>
      <c r="C353" s="17" t="s">
        <v>24</v>
      </c>
      <c r="D353" s="17" t="s">
        <v>1572</v>
      </c>
      <c r="E353" s="17" t="s">
        <v>835</v>
      </c>
      <c r="F353" s="15" t="s">
        <v>200</v>
      </c>
      <c r="G353" s="17" t="s">
        <v>76</v>
      </c>
      <c r="H353" s="17" t="s">
        <v>1573</v>
      </c>
      <c r="I353" s="17" t="s">
        <v>138</v>
      </c>
      <c r="J353" s="17" t="s">
        <v>106</v>
      </c>
      <c r="K353" s="17" t="s">
        <v>32</v>
      </c>
      <c r="L353" s="17" t="s">
        <v>33</v>
      </c>
      <c r="M353" s="17">
        <v>5</v>
      </c>
      <c r="N353" s="26">
        <v>2200</v>
      </c>
      <c r="O353" s="17">
        <v>15</v>
      </c>
      <c r="P353" s="26">
        <v>9350</v>
      </c>
      <c r="Q353" s="17">
        <v>1</v>
      </c>
      <c r="R353" s="17" t="s">
        <v>48</v>
      </c>
      <c r="S353" s="17" t="s">
        <v>115</v>
      </c>
      <c r="T353" s="15" t="s">
        <v>132</v>
      </c>
      <c r="U353" s="17">
        <v>9566149945</v>
      </c>
      <c r="V353" s="17" t="s">
        <v>64</v>
      </c>
      <c r="W353" s="29" t="str">
        <f t="shared" si="5"/>
        <v>Roh003Ah</v>
      </c>
    </row>
    <row r="354" spans="1:23" x14ac:dyDescent="0.5">
      <c r="A354" s="15" t="s">
        <v>1575</v>
      </c>
      <c r="B354" s="15" t="s">
        <v>83</v>
      </c>
      <c r="C354" s="15" t="s">
        <v>72</v>
      </c>
      <c r="D354" s="15" t="s">
        <v>554</v>
      </c>
      <c r="E354" s="15" t="s">
        <v>1480</v>
      </c>
      <c r="F354" s="15" t="s">
        <v>180</v>
      </c>
      <c r="G354" s="15" t="s">
        <v>76</v>
      </c>
      <c r="H354" s="15" t="s">
        <v>1576</v>
      </c>
      <c r="I354" s="15" t="s">
        <v>138</v>
      </c>
      <c r="J354" s="15" t="s">
        <v>106</v>
      </c>
      <c r="K354" s="15" t="s">
        <v>46</v>
      </c>
      <c r="L354" s="15" t="s">
        <v>78</v>
      </c>
      <c r="M354" s="15">
        <v>15</v>
      </c>
      <c r="N354" s="25">
        <v>1200</v>
      </c>
      <c r="O354" s="15">
        <v>0</v>
      </c>
      <c r="P354" s="25">
        <v>18000</v>
      </c>
      <c r="Q354" s="15">
        <v>3</v>
      </c>
      <c r="R354" s="15" t="s">
        <v>48</v>
      </c>
      <c r="S354" s="15" t="s">
        <v>61</v>
      </c>
      <c r="T354" s="15" t="s">
        <v>89</v>
      </c>
      <c r="U354" s="15">
        <v>9935018068</v>
      </c>
      <c r="V354" s="15" t="s">
        <v>69</v>
      </c>
      <c r="W354" s="29" t="str">
        <f t="shared" si="5"/>
        <v>Arj007Ah</v>
      </c>
    </row>
    <row r="355" spans="1:23" x14ac:dyDescent="0.5">
      <c r="A355" s="17" t="s">
        <v>1578</v>
      </c>
      <c r="B355" s="17" t="s">
        <v>251</v>
      </c>
      <c r="C355" s="17" t="s">
        <v>72</v>
      </c>
      <c r="D355" s="17" t="s">
        <v>161</v>
      </c>
      <c r="E355" s="17" t="s">
        <v>657</v>
      </c>
      <c r="F355" s="15" t="s">
        <v>254</v>
      </c>
      <c r="G355" s="17" t="s">
        <v>28</v>
      </c>
      <c r="H355" s="17" t="s">
        <v>1579</v>
      </c>
      <c r="I355" s="17" t="s">
        <v>105</v>
      </c>
      <c r="J355" s="17" t="s">
        <v>106</v>
      </c>
      <c r="K355" s="17" t="s">
        <v>46</v>
      </c>
      <c r="L355" s="17" t="s">
        <v>78</v>
      </c>
      <c r="M355" s="17">
        <v>19</v>
      </c>
      <c r="N355" s="26">
        <v>1200</v>
      </c>
      <c r="O355" s="17">
        <v>0</v>
      </c>
      <c r="P355" s="26">
        <v>22800</v>
      </c>
      <c r="Q355" s="17">
        <v>1</v>
      </c>
      <c r="R355" s="17" t="s">
        <v>34</v>
      </c>
      <c r="S355" s="17" t="s">
        <v>49</v>
      </c>
      <c r="T355" s="15" t="s">
        <v>256</v>
      </c>
      <c r="U355" s="17">
        <v>9171794652</v>
      </c>
      <c r="V355" s="17" t="s">
        <v>69</v>
      </c>
      <c r="W355" s="29" t="str">
        <f t="shared" si="5"/>
        <v>Sne006Mu</v>
      </c>
    </row>
    <row r="356" spans="1:23" x14ac:dyDescent="0.5">
      <c r="A356" s="15" t="s">
        <v>1581</v>
      </c>
      <c r="B356" s="15" t="s">
        <v>168</v>
      </c>
      <c r="C356" s="15" t="s">
        <v>40</v>
      </c>
      <c r="D356" s="15" t="s">
        <v>25</v>
      </c>
      <c r="E356" s="15" t="s">
        <v>1582</v>
      </c>
      <c r="F356" s="15" t="s">
        <v>361</v>
      </c>
      <c r="G356" s="15" t="s">
        <v>28</v>
      </c>
      <c r="H356" s="15" t="s">
        <v>1583</v>
      </c>
      <c r="I356" s="15" t="s">
        <v>105</v>
      </c>
      <c r="J356" s="15" t="s">
        <v>106</v>
      </c>
      <c r="K356" s="15" t="s">
        <v>46</v>
      </c>
      <c r="L356" s="15" t="s">
        <v>47</v>
      </c>
      <c r="M356" s="15">
        <v>9</v>
      </c>
      <c r="N356" s="25">
        <v>12000</v>
      </c>
      <c r="O356" s="15">
        <v>15</v>
      </c>
      <c r="P356" s="25">
        <v>91800</v>
      </c>
      <c r="Q356" s="15">
        <v>3</v>
      </c>
      <c r="R356" s="15" t="s">
        <v>88</v>
      </c>
      <c r="S356" s="15" t="s">
        <v>49</v>
      </c>
      <c r="T356" s="15" t="s">
        <v>175</v>
      </c>
      <c r="U356" s="15">
        <v>9671497416</v>
      </c>
      <c r="V356" s="15" t="s">
        <v>69</v>
      </c>
      <c r="W356" s="29" t="str">
        <f t="shared" si="5"/>
        <v>Ani004Mu</v>
      </c>
    </row>
    <row r="357" spans="1:23" x14ac:dyDescent="0.5">
      <c r="A357" s="17" t="s">
        <v>1585</v>
      </c>
      <c r="B357" s="17" t="s">
        <v>23</v>
      </c>
      <c r="C357" s="17" t="s">
        <v>259</v>
      </c>
      <c r="D357" s="17" t="s">
        <v>345</v>
      </c>
      <c r="E357" s="17" t="s">
        <v>793</v>
      </c>
      <c r="F357" s="15" t="s">
        <v>27</v>
      </c>
      <c r="G357" s="17" t="s">
        <v>28</v>
      </c>
      <c r="H357" s="17" t="s">
        <v>1586</v>
      </c>
      <c r="I357" s="17" t="s">
        <v>212</v>
      </c>
      <c r="J357" s="17" t="s">
        <v>45</v>
      </c>
      <c r="K357" s="17" t="s">
        <v>122</v>
      </c>
      <c r="L357" s="17" t="s">
        <v>263</v>
      </c>
      <c r="M357" s="17">
        <v>5</v>
      </c>
      <c r="N357" s="26">
        <v>45</v>
      </c>
      <c r="O357" s="17">
        <v>5</v>
      </c>
      <c r="P357" s="26">
        <v>213.75</v>
      </c>
      <c r="Q357" s="17">
        <v>1</v>
      </c>
      <c r="R357" s="17" t="s">
        <v>79</v>
      </c>
      <c r="S357" s="17" t="s">
        <v>115</v>
      </c>
      <c r="T357" s="15" t="s">
        <v>50</v>
      </c>
      <c r="U357" s="17">
        <v>9810433484</v>
      </c>
      <c r="V357" s="17" t="s">
        <v>38</v>
      </c>
      <c r="W357" s="29" t="str">
        <f t="shared" si="5"/>
        <v>Kav008Ja</v>
      </c>
    </row>
    <row r="358" spans="1:23" x14ac:dyDescent="0.5">
      <c r="A358" s="15" t="s">
        <v>1588</v>
      </c>
      <c r="B358" s="15" t="s">
        <v>251</v>
      </c>
      <c r="C358" s="15" t="s">
        <v>184</v>
      </c>
      <c r="D358" s="19" t="s">
        <v>2109</v>
      </c>
      <c r="E358" s="15" t="s">
        <v>1373</v>
      </c>
      <c r="F358" s="15" t="s">
        <v>254</v>
      </c>
      <c r="G358" s="15" t="s">
        <v>28</v>
      </c>
      <c r="H358" s="15" t="s">
        <v>1590</v>
      </c>
      <c r="I358" s="15" t="s">
        <v>105</v>
      </c>
      <c r="J358" s="15" t="s">
        <v>106</v>
      </c>
      <c r="K358" s="15" t="s">
        <v>46</v>
      </c>
      <c r="L358" s="15" t="s">
        <v>189</v>
      </c>
      <c r="M358" s="15">
        <v>3</v>
      </c>
      <c r="N358" s="25">
        <v>700</v>
      </c>
      <c r="O358" s="15">
        <v>15</v>
      </c>
      <c r="P358" s="25">
        <v>1785</v>
      </c>
      <c r="Q358" s="15">
        <v>4</v>
      </c>
      <c r="R358" s="15" t="s">
        <v>34</v>
      </c>
      <c r="S358" s="15" t="s">
        <v>151</v>
      </c>
      <c r="T358" s="15" t="s">
        <v>256</v>
      </c>
      <c r="U358" s="15">
        <v>9990243436</v>
      </c>
      <c r="V358" s="15" t="s">
        <v>38</v>
      </c>
      <c r="W358" s="29" t="str">
        <f t="shared" si="5"/>
        <v>Sne006Mu</v>
      </c>
    </row>
    <row r="359" spans="1:23" x14ac:dyDescent="0.5">
      <c r="A359" s="17" t="s">
        <v>1592</v>
      </c>
      <c r="B359" s="17" t="s">
        <v>71</v>
      </c>
      <c r="C359" s="17" t="s">
        <v>169</v>
      </c>
      <c r="D359" s="17" t="s">
        <v>454</v>
      </c>
      <c r="E359" s="17" t="s">
        <v>961</v>
      </c>
      <c r="F359" s="15" t="s">
        <v>217</v>
      </c>
      <c r="G359" s="17" t="s">
        <v>76</v>
      </c>
      <c r="H359" s="17" t="s">
        <v>1593</v>
      </c>
      <c r="I359" s="17" t="s">
        <v>212</v>
      </c>
      <c r="J359" s="17" t="s">
        <v>45</v>
      </c>
      <c r="K359" s="17" t="s">
        <v>32</v>
      </c>
      <c r="L359" s="17" t="s">
        <v>174</v>
      </c>
      <c r="M359" s="17">
        <v>12</v>
      </c>
      <c r="N359" s="26">
        <v>8500</v>
      </c>
      <c r="O359" s="17">
        <v>5</v>
      </c>
      <c r="P359" s="26">
        <v>96900</v>
      </c>
      <c r="Q359" s="17">
        <v>3</v>
      </c>
      <c r="R359" s="17" t="s">
        <v>79</v>
      </c>
      <c r="S359" s="17" t="s">
        <v>61</v>
      </c>
      <c r="T359" s="15" t="s">
        <v>80</v>
      </c>
      <c r="U359" s="17">
        <v>9396678031</v>
      </c>
      <c r="V359" s="17" t="s">
        <v>64</v>
      </c>
      <c r="W359" s="29" t="str">
        <f t="shared" si="5"/>
        <v>Moh009Ja</v>
      </c>
    </row>
    <row r="360" spans="1:23" x14ac:dyDescent="0.5">
      <c r="A360" s="15" t="s">
        <v>1595</v>
      </c>
      <c r="B360" s="15" t="s">
        <v>251</v>
      </c>
      <c r="C360" s="15" t="s">
        <v>169</v>
      </c>
      <c r="D360" s="15" t="s">
        <v>162</v>
      </c>
      <c r="E360" s="15" t="s">
        <v>356</v>
      </c>
      <c r="F360" s="15" t="s">
        <v>254</v>
      </c>
      <c r="G360" s="15" t="s">
        <v>28</v>
      </c>
      <c r="H360" s="15" t="s">
        <v>1596</v>
      </c>
      <c r="I360" s="15" t="s">
        <v>114</v>
      </c>
      <c r="J360" s="15" t="s">
        <v>106</v>
      </c>
      <c r="K360" s="15" t="s">
        <v>32</v>
      </c>
      <c r="L360" s="15" t="s">
        <v>174</v>
      </c>
      <c r="M360" s="15">
        <v>4</v>
      </c>
      <c r="N360" s="25">
        <v>8500</v>
      </c>
      <c r="O360" s="15">
        <v>15</v>
      </c>
      <c r="P360" s="25">
        <v>28900</v>
      </c>
      <c r="Q360" s="15">
        <v>4</v>
      </c>
      <c r="R360" s="15" t="s">
        <v>48</v>
      </c>
      <c r="S360" s="15" t="s">
        <v>61</v>
      </c>
      <c r="T360" s="15" t="s">
        <v>256</v>
      </c>
      <c r="U360" s="15">
        <v>9818591245</v>
      </c>
      <c r="V360" s="15" t="s">
        <v>64</v>
      </c>
      <c r="W360" s="29" t="str">
        <f t="shared" si="5"/>
        <v>Sne006Pu</v>
      </c>
    </row>
    <row r="361" spans="1:23" x14ac:dyDescent="0.5">
      <c r="A361" s="17" t="s">
        <v>1598</v>
      </c>
      <c r="B361" s="17" t="s">
        <v>127</v>
      </c>
      <c r="C361" s="17" t="s">
        <v>222</v>
      </c>
      <c r="D361" s="17" t="s">
        <v>102</v>
      </c>
      <c r="E361" s="17" t="s">
        <v>953</v>
      </c>
      <c r="F361" s="15" t="s">
        <v>200</v>
      </c>
      <c r="G361" s="17" t="s">
        <v>76</v>
      </c>
      <c r="H361" s="17" t="s">
        <v>1599</v>
      </c>
      <c r="I361" s="17" t="s">
        <v>212</v>
      </c>
      <c r="J361" s="17" t="s">
        <v>45</v>
      </c>
      <c r="K361" s="17" t="s">
        <v>122</v>
      </c>
      <c r="L361" s="17" t="s">
        <v>227</v>
      </c>
      <c r="M361" s="17">
        <v>16</v>
      </c>
      <c r="N361" s="26">
        <v>20</v>
      </c>
      <c r="O361" s="17">
        <v>10</v>
      </c>
      <c r="P361" s="26">
        <v>288</v>
      </c>
      <c r="Q361" s="17">
        <v>4</v>
      </c>
      <c r="R361" s="17" t="s">
        <v>34</v>
      </c>
      <c r="S361" s="17" t="s">
        <v>115</v>
      </c>
      <c r="T361" s="15" t="s">
        <v>132</v>
      </c>
      <c r="U361" s="17">
        <v>9505550047</v>
      </c>
      <c r="V361" s="17" t="s">
        <v>69</v>
      </c>
      <c r="W361" s="29" t="str">
        <f t="shared" si="5"/>
        <v>Roh003Ja</v>
      </c>
    </row>
    <row r="362" spans="1:23" x14ac:dyDescent="0.5">
      <c r="A362" s="15" t="s">
        <v>1601</v>
      </c>
      <c r="B362" s="15" t="s">
        <v>127</v>
      </c>
      <c r="C362" s="15" t="s">
        <v>118</v>
      </c>
      <c r="D362" s="15" t="s">
        <v>601</v>
      </c>
      <c r="E362" s="15" t="s">
        <v>1602</v>
      </c>
      <c r="F362" s="15" t="s">
        <v>200</v>
      </c>
      <c r="G362" s="15" t="s">
        <v>76</v>
      </c>
      <c r="H362" s="15" t="s">
        <v>1603</v>
      </c>
      <c r="I362" s="15" t="s">
        <v>105</v>
      </c>
      <c r="J362" s="15" t="s">
        <v>106</v>
      </c>
      <c r="K362" s="15" t="s">
        <v>122</v>
      </c>
      <c r="L362" s="15" t="s">
        <v>123</v>
      </c>
      <c r="M362" s="15">
        <v>3</v>
      </c>
      <c r="N362" s="25">
        <v>60</v>
      </c>
      <c r="O362" s="15">
        <v>20</v>
      </c>
      <c r="P362" s="25">
        <v>144</v>
      </c>
      <c r="Q362" s="15">
        <v>4</v>
      </c>
      <c r="R362" s="15" t="s">
        <v>88</v>
      </c>
      <c r="S362" s="15" t="s">
        <v>151</v>
      </c>
      <c r="T362" s="15" t="s">
        <v>132</v>
      </c>
      <c r="U362" s="15">
        <v>9469828772</v>
      </c>
      <c r="V362" s="15" t="s">
        <v>64</v>
      </c>
      <c r="W362" s="29" t="str">
        <f t="shared" si="5"/>
        <v>Roh003Mu</v>
      </c>
    </row>
    <row r="363" spans="1:23" x14ac:dyDescent="0.5">
      <c r="A363" s="17" t="s">
        <v>1605</v>
      </c>
      <c r="B363" s="17" t="s">
        <v>71</v>
      </c>
      <c r="C363" s="17" t="s">
        <v>24</v>
      </c>
      <c r="D363" s="17" t="s">
        <v>1106</v>
      </c>
      <c r="E363" s="17" t="s">
        <v>155</v>
      </c>
      <c r="F363" s="15" t="s">
        <v>217</v>
      </c>
      <c r="G363" s="17" t="s">
        <v>76</v>
      </c>
      <c r="H363" s="17" t="s">
        <v>1606</v>
      </c>
      <c r="I363" s="17" t="s">
        <v>105</v>
      </c>
      <c r="J363" s="17" t="s">
        <v>106</v>
      </c>
      <c r="K363" s="17" t="s">
        <v>32</v>
      </c>
      <c r="L363" s="17" t="s">
        <v>33</v>
      </c>
      <c r="M363" s="17">
        <v>19</v>
      </c>
      <c r="N363" s="26">
        <v>2200</v>
      </c>
      <c r="O363" s="17">
        <v>10</v>
      </c>
      <c r="P363" s="26">
        <v>37620</v>
      </c>
      <c r="Q363" s="17">
        <v>2</v>
      </c>
      <c r="R363" s="17" t="s">
        <v>34</v>
      </c>
      <c r="S363" s="17" t="s">
        <v>151</v>
      </c>
      <c r="T363" s="15" t="s">
        <v>80</v>
      </c>
      <c r="U363" s="17">
        <v>9885092680</v>
      </c>
      <c r="V363" s="17" t="s">
        <v>64</v>
      </c>
      <c r="W363" s="29" t="str">
        <f t="shared" si="5"/>
        <v>Moh009Mu</v>
      </c>
    </row>
    <row r="364" spans="1:23" x14ac:dyDescent="0.5">
      <c r="A364" s="15" t="s">
        <v>1608</v>
      </c>
      <c r="B364" s="15" t="s">
        <v>71</v>
      </c>
      <c r="C364" s="15" t="s">
        <v>72</v>
      </c>
      <c r="D364" s="15" t="s">
        <v>1609</v>
      </c>
      <c r="E364" s="15" t="s">
        <v>588</v>
      </c>
      <c r="F364" s="15" t="s">
        <v>217</v>
      </c>
      <c r="G364" s="15" t="s">
        <v>76</v>
      </c>
      <c r="H364" s="15" t="s">
        <v>1610</v>
      </c>
      <c r="I364" s="15" t="s">
        <v>30</v>
      </c>
      <c r="J364" s="15" t="s">
        <v>31</v>
      </c>
      <c r="K364" s="15" t="s">
        <v>46</v>
      </c>
      <c r="L364" s="15" t="s">
        <v>78</v>
      </c>
      <c r="M364" s="15">
        <v>7</v>
      </c>
      <c r="N364" s="25">
        <v>1200</v>
      </c>
      <c r="O364" s="15">
        <v>20</v>
      </c>
      <c r="P364" s="25">
        <v>6720</v>
      </c>
      <c r="Q364" s="15">
        <v>3</v>
      </c>
      <c r="R364" s="15" t="s">
        <v>79</v>
      </c>
      <c r="S364" s="15" t="s">
        <v>115</v>
      </c>
      <c r="T364" s="15" t="s">
        <v>80</v>
      </c>
      <c r="U364" s="15">
        <v>9362319457</v>
      </c>
      <c r="V364" s="15" t="s">
        <v>69</v>
      </c>
      <c r="W364" s="29" t="str">
        <f t="shared" si="5"/>
        <v>Moh009Hy</v>
      </c>
    </row>
    <row r="365" spans="1:23" x14ac:dyDescent="0.5">
      <c r="A365" s="17" t="s">
        <v>1612</v>
      </c>
      <c r="B365" s="17" t="s">
        <v>53</v>
      </c>
      <c r="C365" s="17" t="s">
        <v>222</v>
      </c>
      <c r="D365" s="17" t="s">
        <v>543</v>
      </c>
      <c r="E365" s="17" t="s">
        <v>65</v>
      </c>
      <c r="F365" s="15" t="s">
        <v>163</v>
      </c>
      <c r="G365" s="17" t="s">
        <v>28</v>
      </c>
      <c r="H365" s="17" t="s">
        <v>1613</v>
      </c>
      <c r="I365" s="17" t="s">
        <v>59</v>
      </c>
      <c r="J365" s="17" t="s">
        <v>31</v>
      </c>
      <c r="K365" s="17" t="s">
        <v>122</v>
      </c>
      <c r="L365" s="17" t="s">
        <v>227</v>
      </c>
      <c r="M365" s="17">
        <v>20</v>
      </c>
      <c r="N365" s="26">
        <v>20</v>
      </c>
      <c r="O365" s="17">
        <v>20</v>
      </c>
      <c r="P365" s="26">
        <v>320</v>
      </c>
      <c r="Q365" s="17">
        <v>5</v>
      </c>
      <c r="R365" s="17" t="s">
        <v>79</v>
      </c>
      <c r="S365" s="17" t="s">
        <v>115</v>
      </c>
      <c r="T365" s="15" t="s">
        <v>62</v>
      </c>
      <c r="U365" s="17">
        <v>9223945130</v>
      </c>
      <c r="V365" s="17" t="s">
        <v>64</v>
      </c>
      <c r="W365" s="29" t="str">
        <f t="shared" si="5"/>
        <v>Poo010Be</v>
      </c>
    </row>
    <row r="366" spans="1:23" x14ac:dyDescent="0.5">
      <c r="A366" s="15" t="s">
        <v>1615</v>
      </c>
      <c r="B366" s="15" t="s">
        <v>100</v>
      </c>
      <c r="C366" s="15" t="s">
        <v>72</v>
      </c>
      <c r="D366" s="15" t="s">
        <v>210</v>
      </c>
      <c r="E366" s="15" t="s">
        <v>1616</v>
      </c>
      <c r="F366" s="15" t="s">
        <v>103</v>
      </c>
      <c r="G366" s="15" t="s">
        <v>28</v>
      </c>
      <c r="H366" s="15" t="s">
        <v>1617</v>
      </c>
      <c r="I366" s="15" t="s">
        <v>30</v>
      </c>
      <c r="J366" s="15" t="s">
        <v>31</v>
      </c>
      <c r="K366" s="15" t="s">
        <v>46</v>
      </c>
      <c r="L366" s="15" t="s">
        <v>78</v>
      </c>
      <c r="M366" s="15">
        <v>19</v>
      </c>
      <c r="N366" s="25">
        <v>1200</v>
      </c>
      <c r="O366" s="15">
        <v>5</v>
      </c>
      <c r="P366" s="25">
        <v>21660</v>
      </c>
      <c r="Q366" s="15">
        <v>3</v>
      </c>
      <c r="R366" s="15" t="s">
        <v>79</v>
      </c>
      <c r="S366" s="15" t="s">
        <v>35</v>
      </c>
      <c r="T366" s="15" t="s">
        <v>144</v>
      </c>
      <c r="U366" s="15">
        <v>9910804926</v>
      </c>
      <c r="V366" s="15" t="s">
        <v>64</v>
      </c>
      <c r="W366" s="29" t="str">
        <f t="shared" si="5"/>
        <v>Pri002Hy</v>
      </c>
    </row>
    <row r="367" spans="1:23" x14ac:dyDescent="0.5">
      <c r="A367" s="17" t="s">
        <v>1619</v>
      </c>
      <c r="B367" s="17" t="s">
        <v>53</v>
      </c>
      <c r="C367" s="17" t="s">
        <v>222</v>
      </c>
      <c r="D367" s="17" t="s">
        <v>1620</v>
      </c>
      <c r="E367" s="17" t="s">
        <v>302</v>
      </c>
      <c r="F367" s="15" t="s">
        <v>163</v>
      </c>
      <c r="G367" s="17" t="s">
        <v>28</v>
      </c>
      <c r="H367" s="17" t="s">
        <v>1621</v>
      </c>
      <c r="I367" s="17" t="s">
        <v>30</v>
      </c>
      <c r="J367" s="17" t="s">
        <v>31</v>
      </c>
      <c r="K367" s="17" t="s">
        <v>122</v>
      </c>
      <c r="L367" s="17" t="s">
        <v>227</v>
      </c>
      <c r="M367" s="17">
        <v>5</v>
      </c>
      <c r="N367" s="26">
        <v>20</v>
      </c>
      <c r="O367" s="17">
        <v>0</v>
      </c>
      <c r="P367" s="26">
        <v>100</v>
      </c>
      <c r="Q367" s="17">
        <v>2</v>
      </c>
      <c r="R367" s="17" t="s">
        <v>88</v>
      </c>
      <c r="S367" s="17" t="s">
        <v>49</v>
      </c>
      <c r="T367" s="15" t="s">
        <v>62</v>
      </c>
      <c r="U367" s="17">
        <v>9274269744</v>
      </c>
      <c r="V367" s="17" t="s">
        <v>64</v>
      </c>
      <c r="W367" s="29" t="str">
        <f t="shared" si="5"/>
        <v>Poo010Hy</v>
      </c>
    </row>
    <row r="368" spans="1:23" x14ac:dyDescent="0.5">
      <c r="A368" s="15" t="s">
        <v>1623</v>
      </c>
      <c r="B368" s="15" t="s">
        <v>100</v>
      </c>
      <c r="C368" s="15" t="s">
        <v>259</v>
      </c>
      <c r="D368" s="15" t="s">
        <v>797</v>
      </c>
      <c r="E368" s="15" t="s">
        <v>543</v>
      </c>
      <c r="F368" s="15" t="s">
        <v>103</v>
      </c>
      <c r="G368" s="15" t="s">
        <v>28</v>
      </c>
      <c r="H368" s="15" t="s">
        <v>1624</v>
      </c>
      <c r="I368" s="15" t="s">
        <v>212</v>
      </c>
      <c r="J368" s="15" t="s">
        <v>45</v>
      </c>
      <c r="K368" s="15" t="s">
        <v>122</v>
      </c>
      <c r="L368" s="15" t="s">
        <v>263</v>
      </c>
      <c r="M368" s="15">
        <v>16</v>
      </c>
      <c r="N368" s="25">
        <v>45</v>
      </c>
      <c r="O368" s="15">
        <v>15</v>
      </c>
      <c r="P368" s="25">
        <v>612</v>
      </c>
      <c r="Q368" s="15">
        <v>5</v>
      </c>
      <c r="R368" s="15" t="s">
        <v>34</v>
      </c>
      <c r="S368" s="15" t="s">
        <v>61</v>
      </c>
      <c r="T368" s="15" t="s">
        <v>144</v>
      </c>
      <c r="U368" s="15">
        <v>9223196101</v>
      </c>
      <c r="V368" s="15" t="s">
        <v>69</v>
      </c>
      <c r="W368" s="29" t="str">
        <f t="shared" si="5"/>
        <v>Pri002Ja</v>
      </c>
    </row>
    <row r="369" spans="1:23" x14ac:dyDescent="0.5">
      <c r="A369" s="17" t="s">
        <v>1626</v>
      </c>
      <c r="B369" s="17" t="s">
        <v>23</v>
      </c>
      <c r="C369" s="17" t="s">
        <v>24</v>
      </c>
      <c r="D369" s="17" t="s">
        <v>1263</v>
      </c>
      <c r="E369" s="17" t="s">
        <v>944</v>
      </c>
      <c r="F369" s="15" t="s">
        <v>27</v>
      </c>
      <c r="G369" s="17" t="s">
        <v>28</v>
      </c>
      <c r="H369" s="17" t="s">
        <v>1627</v>
      </c>
      <c r="I369" s="17" t="s">
        <v>212</v>
      </c>
      <c r="J369" s="17" t="s">
        <v>45</v>
      </c>
      <c r="K369" s="17" t="s">
        <v>32</v>
      </c>
      <c r="L369" s="17" t="s">
        <v>33</v>
      </c>
      <c r="M369" s="17">
        <v>1</v>
      </c>
      <c r="N369" s="26">
        <v>2200</v>
      </c>
      <c r="O369" s="17">
        <v>10</v>
      </c>
      <c r="P369" s="26">
        <v>1980</v>
      </c>
      <c r="Q369" s="17">
        <v>5</v>
      </c>
      <c r="R369" s="17" t="s">
        <v>79</v>
      </c>
      <c r="S369" s="17" t="s">
        <v>49</v>
      </c>
      <c r="T369" s="15" t="s">
        <v>50</v>
      </c>
      <c r="U369" s="17">
        <v>9888477457</v>
      </c>
      <c r="V369" s="17" t="s">
        <v>38</v>
      </c>
      <c r="W369" s="29" t="str">
        <f t="shared" si="5"/>
        <v>Kav008Ja</v>
      </c>
    </row>
    <row r="370" spans="1:23" x14ac:dyDescent="0.5">
      <c r="A370" s="15" t="s">
        <v>1629</v>
      </c>
      <c r="B370" s="15" t="s">
        <v>53</v>
      </c>
      <c r="C370" s="15" t="s">
        <v>118</v>
      </c>
      <c r="D370" s="15" t="s">
        <v>891</v>
      </c>
      <c r="E370" s="15" t="s">
        <v>1630</v>
      </c>
      <c r="F370" s="15" t="s">
        <v>163</v>
      </c>
      <c r="G370" s="15" t="s">
        <v>28</v>
      </c>
      <c r="H370" s="15" t="s">
        <v>1631</v>
      </c>
      <c r="I370" s="15" t="s">
        <v>30</v>
      </c>
      <c r="J370" s="15" t="s">
        <v>31</v>
      </c>
      <c r="K370" s="15" t="s">
        <v>122</v>
      </c>
      <c r="L370" s="15" t="s">
        <v>123</v>
      </c>
      <c r="M370" s="15">
        <v>19</v>
      </c>
      <c r="N370" s="25">
        <v>60</v>
      </c>
      <c r="O370" s="15">
        <v>15</v>
      </c>
      <c r="P370" s="25">
        <v>969</v>
      </c>
      <c r="Q370" s="15">
        <v>4</v>
      </c>
      <c r="R370" s="15" t="s">
        <v>48</v>
      </c>
      <c r="S370" s="15" t="s">
        <v>115</v>
      </c>
      <c r="T370" s="15" t="s">
        <v>62</v>
      </c>
      <c r="U370" s="15">
        <v>9435947486</v>
      </c>
      <c r="V370" s="15" t="s">
        <v>69</v>
      </c>
      <c r="W370" s="29" t="str">
        <f t="shared" si="5"/>
        <v>Poo010Hy</v>
      </c>
    </row>
    <row r="371" spans="1:23" x14ac:dyDescent="0.5">
      <c r="A371" s="17" t="s">
        <v>1633</v>
      </c>
      <c r="B371" s="17" t="s">
        <v>327</v>
      </c>
      <c r="C371" s="17" t="s">
        <v>54</v>
      </c>
      <c r="D371" s="17" t="s">
        <v>2109</v>
      </c>
      <c r="E371" s="17" t="s">
        <v>1634</v>
      </c>
      <c r="F371" s="15" t="s">
        <v>394</v>
      </c>
      <c r="G371" s="17" t="s">
        <v>76</v>
      </c>
      <c r="H371" s="17" t="s">
        <v>1635</v>
      </c>
      <c r="I371" s="17" t="s">
        <v>44</v>
      </c>
      <c r="J371" s="17" t="s">
        <v>45</v>
      </c>
      <c r="K371" s="17" t="s">
        <v>46</v>
      </c>
      <c r="L371" s="17" t="s">
        <v>60</v>
      </c>
      <c r="M371" s="17">
        <v>15</v>
      </c>
      <c r="N371" s="26">
        <v>55000</v>
      </c>
      <c r="O371" s="17">
        <v>0</v>
      </c>
      <c r="P371" s="26">
        <v>825000</v>
      </c>
      <c r="Q371" s="17">
        <v>5</v>
      </c>
      <c r="R371" s="17" t="s">
        <v>79</v>
      </c>
      <c r="S371" s="17" t="s">
        <v>115</v>
      </c>
      <c r="T371" s="15" t="s">
        <v>332</v>
      </c>
      <c r="U371" s="17">
        <v>9411668831</v>
      </c>
      <c r="V371" s="17" t="s">
        <v>69</v>
      </c>
      <c r="W371" s="29" t="str">
        <f t="shared" si="5"/>
        <v>Ami001De</v>
      </c>
    </row>
    <row r="372" spans="1:23" x14ac:dyDescent="0.5">
      <c r="A372" s="15" t="s">
        <v>1637</v>
      </c>
      <c r="B372" s="15" t="s">
        <v>71</v>
      </c>
      <c r="C372" s="15" t="s">
        <v>259</v>
      </c>
      <c r="D372" s="15" t="s">
        <v>941</v>
      </c>
      <c r="E372" s="15" t="s">
        <v>1638</v>
      </c>
      <c r="F372" s="15" t="s">
        <v>217</v>
      </c>
      <c r="G372" s="15" t="s">
        <v>76</v>
      </c>
      <c r="H372" s="15" t="s">
        <v>1639</v>
      </c>
      <c r="I372" s="15" t="s">
        <v>59</v>
      </c>
      <c r="J372" s="15" t="s">
        <v>31</v>
      </c>
      <c r="K372" s="15" t="s">
        <v>122</v>
      </c>
      <c r="L372" s="15" t="s">
        <v>263</v>
      </c>
      <c r="M372" s="15">
        <v>11</v>
      </c>
      <c r="N372" s="25">
        <v>45</v>
      </c>
      <c r="O372" s="15">
        <v>5</v>
      </c>
      <c r="P372" s="25">
        <v>470.25</v>
      </c>
      <c r="Q372" s="15">
        <v>5</v>
      </c>
      <c r="R372" s="15" t="s">
        <v>48</v>
      </c>
      <c r="S372" s="15" t="s">
        <v>151</v>
      </c>
      <c r="T372" s="15" t="s">
        <v>80</v>
      </c>
      <c r="U372" s="15">
        <v>9523682403</v>
      </c>
      <c r="V372" s="15" t="s">
        <v>38</v>
      </c>
      <c r="W372" s="29" t="str">
        <f t="shared" si="5"/>
        <v>Moh009Be</v>
      </c>
    </row>
    <row r="373" spans="1:23" x14ac:dyDescent="0.5">
      <c r="A373" s="17" t="s">
        <v>1641</v>
      </c>
      <c r="B373" s="17" t="s">
        <v>251</v>
      </c>
      <c r="C373" s="17" t="s">
        <v>222</v>
      </c>
      <c r="D373" s="17" t="s">
        <v>1642</v>
      </c>
      <c r="E373" s="17" t="s">
        <v>1643</v>
      </c>
      <c r="F373" s="15" t="s">
        <v>254</v>
      </c>
      <c r="G373" s="17" t="s">
        <v>28</v>
      </c>
      <c r="H373" s="17" t="s">
        <v>1644</v>
      </c>
      <c r="I373" s="17" t="s">
        <v>212</v>
      </c>
      <c r="J373" s="17" t="s">
        <v>45</v>
      </c>
      <c r="K373" s="17" t="s">
        <v>122</v>
      </c>
      <c r="L373" s="17" t="s">
        <v>227</v>
      </c>
      <c r="M373" s="17">
        <v>9</v>
      </c>
      <c r="N373" s="26">
        <v>20</v>
      </c>
      <c r="O373" s="17">
        <v>10</v>
      </c>
      <c r="P373" s="26">
        <v>162</v>
      </c>
      <c r="Q373" s="17">
        <v>1</v>
      </c>
      <c r="R373" s="17" t="s">
        <v>79</v>
      </c>
      <c r="S373" s="17" t="s">
        <v>49</v>
      </c>
      <c r="T373" s="15" t="s">
        <v>256</v>
      </c>
      <c r="U373" s="17">
        <v>9652936744</v>
      </c>
      <c r="V373" s="17" t="s">
        <v>69</v>
      </c>
      <c r="W373" s="29" t="str">
        <f t="shared" si="5"/>
        <v>Sne006Ja</v>
      </c>
    </row>
    <row r="374" spans="1:23" x14ac:dyDescent="0.5">
      <c r="A374" s="15" t="s">
        <v>1646</v>
      </c>
      <c r="B374" s="15" t="s">
        <v>168</v>
      </c>
      <c r="C374" s="15" t="s">
        <v>259</v>
      </c>
      <c r="D374" s="15" t="s">
        <v>645</v>
      </c>
      <c r="E374" s="15" t="s">
        <v>980</v>
      </c>
      <c r="F374" s="15" t="s">
        <v>361</v>
      </c>
      <c r="G374" s="15" t="s">
        <v>28</v>
      </c>
      <c r="H374" s="15" t="s">
        <v>1647</v>
      </c>
      <c r="I374" s="15" t="s">
        <v>59</v>
      </c>
      <c r="J374" s="15" t="s">
        <v>31</v>
      </c>
      <c r="K374" s="15" t="s">
        <v>122</v>
      </c>
      <c r="L374" s="15" t="s">
        <v>263</v>
      </c>
      <c r="M374" s="15">
        <v>5</v>
      </c>
      <c r="N374" s="25">
        <v>45</v>
      </c>
      <c r="O374" s="15">
        <v>5</v>
      </c>
      <c r="P374" s="25">
        <v>213.75</v>
      </c>
      <c r="Q374" s="15">
        <v>3</v>
      </c>
      <c r="R374" s="15" t="s">
        <v>79</v>
      </c>
      <c r="S374" s="15" t="s">
        <v>115</v>
      </c>
      <c r="T374" s="15" t="s">
        <v>175</v>
      </c>
      <c r="U374" s="15">
        <v>9726464733</v>
      </c>
      <c r="V374" s="15" t="s">
        <v>64</v>
      </c>
      <c r="W374" s="29" t="str">
        <f t="shared" si="5"/>
        <v>Ani004Be</v>
      </c>
    </row>
    <row r="375" spans="1:23" x14ac:dyDescent="0.5">
      <c r="A375" s="17" t="s">
        <v>1649</v>
      </c>
      <c r="B375" s="17" t="s">
        <v>83</v>
      </c>
      <c r="C375" s="17" t="s">
        <v>184</v>
      </c>
      <c r="D375" s="17" t="s">
        <v>1650</v>
      </c>
      <c r="E375" s="17" t="s">
        <v>1102</v>
      </c>
      <c r="F375" s="15" t="s">
        <v>180</v>
      </c>
      <c r="G375" s="17" t="s">
        <v>76</v>
      </c>
      <c r="H375" s="17" t="s">
        <v>1651</v>
      </c>
      <c r="I375" s="17" t="s">
        <v>30</v>
      </c>
      <c r="J375" s="17" t="s">
        <v>31</v>
      </c>
      <c r="K375" s="17" t="s">
        <v>46</v>
      </c>
      <c r="L375" s="17" t="s">
        <v>189</v>
      </c>
      <c r="M375" s="17">
        <v>5</v>
      </c>
      <c r="N375" s="26">
        <v>700</v>
      </c>
      <c r="O375" s="17">
        <v>10</v>
      </c>
      <c r="P375" s="26">
        <v>3150</v>
      </c>
      <c r="Q375" s="17">
        <v>2</v>
      </c>
      <c r="R375" s="17" t="s">
        <v>88</v>
      </c>
      <c r="S375" s="17" t="s">
        <v>49</v>
      </c>
      <c r="T375" s="15" t="s">
        <v>89</v>
      </c>
      <c r="U375" s="17">
        <v>9273520544</v>
      </c>
      <c r="V375" s="17" t="s">
        <v>38</v>
      </c>
      <c r="W375" s="29" t="str">
        <f t="shared" si="5"/>
        <v>Arj007Hy</v>
      </c>
    </row>
    <row r="376" spans="1:23" x14ac:dyDescent="0.5">
      <c r="A376" s="15" t="s">
        <v>1653</v>
      </c>
      <c r="B376" s="15" t="s">
        <v>221</v>
      </c>
      <c r="C376" s="15" t="s">
        <v>184</v>
      </c>
      <c r="D376" s="15" t="s">
        <v>957</v>
      </c>
      <c r="E376" s="15" t="s">
        <v>1654</v>
      </c>
      <c r="F376" s="15" t="s">
        <v>225</v>
      </c>
      <c r="G376" s="15" t="s">
        <v>76</v>
      </c>
      <c r="H376" s="15" t="s">
        <v>1655</v>
      </c>
      <c r="I376" s="15" t="s">
        <v>294</v>
      </c>
      <c r="J376" s="15" t="s">
        <v>295</v>
      </c>
      <c r="K376" s="15" t="s">
        <v>46</v>
      </c>
      <c r="L376" s="15" t="s">
        <v>189</v>
      </c>
      <c r="M376" s="15">
        <v>1</v>
      </c>
      <c r="N376" s="25">
        <v>700</v>
      </c>
      <c r="O376" s="15">
        <v>0</v>
      </c>
      <c r="P376" s="25">
        <v>700</v>
      </c>
      <c r="Q376" s="15">
        <v>1</v>
      </c>
      <c r="R376" s="15" t="s">
        <v>88</v>
      </c>
      <c r="S376" s="15" t="s">
        <v>151</v>
      </c>
      <c r="T376" s="15" t="s">
        <v>228</v>
      </c>
      <c r="U376" s="15">
        <v>9374259988</v>
      </c>
      <c r="V376" s="15" t="s">
        <v>38</v>
      </c>
      <c r="W376" s="29" t="str">
        <f t="shared" si="5"/>
        <v>Vik005Ko</v>
      </c>
    </row>
    <row r="377" spans="1:23" x14ac:dyDescent="0.5">
      <c r="A377" s="17" t="s">
        <v>1657</v>
      </c>
      <c r="B377" s="17" t="s">
        <v>23</v>
      </c>
      <c r="C377" s="17" t="s">
        <v>184</v>
      </c>
      <c r="D377" s="17" t="s">
        <v>1368</v>
      </c>
      <c r="E377" s="17" t="s">
        <v>923</v>
      </c>
      <c r="F377" s="15" t="s">
        <v>27</v>
      </c>
      <c r="G377" s="17" t="s">
        <v>28</v>
      </c>
      <c r="H377" s="17" t="s">
        <v>1658</v>
      </c>
      <c r="I377" s="17" t="s">
        <v>105</v>
      </c>
      <c r="J377" s="17" t="s">
        <v>106</v>
      </c>
      <c r="K377" s="17" t="s">
        <v>46</v>
      </c>
      <c r="L377" s="17" t="s">
        <v>189</v>
      </c>
      <c r="M377" s="17">
        <v>13</v>
      </c>
      <c r="N377" s="26">
        <v>700</v>
      </c>
      <c r="O377" s="17">
        <v>20</v>
      </c>
      <c r="P377" s="26">
        <v>7280</v>
      </c>
      <c r="Q377" s="17">
        <v>2</v>
      </c>
      <c r="R377" s="17" t="s">
        <v>79</v>
      </c>
      <c r="S377" s="17" t="s">
        <v>35</v>
      </c>
      <c r="T377" s="15" t="s">
        <v>50</v>
      </c>
      <c r="U377" s="17">
        <v>9538129419</v>
      </c>
      <c r="V377" s="17" t="s">
        <v>38</v>
      </c>
      <c r="W377" s="29" t="str">
        <f t="shared" si="5"/>
        <v>Kav008Mu</v>
      </c>
    </row>
    <row r="378" spans="1:23" x14ac:dyDescent="0.5">
      <c r="A378" s="15" t="s">
        <v>1660</v>
      </c>
      <c r="B378" s="15" t="s">
        <v>71</v>
      </c>
      <c r="C378" s="15" t="s">
        <v>40</v>
      </c>
      <c r="D378" s="15" t="s">
        <v>1153</v>
      </c>
      <c r="E378" s="15" t="s">
        <v>303</v>
      </c>
      <c r="F378" s="15" t="s">
        <v>217</v>
      </c>
      <c r="G378" s="15" t="s">
        <v>76</v>
      </c>
      <c r="H378" s="15" t="s">
        <v>1661</v>
      </c>
      <c r="I378" s="15" t="s">
        <v>114</v>
      </c>
      <c r="J378" s="15" t="s">
        <v>106</v>
      </c>
      <c r="K378" s="15" t="s">
        <v>46</v>
      </c>
      <c r="L378" s="15" t="s">
        <v>47</v>
      </c>
      <c r="M378" s="15">
        <v>20</v>
      </c>
      <c r="N378" s="25">
        <v>12000</v>
      </c>
      <c r="O378" s="15">
        <v>0</v>
      </c>
      <c r="P378" s="25">
        <v>240000</v>
      </c>
      <c r="Q378" s="15">
        <v>2</v>
      </c>
      <c r="R378" s="15" t="s">
        <v>79</v>
      </c>
      <c r="S378" s="15" t="s">
        <v>115</v>
      </c>
      <c r="T378" s="15" t="s">
        <v>80</v>
      </c>
      <c r="U378" s="15">
        <v>9382815686</v>
      </c>
      <c r="V378" s="15" t="s">
        <v>38</v>
      </c>
      <c r="W378" s="29" t="str">
        <f t="shared" si="5"/>
        <v>Moh009Pu</v>
      </c>
    </row>
    <row r="379" spans="1:23" x14ac:dyDescent="0.5">
      <c r="A379" s="17" t="s">
        <v>1663</v>
      </c>
      <c r="B379" s="17" t="s">
        <v>83</v>
      </c>
      <c r="C379" s="17" t="s">
        <v>72</v>
      </c>
      <c r="D379" s="17" t="s">
        <v>1198</v>
      </c>
      <c r="E379" s="17" t="s">
        <v>712</v>
      </c>
      <c r="F379" s="15" t="s">
        <v>180</v>
      </c>
      <c r="G379" s="17" t="s">
        <v>76</v>
      </c>
      <c r="H379" s="17" t="s">
        <v>1664</v>
      </c>
      <c r="I379" s="17" t="s">
        <v>294</v>
      </c>
      <c r="J379" s="17" t="s">
        <v>295</v>
      </c>
      <c r="K379" s="17" t="s">
        <v>46</v>
      </c>
      <c r="L379" s="17" t="s">
        <v>78</v>
      </c>
      <c r="M379" s="17">
        <v>9</v>
      </c>
      <c r="N379" s="26">
        <v>1200</v>
      </c>
      <c r="O379" s="17">
        <v>15</v>
      </c>
      <c r="P379" s="26">
        <v>9180</v>
      </c>
      <c r="Q379" s="17">
        <v>1</v>
      </c>
      <c r="R379" s="17" t="s">
        <v>88</v>
      </c>
      <c r="S379" s="17" t="s">
        <v>35</v>
      </c>
      <c r="T379" s="15" t="s">
        <v>89</v>
      </c>
      <c r="U379" s="17">
        <v>9450746157</v>
      </c>
      <c r="V379" s="17" t="s">
        <v>64</v>
      </c>
      <c r="W379" s="29" t="str">
        <f t="shared" si="5"/>
        <v>Arj007Ko</v>
      </c>
    </row>
    <row r="380" spans="1:23" x14ac:dyDescent="0.5">
      <c r="A380" s="15" t="s">
        <v>1666</v>
      </c>
      <c r="B380" s="15" t="s">
        <v>83</v>
      </c>
      <c r="C380" s="15" t="s">
        <v>222</v>
      </c>
      <c r="D380" s="15" t="s">
        <v>1221</v>
      </c>
      <c r="E380" s="15" t="s">
        <v>1667</v>
      </c>
      <c r="F380" s="15" t="s">
        <v>180</v>
      </c>
      <c r="G380" s="15" t="s">
        <v>76</v>
      </c>
      <c r="H380" s="15" t="s">
        <v>1668</v>
      </c>
      <c r="I380" s="15" t="s">
        <v>212</v>
      </c>
      <c r="J380" s="15" t="s">
        <v>45</v>
      </c>
      <c r="K380" s="15" t="s">
        <v>122</v>
      </c>
      <c r="L380" s="15" t="s">
        <v>227</v>
      </c>
      <c r="M380" s="15">
        <v>3</v>
      </c>
      <c r="N380" s="25">
        <v>20</v>
      </c>
      <c r="O380" s="15">
        <v>15</v>
      </c>
      <c r="P380" s="25">
        <v>51</v>
      </c>
      <c r="Q380" s="15">
        <v>3</v>
      </c>
      <c r="R380" s="15" t="s">
        <v>34</v>
      </c>
      <c r="S380" s="15" t="s">
        <v>115</v>
      </c>
      <c r="T380" s="15" t="s">
        <v>89</v>
      </c>
      <c r="U380" s="15">
        <v>9349012570</v>
      </c>
      <c r="V380" s="15" t="s">
        <v>64</v>
      </c>
      <c r="W380" s="29" t="str">
        <f t="shared" si="5"/>
        <v>Arj007Ja</v>
      </c>
    </row>
    <row r="381" spans="1:23" x14ac:dyDescent="0.5">
      <c r="A381" s="17" t="s">
        <v>1670</v>
      </c>
      <c r="B381" s="17" t="s">
        <v>251</v>
      </c>
      <c r="C381" s="17" t="s">
        <v>54</v>
      </c>
      <c r="D381" s="17" t="s">
        <v>788</v>
      </c>
      <c r="E381" s="17" t="s">
        <v>455</v>
      </c>
      <c r="F381" s="15" t="s">
        <v>254</v>
      </c>
      <c r="G381" s="17" t="s">
        <v>28</v>
      </c>
      <c r="H381" s="17" t="s">
        <v>1671</v>
      </c>
      <c r="I381" s="17" t="s">
        <v>44</v>
      </c>
      <c r="J381" s="17" t="s">
        <v>45</v>
      </c>
      <c r="K381" s="17" t="s">
        <v>46</v>
      </c>
      <c r="L381" s="17" t="s">
        <v>60</v>
      </c>
      <c r="M381" s="17">
        <v>8</v>
      </c>
      <c r="N381" s="26">
        <v>55000</v>
      </c>
      <c r="O381" s="17">
        <v>20</v>
      </c>
      <c r="P381" s="26">
        <v>352000</v>
      </c>
      <c r="Q381" s="17">
        <v>5</v>
      </c>
      <c r="R381" s="17" t="s">
        <v>79</v>
      </c>
      <c r="S381" s="17" t="s">
        <v>151</v>
      </c>
      <c r="T381" s="15" t="s">
        <v>256</v>
      </c>
      <c r="U381" s="17">
        <v>9442163790</v>
      </c>
      <c r="V381" s="17" t="s">
        <v>64</v>
      </c>
      <c r="W381" s="29" t="str">
        <f t="shared" si="5"/>
        <v>Sne006De</v>
      </c>
    </row>
    <row r="382" spans="1:23" x14ac:dyDescent="0.5">
      <c r="A382" s="15" t="s">
        <v>1673</v>
      </c>
      <c r="B382" s="15" t="s">
        <v>251</v>
      </c>
      <c r="C382" s="15" t="s">
        <v>118</v>
      </c>
      <c r="D382" s="15" t="s">
        <v>1311</v>
      </c>
      <c r="E382" s="15" t="s">
        <v>74</v>
      </c>
      <c r="F382" s="15" t="s">
        <v>254</v>
      </c>
      <c r="G382" s="15" t="s">
        <v>28</v>
      </c>
      <c r="H382" s="15" t="s">
        <v>1674</v>
      </c>
      <c r="I382" s="15" t="s">
        <v>44</v>
      </c>
      <c r="J382" s="15" t="s">
        <v>45</v>
      </c>
      <c r="K382" s="15" t="s">
        <v>122</v>
      </c>
      <c r="L382" s="15" t="s">
        <v>123</v>
      </c>
      <c r="M382" s="15">
        <v>17</v>
      </c>
      <c r="N382" s="25">
        <v>60</v>
      </c>
      <c r="O382" s="15">
        <v>20</v>
      </c>
      <c r="P382" s="25">
        <v>816</v>
      </c>
      <c r="Q382" s="15">
        <v>1</v>
      </c>
      <c r="R382" s="15" t="s">
        <v>88</v>
      </c>
      <c r="S382" s="15" t="s">
        <v>35</v>
      </c>
      <c r="T382" s="15" t="s">
        <v>256</v>
      </c>
      <c r="U382" s="15">
        <v>9953329223</v>
      </c>
      <c r="V382" s="15" t="s">
        <v>64</v>
      </c>
      <c r="W382" s="29" t="str">
        <f t="shared" si="5"/>
        <v>Sne006De</v>
      </c>
    </row>
    <row r="383" spans="1:23" x14ac:dyDescent="0.5">
      <c r="A383" s="17" t="s">
        <v>1676</v>
      </c>
      <c r="B383" s="17" t="s">
        <v>127</v>
      </c>
      <c r="C383" s="17" t="s">
        <v>222</v>
      </c>
      <c r="D383" s="17" t="s">
        <v>1677</v>
      </c>
      <c r="E383" s="17" t="s">
        <v>236</v>
      </c>
      <c r="F383" s="15" t="s">
        <v>200</v>
      </c>
      <c r="G383" s="17" t="s">
        <v>76</v>
      </c>
      <c r="H383" s="17" t="s">
        <v>1678</v>
      </c>
      <c r="I383" s="17" t="s">
        <v>59</v>
      </c>
      <c r="J383" s="17" t="s">
        <v>31</v>
      </c>
      <c r="K383" s="17" t="s">
        <v>122</v>
      </c>
      <c r="L383" s="17" t="s">
        <v>227</v>
      </c>
      <c r="M383" s="17">
        <v>4</v>
      </c>
      <c r="N383" s="26">
        <v>20</v>
      </c>
      <c r="O383" s="17">
        <v>15</v>
      </c>
      <c r="P383" s="26">
        <v>68</v>
      </c>
      <c r="Q383" s="17">
        <v>3</v>
      </c>
      <c r="R383" s="17" t="s">
        <v>48</v>
      </c>
      <c r="S383" s="17" t="s">
        <v>61</v>
      </c>
      <c r="T383" s="15" t="s">
        <v>132</v>
      </c>
      <c r="U383" s="17">
        <v>9202321359</v>
      </c>
      <c r="V383" s="17" t="s">
        <v>64</v>
      </c>
      <c r="W383" s="29" t="str">
        <f t="shared" si="5"/>
        <v>Roh003Be</v>
      </c>
    </row>
    <row r="384" spans="1:23" x14ac:dyDescent="0.5">
      <c r="A384" s="15" t="s">
        <v>1680</v>
      </c>
      <c r="B384" s="15" t="s">
        <v>127</v>
      </c>
      <c r="C384" s="15" t="s">
        <v>24</v>
      </c>
      <c r="D384" s="15" t="s">
        <v>1360</v>
      </c>
      <c r="E384" s="15" t="s">
        <v>775</v>
      </c>
      <c r="F384" s="15" t="s">
        <v>200</v>
      </c>
      <c r="G384" s="15" t="s">
        <v>76</v>
      </c>
      <c r="H384" s="15" t="s">
        <v>1682</v>
      </c>
      <c r="I384" s="15" t="s">
        <v>294</v>
      </c>
      <c r="J384" s="15" t="s">
        <v>295</v>
      </c>
      <c r="K384" s="15" t="s">
        <v>32</v>
      </c>
      <c r="L384" s="15" t="s">
        <v>33</v>
      </c>
      <c r="M384" s="15">
        <v>2</v>
      </c>
      <c r="N384" s="25">
        <v>2200</v>
      </c>
      <c r="O384" s="15">
        <v>10</v>
      </c>
      <c r="P384" s="25">
        <v>3960</v>
      </c>
      <c r="Q384" s="15">
        <v>2</v>
      </c>
      <c r="R384" s="15" t="s">
        <v>88</v>
      </c>
      <c r="S384" s="15" t="s">
        <v>49</v>
      </c>
      <c r="T384" s="15" t="s">
        <v>132</v>
      </c>
      <c r="U384" s="15">
        <v>9812564160</v>
      </c>
      <c r="V384" s="15" t="s">
        <v>64</v>
      </c>
      <c r="W384" s="29" t="str">
        <f t="shared" si="5"/>
        <v>Roh003Ko</v>
      </c>
    </row>
    <row r="385" spans="1:23" x14ac:dyDescent="0.5">
      <c r="A385" s="17" t="s">
        <v>1684</v>
      </c>
      <c r="B385" s="17" t="s">
        <v>221</v>
      </c>
      <c r="C385" s="17" t="s">
        <v>118</v>
      </c>
      <c r="D385" s="17" t="s">
        <v>366</v>
      </c>
      <c r="E385" s="17" t="s">
        <v>539</v>
      </c>
      <c r="F385" s="15" t="s">
        <v>225</v>
      </c>
      <c r="G385" s="17" t="s">
        <v>76</v>
      </c>
      <c r="H385" s="17" t="s">
        <v>1685</v>
      </c>
      <c r="I385" s="17" t="s">
        <v>59</v>
      </c>
      <c r="J385" s="17" t="s">
        <v>31</v>
      </c>
      <c r="K385" s="17" t="s">
        <v>122</v>
      </c>
      <c r="L385" s="17" t="s">
        <v>123</v>
      </c>
      <c r="M385" s="17">
        <v>5</v>
      </c>
      <c r="N385" s="26">
        <v>60</v>
      </c>
      <c r="O385" s="17">
        <v>5</v>
      </c>
      <c r="P385" s="26">
        <v>285</v>
      </c>
      <c r="Q385" s="17">
        <v>1</v>
      </c>
      <c r="R385" s="17" t="s">
        <v>88</v>
      </c>
      <c r="S385" s="17" t="s">
        <v>35</v>
      </c>
      <c r="T385" s="15" t="s">
        <v>228</v>
      </c>
      <c r="U385" s="17">
        <v>9688458222</v>
      </c>
      <c r="V385" s="17" t="s">
        <v>69</v>
      </c>
      <c r="W385" s="29" t="str">
        <f t="shared" si="5"/>
        <v>Vik005Be</v>
      </c>
    </row>
    <row r="386" spans="1:23" x14ac:dyDescent="0.5">
      <c r="A386" s="15" t="s">
        <v>1687</v>
      </c>
      <c r="B386" s="15" t="s">
        <v>127</v>
      </c>
      <c r="C386" s="15" t="s">
        <v>24</v>
      </c>
      <c r="D386" s="15" t="s">
        <v>1688</v>
      </c>
      <c r="E386" s="15" t="s">
        <v>1689</v>
      </c>
      <c r="F386" s="15" t="s">
        <v>200</v>
      </c>
      <c r="G386" s="15" t="s">
        <v>76</v>
      </c>
      <c r="H386" s="15" t="s">
        <v>1690</v>
      </c>
      <c r="I386" s="15" t="s">
        <v>44</v>
      </c>
      <c r="J386" s="15" t="s">
        <v>45</v>
      </c>
      <c r="K386" s="15" t="s">
        <v>32</v>
      </c>
      <c r="L386" s="15" t="s">
        <v>33</v>
      </c>
      <c r="M386" s="15">
        <v>17</v>
      </c>
      <c r="N386" s="25">
        <v>2200</v>
      </c>
      <c r="O386" s="15">
        <v>0</v>
      </c>
      <c r="P386" s="25">
        <v>37400</v>
      </c>
      <c r="Q386" s="15">
        <v>2</v>
      </c>
      <c r="R386" s="15" t="s">
        <v>88</v>
      </c>
      <c r="S386" s="15" t="s">
        <v>151</v>
      </c>
      <c r="T386" s="15" t="s">
        <v>132</v>
      </c>
      <c r="U386" s="15">
        <v>9634473337</v>
      </c>
      <c r="V386" s="15" t="s">
        <v>69</v>
      </c>
      <c r="W386" s="29" t="str">
        <f t="shared" si="5"/>
        <v>Roh003De</v>
      </c>
    </row>
    <row r="387" spans="1:23" x14ac:dyDescent="0.5">
      <c r="A387" s="17" t="s">
        <v>1692</v>
      </c>
      <c r="B387" s="17" t="s">
        <v>168</v>
      </c>
      <c r="C387" s="17" t="s">
        <v>118</v>
      </c>
      <c r="D387" s="17" t="s">
        <v>186</v>
      </c>
      <c r="E387" s="17" t="s">
        <v>610</v>
      </c>
      <c r="F387" s="15" t="s">
        <v>361</v>
      </c>
      <c r="G387" s="17" t="s">
        <v>28</v>
      </c>
      <c r="H387" s="17" t="s">
        <v>1693</v>
      </c>
      <c r="I387" s="17" t="s">
        <v>138</v>
      </c>
      <c r="J387" s="17" t="s">
        <v>106</v>
      </c>
      <c r="K387" s="17" t="s">
        <v>122</v>
      </c>
      <c r="L387" s="17" t="s">
        <v>123</v>
      </c>
      <c r="M387" s="17">
        <v>7</v>
      </c>
      <c r="N387" s="26">
        <v>60</v>
      </c>
      <c r="O387" s="17">
        <v>0</v>
      </c>
      <c r="P387" s="26">
        <v>420</v>
      </c>
      <c r="Q387" s="17">
        <v>2</v>
      </c>
      <c r="R387" s="17" t="s">
        <v>88</v>
      </c>
      <c r="S387" s="17" t="s">
        <v>61</v>
      </c>
      <c r="T387" s="15" t="s">
        <v>175</v>
      </c>
      <c r="U387" s="17">
        <v>9608737026</v>
      </c>
      <c r="V387" s="17" t="s">
        <v>64</v>
      </c>
      <c r="W387" s="29" t="str">
        <f t="shared" ref="W387:W450" si="6">LEFT(F387, 3) &amp; RIGHT(B387,3) &amp; LEFT(I387,2)</f>
        <v>Ani004Ah</v>
      </c>
    </row>
    <row r="388" spans="1:23" x14ac:dyDescent="0.5">
      <c r="A388" s="15" t="s">
        <v>1695</v>
      </c>
      <c r="B388" s="15" t="s">
        <v>221</v>
      </c>
      <c r="C388" s="15" t="s">
        <v>54</v>
      </c>
      <c r="D388" s="15" t="s">
        <v>702</v>
      </c>
      <c r="E388" s="15" t="s">
        <v>1696</v>
      </c>
      <c r="F388" s="15" t="s">
        <v>225</v>
      </c>
      <c r="G388" s="15" t="s">
        <v>76</v>
      </c>
      <c r="H388" s="15" t="s">
        <v>1697</v>
      </c>
      <c r="I388" s="15" t="s">
        <v>30</v>
      </c>
      <c r="J388" s="15" t="s">
        <v>31</v>
      </c>
      <c r="K388" s="15" t="s">
        <v>46</v>
      </c>
      <c r="L388" s="15" t="s">
        <v>60</v>
      </c>
      <c r="M388" s="15">
        <v>6</v>
      </c>
      <c r="N388" s="25">
        <v>55000</v>
      </c>
      <c r="O388" s="15">
        <v>5</v>
      </c>
      <c r="P388" s="25">
        <v>313500</v>
      </c>
      <c r="Q388" s="15">
        <v>4</v>
      </c>
      <c r="R388" s="15" t="s">
        <v>79</v>
      </c>
      <c r="S388" s="15" t="s">
        <v>61</v>
      </c>
      <c r="T388" s="15" t="s">
        <v>228</v>
      </c>
      <c r="U388" s="15">
        <v>9804498139</v>
      </c>
      <c r="V388" s="15" t="s">
        <v>38</v>
      </c>
      <c r="W388" s="29" t="str">
        <f t="shared" si="6"/>
        <v>Vik005Hy</v>
      </c>
    </row>
    <row r="389" spans="1:23" x14ac:dyDescent="0.5">
      <c r="A389" s="17" t="s">
        <v>1699</v>
      </c>
      <c r="B389" s="17" t="s">
        <v>71</v>
      </c>
      <c r="C389" s="17" t="s">
        <v>222</v>
      </c>
      <c r="D389" s="17" t="s">
        <v>1306</v>
      </c>
      <c r="E389" s="17" t="s">
        <v>1700</v>
      </c>
      <c r="F389" s="15" t="s">
        <v>217</v>
      </c>
      <c r="G389" s="17" t="s">
        <v>76</v>
      </c>
      <c r="H389" s="17" t="s">
        <v>1701</v>
      </c>
      <c r="I389" s="17" t="s">
        <v>30</v>
      </c>
      <c r="J389" s="17" t="s">
        <v>31</v>
      </c>
      <c r="K389" s="17" t="s">
        <v>122</v>
      </c>
      <c r="L389" s="17" t="s">
        <v>227</v>
      </c>
      <c r="M389" s="17">
        <v>16</v>
      </c>
      <c r="N389" s="26">
        <v>20</v>
      </c>
      <c r="O389" s="17">
        <v>5</v>
      </c>
      <c r="P389" s="26">
        <v>304</v>
      </c>
      <c r="Q389" s="17">
        <v>1</v>
      </c>
      <c r="R389" s="17" t="s">
        <v>79</v>
      </c>
      <c r="S389" s="17" t="s">
        <v>49</v>
      </c>
      <c r="T389" s="15" t="s">
        <v>80</v>
      </c>
      <c r="U389" s="17">
        <v>9798643580</v>
      </c>
      <c r="V389" s="17" t="s">
        <v>38</v>
      </c>
      <c r="W389" s="29" t="str">
        <f t="shared" si="6"/>
        <v>Moh009Hy</v>
      </c>
    </row>
    <row r="390" spans="1:23" x14ac:dyDescent="0.5">
      <c r="A390" s="15" t="s">
        <v>1703</v>
      </c>
      <c r="B390" s="15" t="s">
        <v>23</v>
      </c>
      <c r="C390" s="15" t="s">
        <v>24</v>
      </c>
      <c r="D390" s="15" t="s">
        <v>1704</v>
      </c>
      <c r="E390" s="15" t="s">
        <v>1705</v>
      </c>
      <c r="F390" s="15" t="s">
        <v>27</v>
      </c>
      <c r="G390" s="15" t="s">
        <v>28</v>
      </c>
      <c r="H390" s="15" t="s">
        <v>1706</v>
      </c>
      <c r="I390" s="15" t="s">
        <v>294</v>
      </c>
      <c r="J390" s="15" t="s">
        <v>295</v>
      </c>
      <c r="K390" s="15" t="s">
        <v>32</v>
      </c>
      <c r="L390" s="15" t="s">
        <v>33</v>
      </c>
      <c r="M390" s="15">
        <v>11</v>
      </c>
      <c r="N390" s="25">
        <v>2200</v>
      </c>
      <c r="O390" s="15">
        <v>15</v>
      </c>
      <c r="P390" s="25">
        <v>20570</v>
      </c>
      <c r="Q390" s="15">
        <v>1</v>
      </c>
      <c r="R390" s="15" t="s">
        <v>48</v>
      </c>
      <c r="S390" s="15" t="s">
        <v>115</v>
      </c>
      <c r="T390" s="15" t="s">
        <v>50</v>
      </c>
      <c r="U390" s="15">
        <v>9809823278</v>
      </c>
      <c r="V390" s="15" t="s">
        <v>69</v>
      </c>
      <c r="W390" s="29" t="str">
        <f t="shared" si="6"/>
        <v>Kav008Ko</v>
      </c>
    </row>
    <row r="391" spans="1:23" x14ac:dyDescent="0.5">
      <c r="A391" s="17" t="s">
        <v>1708</v>
      </c>
      <c r="B391" s="17" t="s">
        <v>100</v>
      </c>
      <c r="C391" s="17" t="s">
        <v>222</v>
      </c>
      <c r="D391" s="17" t="s">
        <v>1069</v>
      </c>
      <c r="E391" s="17" t="s">
        <v>1409</v>
      </c>
      <c r="F391" s="15" t="s">
        <v>103</v>
      </c>
      <c r="G391" s="17" t="s">
        <v>28</v>
      </c>
      <c r="H391" s="17" t="s">
        <v>1709</v>
      </c>
      <c r="I391" s="17" t="s">
        <v>114</v>
      </c>
      <c r="J391" s="17" t="s">
        <v>106</v>
      </c>
      <c r="K391" s="17" t="s">
        <v>122</v>
      </c>
      <c r="L391" s="17" t="s">
        <v>227</v>
      </c>
      <c r="M391" s="17">
        <v>19</v>
      </c>
      <c r="N391" s="26">
        <v>20</v>
      </c>
      <c r="O391" s="17">
        <v>5</v>
      </c>
      <c r="P391" s="26">
        <v>361</v>
      </c>
      <c r="Q391" s="17">
        <v>4</v>
      </c>
      <c r="R391" s="17" t="s">
        <v>88</v>
      </c>
      <c r="S391" s="17" t="s">
        <v>35</v>
      </c>
      <c r="T391" s="15" t="s">
        <v>144</v>
      </c>
      <c r="U391" s="17">
        <v>9177767854</v>
      </c>
      <c r="V391" s="17" t="s">
        <v>64</v>
      </c>
      <c r="W391" s="29" t="str">
        <f t="shared" si="6"/>
        <v>Pri002Pu</v>
      </c>
    </row>
    <row r="392" spans="1:23" x14ac:dyDescent="0.5">
      <c r="A392" s="15" t="s">
        <v>1711</v>
      </c>
      <c r="B392" s="15" t="s">
        <v>100</v>
      </c>
      <c r="C392" s="15" t="s">
        <v>72</v>
      </c>
      <c r="D392" s="15" t="s">
        <v>1712</v>
      </c>
      <c r="E392" s="15" t="s">
        <v>1713</v>
      </c>
      <c r="F392" s="15" t="s">
        <v>103</v>
      </c>
      <c r="G392" s="15" t="s">
        <v>28</v>
      </c>
      <c r="H392" s="15" t="s">
        <v>1714</v>
      </c>
      <c r="I392" s="15" t="s">
        <v>114</v>
      </c>
      <c r="J392" s="15" t="s">
        <v>106</v>
      </c>
      <c r="K392" s="15" t="s">
        <v>46</v>
      </c>
      <c r="L392" s="15" t="s">
        <v>78</v>
      </c>
      <c r="M392" s="15">
        <v>20</v>
      </c>
      <c r="N392" s="25">
        <v>1200</v>
      </c>
      <c r="O392" s="15">
        <v>15</v>
      </c>
      <c r="P392" s="25">
        <v>20400</v>
      </c>
      <c r="Q392" s="15">
        <v>4</v>
      </c>
      <c r="R392" s="15" t="s">
        <v>79</v>
      </c>
      <c r="S392" s="15" t="s">
        <v>35</v>
      </c>
      <c r="T392" s="15" t="s">
        <v>144</v>
      </c>
      <c r="U392" s="15">
        <v>9643440006</v>
      </c>
      <c r="V392" s="15" t="s">
        <v>64</v>
      </c>
      <c r="W392" s="29" t="str">
        <f t="shared" si="6"/>
        <v>Pri002Pu</v>
      </c>
    </row>
    <row r="393" spans="1:23" x14ac:dyDescent="0.5">
      <c r="A393" s="17" t="s">
        <v>1716</v>
      </c>
      <c r="B393" s="17" t="s">
        <v>53</v>
      </c>
      <c r="C393" s="17" t="s">
        <v>222</v>
      </c>
      <c r="D393" s="17" t="s">
        <v>1717</v>
      </c>
      <c r="E393" s="17" t="s">
        <v>1718</v>
      </c>
      <c r="F393" s="15" t="s">
        <v>163</v>
      </c>
      <c r="G393" s="17" t="s">
        <v>28</v>
      </c>
      <c r="H393" s="17" t="s">
        <v>1719</v>
      </c>
      <c r="I393" s="17" t="s">
        <v>30</v>
      </c>
      <c r="J393" s="17" t="s">
        <v>31</v>
      </c>
      <c r="K393" s="17" t="s">
        <v>122</v>
      </c>
      <c r="L393" s="17" t="s">
        <v>227</v>
      </c>
      <c r="M393" s="17">
        <v>13</v>
      </c>
      <c r="N393" s="26">
        <v>20</v>
      </c>
      <c r="O393" s="17">
        <v>15</v>
      </c>
      <c r="P393" s="26">
        <v>221</v>
      </c>
      <c r="Q393" s="17">
        <v>4</v>
      </c>
      <c r="R393" s="17" t="s">
        <v>34</v>
      </c>
      <c r="S393" s="17" t="s">
        <v>35</v>
      </c>
      <c r="T393" s="15" t="s">
        <v>62</v>
      </c>
      <c r="U393" s="17">
        <v>9673698825</v>
      </c>
      <c r="V393" s="17" t="s">
        <v>64</v>
      </c>
      <c r="W393" s="29" t="str">
        <f t="shared" si="6"/>
        <v>Poo010Hy</v>
      </c>
    </row>
    <row r="394" spans="1:23" x14ac:dyDescent="0.5">
      <c r="A394" s="15" t="s">
        <v>1721</v>
      </c>
      <c r="B394" s="15" t="s">
        <v>251</v>
      </c>
      <c r="C394" s="15" t="s">
        <v>72</v>
      </c>
      <c r="D394" s="15" t="s">
        <v>205</v>
      </c>
      <c r="E394" s="15" t="s">
        <v>206</v>
      </c>
      <c r="F394" s="15" t="s">
        <v>254</v>
      </c>
      <c r="G394" s="15" t="s">
        <v>28</v>
      </c>
      <c r="H394" s="15" t="s">
        <v>1722</v>
      </c>
      <c r="I394" s="15" t="s">
        <v>44</v>
      </c>
      <c r="J394" s="15" t="s">
        <v>45</v>
      </c>
      <c r="K394" s="15" t="s">
        <v>46</v>
      </c>
      <c r="L394" s="15" t="s">
        <v>78</v>
      </c>
      <c r="M394" s="15">
        <v>12</v>
      </c>
      <c r="N394" s="25">
        <v>1200</v>
      </c>
      <c r="O394" s="15">
        <v>10</v>
      </c>
      <c r="P394" s="25">
        <v>12960</v>
      </c>
      <c r="Q394" s="15">
        <v>3</v>
      </c>
      <c r="R394" s="15" t="s">
        <v>48</v>
      </c>
      <c r="S394" s="15" t="s">
        <v>35</v>
      </c>
      <c r="T394" s="15" t="s">
        <v>256</v>
      </c>
      <c r="U394" s="15">
        <v>9706238784</v>
      </c>
      <c r="V394" s="15" t="s">
        <v>64</v>
      </c>
      <c r="W394" s="29" t="str">
        <f t="shared" si="6"/>
        <v>Sne006De</v>
      </c>
    </row>
    <row r="395" spans="1:23" x14ac:dyDescent="0.5">
      <c r="A395" s="17" t="s">
        <v>1724</v>
      </c>
      <c r="B395" s="17" t="s">
        <v>100</v>
      </c>
      <c r="C395" s="17" t="s">
        <v>169</v>
      </c>
      <c r="D395" s="17" t="s">
        <v>1705</v>
      </c>
      <c r="E395" s="17" t="s">
        <v>783</v>
      </c>
      <c r="F395" s="15" t="s">
        <v>103</v>
      </c>
      <c r="G395" s="17" t="s">
        <v>28</v>
      </c>
      <c r="H395" s="17" t="s">
        <v>1725</v>
      </c>
      <c r="I395" s="17" t="s">
        <v>294</v>
      </c>
      <c r="J395" s="17" t="s">
        <v>295</v>
      </c>
      <c r="K395" s="17" t="s">
        <v>32</v>
      </c>
      <c r="L395" s="17" t="s">
        <v>174</v>
      </c>
      <c r="M395" s="17">
        <v>6</v>
      </c>
      <c r="N395" s="26">
        <v>8500</v>
      </c>
      <c r="O395" s="17">
        <v>5</v>
      </c>
      <c r="P395" s="26">
        <v>48450</v>
      </c>
      <c r="Q395" s="17">
        <v>5</v>
      </c>
      <c r="R395" s="17" t="s">
        <v>34</v>
      </c>
      <c r="S395" s="17" t="s">
        <v>115</v>
      </c>
      <c r="T395" s="15" t="s">
        <v>144</v>
      </c>
      <c r="U395" s="17">
        <v>9132959877</v>
      </c>
      <c r="V395" s="17" t="s">
        <v>69</v>
      </c>
      <c r="W395" s="29" t="str">
        <f t="shared" si="6"/>
        <v>Pri002Ko</v>
      </c>
    </row>
    <row r="396" spans="1:23" x14ac:dyDescent="0.5">
      <c r="A396" s="15" t="s">
        <v>1727</v>
      </c>
      <c r="B396" s="15" t="s">
        <v>23</v>
      </c>
      <c r="C396" s="15" t="s">
        <v>169</v>
      </c>
      <c r="D396" s="15" t="s">
        <v>1302</v>
      </c>
      <c r="E396" s="15" t="s">
        <v>1728</v>
      </c>
      <c r="F396" s="15" t="s">
        <v>27</v>
      </c>
      <c r="G396" s="15" t="s">
        <v>28</v>
      </c>
      <c r="H396" s="15" t="s">
        <v>1729</v>
      </c>
      <c r="I396" s="15" t="s">
        <v>138</v>
      </c>
      <c r="J396" s="15" t="s">
        <v>106</v>
      </c>
      <c r="K396" s="15" t="s">
        <v>32</v>
      </c>
      <c r="L396" s="15" t="s">
        <v>174</v>
      </c>
      <c r="M396" s="15">
        <v>15</v>
      </c>
      <c r="N396" s="25">
        <v>8500</v>
      </c>
      <c r="O396" s="15">
        <v>10</v>
      </c>
      <c r="P396" s="25">
        <v>114750</v>
      </c>
      <c r="Q396" s="15">
        <v>1</v>
      </c>
      <c r="R396" s="15" t="s">
        <v>34</v>
      </c>
      <c r="S396" s="15" t="s">
        <v>115</v>
      </c>
      <c r="T396" s="15" t="s">
        <v>50</v>
      </c>
      <c r="U396" s="15">
        <v>9295011645</v>
      </c>
      <c r="V396" s="15" t="s">
        <v>38</v>
      </c>
      <c r="W396" s="29" t="str">
        <f t="shared" si="6"/>
        <v>Kav008Ah</v>
      </c>
    </row>
    <row r="397" spans="1:23" x14ac:dyDescent="0.5">
      <c r="A397" s="17" t="s">
        <v>1731</v>
      </c>
      <c r="B397" s="17" t="s">
        <v>127</v>
      </c>
      <c r="C397" s="17" t="s">
        <v>40</v>
      </c>
      <c r="D397" s="17" t="s">
        <v>1732</v>
      </c>
      <c r="E397" s="17" t="s">
        <v>1733</v>
      </c>
      <c r="F397" s="15" t="s">
        <v>200</v>
      </c>
      <c r="G397" s="17" t="s">
        <v>76</v>
      </c>
      <c r="H397" s="17" t="s">
        <v>1734</v>
      </c>
      <c r="I397" s="17" t="s">
        <v>30</v>
      </c>
      <c r="J397" s="17" t="s">
        <v>31</v>
      </c>
      <c r="K397" s="17" t="s">
        <v>46</v>
      </c>
      <c r="L397" s="17" t="s">
        <v>47</v>
      </c>
      <c r="M397" s="17">
        <v>19</v>
      </c>
      <c r="N397" s="26">
        <v>12000</v>
      </c>
      <c r="O397" s="17">
        <v>20</v>
      </c>
      <c r="P397" s="26">
        <v>182400</v>
      </c>
      <c r="Q397" s="17">
        <v>5</v>
      </c>
      <c r="R397" s="17" t="s">
        <v>34</v>
      </c>
      <c r="S397" s="17" t="s">
        <v>115</v>
      </c>
      <c r="T397" s="15" t="s">
        <v>132</v>
      </c>
      <c r="U397" s="17">
        <v>9677606427</v>
      </c>
      <c r="V397" s="17" t="s">
        <v>38</v>
      </c>
      <c r="W397" s="29" t="str">
        <f t="shared" si="6"/>
        <v>Roh003Hy</v>
      </c>
    </row>
    <row r="398" spans="1:23" x14ac:dyDescent="0.5">
      <c r="A398" s="15" t="s">
        <v>1736</v>
      </c>
      <c r="B398" s="15" t="s">
        <v>83</v>
      </c>
      <c r="C398" s="15" t="s">
        <v>184</v>
      </c>
      <c r="D398" s="15" t="s">
        <v>142</v>
      </c>
      <c r="E398" s="15" t="s">
        <v>1737</v>
      </c>
      <c r="F398" s="15" t="s">
        <v>180</v>
      </c>
      <c r="G398" s="15" t="s">
        <v>76</v>
      </c>
      <c r="H398" s="15" t="s">
        <v>1738</v>
      </c>
      <c r="I398" s="15" t="s">
        <v>44</v>
      </c>
      <c r="J398" s="15" t="s">
        <v>45</v>
      </c>
      <c r="K398" s="15" t="s">
        <v>46</v>
      </c>
      <c r="L398" s="15" t="s">
        <v>189</v>
      </c>
      <c r="M398" s="15">
        <v>5</v>
      </c>
      <c r="N398" s="25">
        <v>700</v>
      </c>
      <c r="O398" s="15">
        <v>0</v>
      </c>
      <c r="P398" s="25">
        <v>3500</v>
      </c>
      <c r="Q398" s="15">
        <v>2</v>
      </c>
      <c r="R398" s="15" t="s">
        <v>79</v>
      </c>
      <c r="S398" s="15" t="s">
        <v>61</v>
      </c>
      <c r="T398" s="15" t="s">
        <v>89</v>
      </c>
      <c r="U398" s="15">
        <v>9161631566</v>
      </c>
      <c r="V398" s="15" t="s">
        <v>69</v>
      </c>
      <c r="W398" s="29" t="str">
        <f t="shared" si="6"/>
        <v>Arj007De</v>
      </c>
    </row>
    <row r="399" spans="1:23" x14ac:dyDescent="0.5">
      <c r="A399" s="17" t="s">
        <v>1740</v>
      </c>
      <c r="B399" s="17" t="s">
        <v>83</v>
      </c>
      <c r="C399" s="17" t="s">
        <v>40</v>
      </c>
      <c r="D399" s="17" t="s">
        <v>1654</v>
      </c>
      <c r="E399" s="17" t="s">
        <v>765</v>
      </c>
      <c r="F399" s="15" t="s">
        <v>180</v>
      </c>
      <c r="G399" s="17" t="s">
        <v>76</v>
      </c>
      <c r="H399" s="17" t="s">
        <v>1741</v>
      </c>
      <c r="I399" s="17" t="s">
        <v>294</v>
      </c>
      <c r="J399" s="17" t="s">
        <v>295</v>
      </c>
      <c r="K399" s="17" t="s">
        <v>46</v>
      </c>
      <c r="L399" s="17" t="s">
        <v>47</v>
      </c>
      <c r="M399" s="17">
        <v>19</v>
      </c>
      <c r="N399" s="26">
        <v>12000</v>
      </c>
      <c r="O399" s="17">
        <v>0</v>
      </c>
      <c r="P399" s="26">
        <v>228000</v>
      </c>
      <c r="Q399" s="17">
        <v>4</v>
      </c>
      <c r="R399" s="17" t="s">
        <v>88</v>
      </c>
      <c r="S399" s="17" t="s">
        <v>61</v>
      </c>
      <c r="T399" s="15" t="s">
        <v>89</v>
      </c>
      <c r="U399" s="17">
        <v>9136906750</v>
      </c>
      <c r="V399" s="17" t="s">
        <v>64</v>
      </c>
      <c r="W399" s="29" t="str">
        <f t="shared" si="6"/>
        <v>Arj007Ko</v>
      </c>
    </row>
    <row r="400" spans="1:23" x14ac:dyDescent="0.5">
      <c r="A400" s="15" t="s">
        <v>1743</v>
      </c>
      <c r="B400" s="15" t="s">
        <v>327</v>
      </c>
      <c r="C400" s="15" t="s">
        <v>184</v>
      </c>
      <c r="D400" s="15" t="s">
        <v>2109</v>
      </c>
      <c r="E400" s="15" t="s">
        <v>1225</v>
      </c>
      <c r="F400" s="15" t="s">
        <v>394</v>
      </c>
      <c r="G400" s="15" t="s">
        <v>76</v>
      </c>
      <c r="H400" s="15" t="s">
        <v>1744</v>
      </c>
      <c r="I400" s="15" t="s">
        <v>59</v>
      </c>
      <c r="J400" s="15" t="s">
        <v>31</v>
      </c>
      <c r="K400" s="15" t="s">
        <v>46</v>
      </c>
      <c r="L400" s="15" t="s">
        <v>189</v>
      </c>
      <c r="M400" s="15">
        <v>12</v>
      </c>
      <c r="N400" s="25">
        <v>700</v>
      </c>
      <c r="O400" s="15">
        <v>15</v>
      </c>
      <c r="P400" s="25">
        <v>7140</v>
      </c>
      <c r="Q400" s="15">
        <v>3</v>
      </c>
      <c r="R400" s="15" t="s">
        <v>79</v>
      </c>
      <c r="S400" s="15" t="s">
        <v>35</v>
      </c>
      <c r="T400" s="15" t="s">
        <v>332</v>
      </c>
      <c r="U400" s="15">
        <v>9485286324</v>
      </c>
      <c r="V400" s="15" t="s">
        <v>38</v>
      </c>
      <c r="W400" s="29" t="str">
        <f t="shared" si="6"/>
        <v>Ami001Be</v>
      </c>
    </row>
    <row r="401" spans="1:23" x14ac:dyDescent="0.5">
      <c r="A401" s="17" t="s">
        <v>1746</v>
      </c>
      <c r="B401" s="17" t="s">
        <v>23</v>
      </c>
      <c r="C401" s="17" t="s">
        <v>72</v>
      </c>
      <c r="D401" s="17" t="s">
        <v>1747</v>
      </c>
      <c r="E401" s="17" t="s">
        <v>707</v>
      </c>
      <c r="F401" s="15" t="s">
        <v>27</v>
      </c>
      <c r="G401" s="17" t="s">
        <v>28</v>
      </c>
      <c r="H401" s="17" t="s">
        <v>1748</v>
      </c>
      <c r="I401" s="17" t="s">
        <v>44</v>
      </c>
      <c r="J401" s="17" t="s">
        <v>45</v>
      </c>
      <c r="K401" s="17" t="s">
        <v>46</v>
      </c>
      <c r="L401" s="17" t="s">
        <v>78</v>
      </c>
      <c r="M401" s="17">
        <v>16</v>
      </c>
      <c r="N401" s="26">
        <v>1200</v>
      </c>
      <c r="O401" s="17">
        <v>20</v>
      </c>
      <c r="P401" s="26">
        <v>15360</v>
      </c>
      <c r="Q401" s="17">
        <v>1</v>
      </c>
      <c r="R401" s="17" t="s">
        <v>34</v>
      </c>
      <c r="S401" s="17" t="s">
        <v>49</v>
      </c>
      <c r="T401" s="15" t="s">
        <v>50</v>
      </c>
      <c r="U401" s="17">
        <v>9414633966</v>
      </c>
      <c r="V401" s="17" t="s">
        <v>64</v>
      </c>
      <c r="W401" s="29" t="str">
        <f t="shared" si="6"/>
        <v>Kav008De</v>
      </c>
    </row>
    <row r="402" spans="1:23" x14ac:dyDescent="0.5">
      <c r="A402" s="15" t="s">
        <v>1750</v>
      </c>
      <c r="B402" s="15" t="s">
        <v>71</v>
      </c>
      <c r="C402" s="15" t="s">
        <v>169</v>
      </c>
      <c r="D402" s="15" t="s">
        <v>1052</v>
      </c>
      <c r="E402" s="15" t="s">
        <v>84</v>
      </c>
      <c r="F402" s="15" t="s">
        <v>217</v>
      </c>
      <c r="G402" s="15" t="s">
        <v>76</v>
      </c>
      <c r="H402" s="15" t="s">
        <v>1751</v>
      </c>
      <c r="I402" s="15" t="s">
        <v>30</v>
      </c>
      <c r="J402" s="15" t="s">
        <v>31</v>
      </c>
      <c r="K402" s="15" t="s">
        <v>32</v>
      </c>
      <c r="L402" s="15" t="s">
        <v>174</v>
      </c>
      <c r="M402" s="15">
        <v>10</v>
      </c>
      <c r="N402" s="25">
        <v>8500</v>
      </c>
      <c r="O402" s="15">
        <v>5</v>
      </c>
      <c r="P402" s="25">
        <v>80750</v>
      </c>
      <c r="Q402" s="15">
        <v>5</v>
      </c>
      <c r="R402" s="15" t="s">
        <v>48</v>
      </c>
      <c r="S402" s="15" t="s">
        <v>35</v>
      </c>
      <c r="T402" s="15" t="s">
        <v>80</v>
      </c>
      <c r="U402" s="15">
        <v>9833735234</v>
      </c>
      <c r="V402" s="15" t="s">
        <v>38</v>
      </c>
      <c r="W402" s="29" t="str">
        <f t="shared" si="6"/>
        <v>Moh009Hy</v>
      </c>
    </row>
    <row r="403" spans="1:23" x14ac:dyDescent="0.5">
      <c r="A403" s="17" t="s">
        <v>1753</v>
      </c>
      <c r="B403" s="17" t="s">
        <v>23</v>
      </c>
      <c r="C403" s="17" t="s">
        <v>222</v>
      </c>
      <c r="D403" s="17" t="s">
        <v>1373</v>
      </c>
      <c r="E403" s="17" t="s">
        <v>386</v>
      </c>
      <c r="F403" s="15" t="s">
        <v>27</v>
      </c>
      <c r="G403" s="17" t="s">
        <v>28</v>
      </c>
      <c r="H403" s="17" t="s">
        <v>1754</v>
      </c>
      <c r="I403" s="17" t="s">
        <v>138</v>
      </c>
      <c r="J403" s="17" t="s">
        <v>106</v>
      </c>
      <c r="K403" s="17" t="s">
        <v>122</v>
      </c>
      <c r="L403" s="17" t="s">
        <v>227</v>
      </c>
      <c r="M403" s="17">
        <v>18</v>
      </c>
      <c r="N403" s="26">
        <v>20</v>
      </c>
      <c r="O403" s="17">
        <v>20</v>
      </c>
      <c r="P403" s="26">
        <v>288</v>
      </c>
      <c r="Q403" s="17">
        <v>1</v>
      </c>
      <c r="R403" s="17" t="s">
        <v>88</v>
      </c>
      <c r="S403" s="17" t="s">
        <v>35</v>
      </c>
      <c r="T403" s="15" t="s">
        <v>50</v>
      </c>
      <c r="U403" s="17">
        <v>9523689108</v>
      </c>
      <c r="V403" s="17" t="s">
        <v>64</v>
      </c>
      <c r="W403" s="29" t="str">
        <f t="shared" si="6"/>
        <v>Kav008Ah</v>
      </c>
    </row>
    <row r="404" spans="1:23" x14ac:dyDescent="0.5">
      <c r="A404" s="15" t="s">
        <v>1756</v>
      </c>
      <c r="B404" s="15" t="s">
        <v>71</v>
      </c>
      <c r="C404" s="15" t="s">
        <v>169</v>
      </c>
      <c r="D404" s="15" t="s">
        <v>241</v>
      </c>
      <c r="E404" s="15" t="s">
        <v>404</v>
      </c>
      <c r="F404" s="15" t="s">
        <v>217</v>
      </c>
      <c r="G404" s="15" t="s">
        <v>76</v>
      </c>
      <c r="H404" s="15" t="s">
        <v>1757</v>
      </c>
      <c r="I404" s="15" t="s">
        <v>105</v>
      </c>
      <c r="J404" s="15" t="s">
        <v>106</v>
      </c>
      <c r="K404" s="15" t="s">
        <v>32</v>
      </c>
      <c r="L404" s="15" t="s">
        <v>174</v>
      </c>
      <c r="M404" s="15">
        <v>9</v>
      </c>
      <c r="N404" s="25">
        <v>8500</v>
      </c>
      <c r="O404" s="15">
        <v>0</v>
      </c>
      <c r="P404" s="25">
        <v>76500</v>
      </c>
      <c r="Q404" s="15">
        <v>2</v>
      </c>
      <c r="R404" s="15" t="s">
        <v>79</v>
      </c>
      <c r="S404" s="15" t="s">
        <v>35</v>
      </c>
      <c r="T404" s="15" t="s">
        <v>80</v>
      </c>
      <c r="U404" s="15">
        <v>9812909831</v>
      </c>
      <c r="V404" s="15" t="s">
        <v>64</v>
      </c>
      <c r="W404" s="29" t="str">
        <f t="shared" si="6"/>
        <v>Moh009Mu</v>
      </c>
    </row>
    <row r="405" spans="1:23" x14ac:dyDescent="0.5">
      <c r="A405" s="17" t="s">
        <v>1759</v>
      </c>
      <c r="B405" s="17" t="s">
        <v>23</v>
      </c>
      <c r="C405" s="17" t="s">
        <v>169</v>
      </c>
      <c r="D405" s="17" t="s">
        <v>1221</v>
      </c>
      <c r="E405" s="17" t="s">
        <v>1760</v>
      </c>
      <c r="F405" s="15" t="s">
        <v>27</v>
      </c>
      <c r="G405" s="17" t="s">
        <v>28</v>
      </c>
      <c r="H405" s="17" t="s">
        <v>1761</v>
      </c>
      <c r="I405" s="17" t="s">
        <v>105</v>
      </c>
      <c r="J405" s="17" t="s">
        <v>106</v>
      </c>
      <c r="K405" s="17" t="s">
        <v>32</v>
      </c>
      <c r="L405" s="17" t="s">
        <v>174</v>
      </c>
      <c r="M405" s="17">
        <v>8</v>
      </c>
      <c r="N405" s="26">
        <v>8500</v>
      </c>
      <c r="O405" s="17">
        <v>10</v>
      </c>
      <c r="P405" s="26">
        <v>61200</v>
      </c>
      <c r="Q405" s="17">
        <v>4</v>
      </c>
      <c r="R405" s="17" t="s">
        <v>34</v>
      </c>
      <c r="S405" s="17" t="s">
        <v>115</v>
      </c>
      <c r="T405" s="15" t="s">
        <v>50</v>
      </c>
      <c r="U405" s="17">
        <v>9106290987</v>
      </c>
      <c r="V405" s="17" t="s">
        <v>69</v>
      </c>
      <c r="W405" s="29" t="str">
        <f t="shared" si="6"/>
        <v>Kav008Mu</v>
      </c>
    </row>
    <row r="406" spans="1:23" x14ac:dyDescent="0.5">
      <c r="A406" s="15" t="s">
        <v>1763</v>
      </c>
      <c r="B406" s="15" t="s">
        <v>53</v>
      </c>
      <c r="C406" s="15" t="s">
        <v>222</v>
      </c>
      <c r="D406" s="15" t="s">
        <v>483</v>
      </c>
      <c r="E406" s="15" t="s">
        <v>1764</v>
      </c>
      <c r="F406" s="15" t="s">
        <v>163</v>
      </c>
      <c r="G406" s="15" t="s">
        <v>28</v>
      </c>
      <c r="H406" s="15" t="s">
        <v>1765</v>
      </c>
      <c r="I406" s="15" t="s">
        <v>114</v>
      </c>
      <c r="J406" s="15" t="s">
        <v>106</v>
      </c>
      <c r="K406" s="15" t="s">
        <v>122</v>
      </c>
      <c r="L406" s="15" t="s">
        <v>227</v>
      </c>
      <c r="M406" s="15">
        <v>3</v>
      </c>
      <c r="N406" s="25">
        <v>20</v>
      </c>
      <c r="O406" s="15">
        <v>10</v>
      </c>
      <c r="P406" s="25">
        <v>54</v>
      </c>
      <c r="Q406" s="15">
        <v>3</v>
      </c>
      <c r="R406" s="15" t="s">
        <v>79</v>
      </c>
      <c r="S406" s="15" t="s">
        <v>151</v>
      </c>
      <c r="T406" s="15" t="s">
        <v>62</v>
      </c>
      <c r="U406" s="15">
        <v>9767727724</v>
      </c>
      <c r="V406" s="15" t="s">
        <v>64</v>
      </c>
      <c r="W406" s="29" t="str">
        <f t="shared" si="6"/>
        <v>Poo010Pu</v>
      </c>
    </row>
    <row r="407" spans="1:23" x14ac:dyDescent="0.5">
      <c r="A407" s="17" t="s">
        <v>1767</v>
      </c>
      <c r="B407" s="17" t="s">
        <v>168</v>
      </c>
      <c r="C407" s="17" t="s">
        <v>169</v>
      </c>
      <c r="D407" s="17" t="s">
        <v>232</v>
      </c>
      <c r="E407" s="17" t="s">
        <v>641</v>
      </c>
      <c r="F407" s="15" t="s">
        <v>361</v>
      </c>
      <c r="G407" s="17" t="s">
        <v>28</v>
      </c>
      <c r="H407" s="17" t="s">
        <v>1768</v>
      </c>
      <c r="I407" s="17" t="s">
        <v>294</v>
      </c>
      <c r="J407" s="17" t="s">
        <v>295</v>
      </c>
      <c r="K407" s="17" t="s">
        <v>32</v>
      </c>
      <c r="L407" s="17" t="s">
        <v>174</v>
      </c>
      <c r="M407" s="17">
        <v>18</v>
      </c>
      <c r="N407" s="26">
        <v>8500</v>
      </c>
      <c r="O407" s="17">
        <v>10</v>
      </c>
      <c r="P407" s="26">
        <v>137700</v>
      </c>
      <c r="Q407" s="17">
        <v>4</v>
      </c>
      <c r="R407" s="17" t="s">
        <v>34</v>
      </c>
      <c r="S407" s="17" t="s">
        <v>49</v>
      </c>
      <c r="T407" s="15" t="s">
        <v>175</v>
      </c>
      <c r="U407" s="17">
        <v>9865401727</v>
      </c>
      <c r="V407" s="17" t="s">
        <v>69</v>
      </c>
      <c r="W407" s="29" t="str">
        <f t="shared" si="6"/>
        <v>Ani004Ko</v>
      </c>
    </row>
    <row r="408" spans="1:23" x14ac:dyDescent="0.5">
      <c r="A408" s="15" t="s">
        <v>1770</v>
      </c>
      <c r="B408" s="15" t="s">
        <v>53</v>
      </c>
      <c r="C408" s="15" t="s">
        <v>259</v>
      </c>
      <c r="D408" s="15" t="s">
        <v>308</v>
      </c>
      <c r="E408" s="15" t="s">
        <v>281</v>
      </c>
      <c r="F408" s="15" t="s">
        <v>163</v>
      </c>
      <c r="G408" s="15" t="s">
        <v>28</v>
      </c>
      <c r="H408" s="15" t="s">
        <v>1771</v>
      </c>
      <c r="I408" s="15" t="s">
        <v>114</v>
      </c>
      <c r="J408" s="15" t="s">
        <v>106</v>
      </c>
      <c r="K408" s="15" t="s">
        <v>122</v>
      </c>
      <c r="L408" s="15" t="s">
        <v>263</v>
      </c>
      <c r="M408" s="15">
        <v>5</v>
      </c>
      <c r="N408" s="25">
        <v>45</v>
      </c>
      <c r="O408" s="15">
        <v>10</v>
      </c>
      <c r="P408" s="25">
        <v>202.5</v>
      </c>
      <c r="Q408" s="15">
        <v>3</v>
      </c>
      <c r="R408" s="15" t="s">
        <v>34</v>
      </c>
      <c r="S408" s="15" t="s">
        <v>115</v>
      </c>
      <c r="T408" s="15" t="s">
        <v>62</v>
      </c>
      <c r="U408" s="15">
        <v>9603848571</v>
      </c>
      <c r="V408" s="15" t="s">
        <v>64</v>
      </c>
      <c r="W408" s="29" t="str">
        <f t="shared" si="6"/>
        <v>Poo010Pu</v>
      </c>
    </row>
    <row r="409" spans="1:23" x14ac:dyDescent="0.5">
      <c r="A409" s="17" t="s">
        <v>1773</v>
      </c>
      <c r="B409" s="17" t="s">
        <v>71</v>
      </c>
      <c r="C409" s="17" t="s">
        <v>259</v>
      </c>
      <c r="D409" s="17" t="s">
        <v>683</v>
      </c>
      <c r="E409" s="17" t="s">
        <v>684</v>
      </c>
      <c r="F409" s="15" t="s">
        <v>217</v>
      </c>
      <c r="G409" s="17" t="s">
        <v>76</v>
      </c>
      <c r="H409" s="17" t="s">
        <v>1774</v>
      </c>
      <c r="I409" s="17" t="s">
        <v>105</v>
      </c>
      <c r="J409" s="17" t="s">
        <v>106</v>
      </c>
      <c r="K409" s="17" t="s">
        <v>122</v>
      </c>
      <c r="L409" s="17" t="s">
        <v>263</v>
      </c>
      <c r="M409" s="17">
        <v>2</v>
      </c>
      <c r="N409" s="26">
        <v>45</v>
      </c>
      <c r="O409" s="17">
        <v>20</v>
      </c>
      <c r="P409" s="26">
        <v>72</v>
      </c>
      <c r="Q409" s="17">
        <v>5</v>
      </c>
      <c r="R409" s="17" t="s">
        <v>88</v>
      </c>
      <c r="S409" s="17" t="s">
        <v>61</v>
      </c>
      <c r="T409" s="15" t="s">
        <v>80</v>
      </c>
      <c r="U409" s="17">
        <v>9101231789</v>
      </c>
      <c r="V409" s="17" t="s">
        <v>69</v>
      </c>
      <c r="W409" s="29" t="str">
        <f t="shared" si="6"/>
        <v>Moh009Mu</v>
      </c>
    </row>
    <row r="410" spans="1:23" x14ac:dyDescent="0.5">
      <c r="A410" s="15" t="s">
        <v>1776</v>
      </c>
      <c r="B410" s="15" t="s">
        <v>100</v>
      </c>
      <c r="C410" s="15" t="s">
        <v>259</v>
      </c>
      <c r="D410" s="15" t="s">
        <v>1379</v>
      </c>
      <c r="E410" s="15" t="s">
        <v>900</v>
      </c>
      <c r="F410" s="15" t="s">
        <v>103</v>
      </c>
      <c r="G410" s="15" t="s">
        <v>28</v>
      </c>
      <c r="H410" s="15" t="s">
        <v>1777</v>
      </c>
      <c r="I410" s="15" t="s">
        <v>30</v>
      </c>
      <c r="J410" s="15" t="s">
        <v>31</v>
      </c>
      <c r="K410" s="15" t="s">
        <v>122</v>
      </c>
      <c r="L410" s="15" t="s">
        <v>263</v>
      </c>
      <c r="M410" s="15">
        <v>18</v>
      </c>
      <c r="N410" s="25">
        <v>45</v>
      </c>
      <c r="O410" s="15">
        <v>10</v>
      </c>
      <c r="P410" s="25">
        <v>729</v>
      </c>
      <c r="Q410" s="15">
        <v>2</v>
      </c>
      <c r="R410" s="15" t="s">
        <v>48</v>
      </c>
      <c r="S410" s="15" t="s">
        <v>115</v>
      </c>
      <c r="T410" s="15" t="s">
        <v>144</v>
      </c>
      <c r="U410" s="15">
        <v>9485017802</v>
      </c>
      <c r="V410" s="15" t="s">
        <v>64</v>
      </c>
      <c r="W410" s="29" t="str">
        <f t="shared" si="6"/>
        <v>Pri002Hy</v>
      </c>
    </row>
    <row r="411" spans="1:23" x14ac:dyDescent="0.5">
      <c r="A411" s="17" t="s">
        <v>1779</v>
      </c>
      <c r="B411" s="17" t="s">
        <v>127</v>
      </c>
      <c r="C411" s="17" t="s">
        <v>72</v>
      </c>
      <c r="D411" s="17" t="s">
        <v>463</v>
      </c>
      <c r="E411" s="17" t="s">
        <v>216</v>
      </c>
      <c r="F411" s="15" t="s">
        <v>200</v>
      </c>
      <c r="G411" s="17" t="s">
        <v>76</v>
      </c>
      <c r="H411" s="17" t="s">
        <v>1780</v>
      </c>
      <c r="I411" s="17" t="s">
        <v>294</v>
      </c>
      <c r="J411" s="17" t="s">
        <v>295</v>
      </c>
      <c r="K411" s="17" t="s">
        <v>46</v>
      </c>
      <c r="L411" s="17" t="s">
        <v>78</v>
      </c>
      <c r="M411" s="17">
        <v>13</v>
      </c>
      <c r="N411" s="26">
        <v>1200</v>
      </c>
      <c r="O411" s="17">
        <v>5</v>
      </c>
      <c r="P411" s="26">
        <v>14820</v>
      </c>
      <c r="Q411" s="17">
        <v>4</v>
      </c>
      <c r="R411" s="17" t="s">
        <v>79</v>
      </c>
      <c r="S411" s="17" t="s">
        <v>115</v>
      </c>
      <c r="T411" s="15" t="s">
        <v>132</v>
      </c>
      <c r="U411" s="17">
        <v>9815464650</v>
      </c>
      <c r="V411" s="17" t="s">
        <v>38</v>
      </c>
      <c r="W411" s="29" t="str">
        <f t="shared" si="6"/>
        <v>Roh003Ko</v>
      </c>
    </row>
    <row r="412" spans="1:23" x14ac:dyDescent="0.5">
      <c r="A412" s="15" t="s">
        <v>1782</v>
      </c>
      <c r="B412" s="15" t="s">
        <v>23</v>
      </c>
      <c r="C412" s="15" t="s">
        <v>222</v>
      </c>
      <c r="D412" s="15" t="s">
        <v>1344</v>
      </c>
      <c r="E412" s="15" t="s">
        <v>1783</v>
      </c>
      <c r="F412" s="15" t="s">
        <v>27</v>
      </c>
      <c r="G412" s="15" t="s">
        <v>28</v>
      </c>
      <c r="H412" s="15" t="s">
        <v>1784</v>
      </c>
      <c r="I412" s="15" t="s">
        <v>30</v>
      </c>
      <c r="J412" s="15" t="s">
        <v>31</v>
      </c>
      <c r="K412" s="15" t="s">
        <v>122</v>
      </c>
      <c r="L412" s="15" t="s">
        <v>227</v>
      </c>
      <c r="M412" s="15">
        <v>14</v>
      </c>
      <c r="N412" s="25">
        <v>20</v>
      </c>
      <c r="O412" s="15">
        <v>20</v>
      </c>
      <c r="P412" s="25">
        <v>224</v>
      </c>
      <c r="Q412" s="15">
        <v>5</v>
      </c>
      <c r="R412" s="15" t="s">
        <v>88</v>
      </c>
      <c r="S412" s="15" t="s">
        <v>49</v>
      </c>
      <c r="T412" s="15" t="s">
        <v>50</v>
      </c>
      <c r="U412" s="15">
        <v>9860715839</v>
      </c>
      <c r="V412" s="15" t="s">
        <v>64</v>
      </c>
      <c r="W412" s="29" t="str">
        <f t="shared" si="6"/>
        <v>Kav008Hy</v>
      </c>
    </row>
    <row r="413" spans="1:23" x14ac:dyDescent="0.5">
      <c r="A413" s="17" t="s">
        <v>1786</v>
      </c>
      <c r="B413" s="17" t="s">
        <v>100</v>
      </c>
      <c r="C413" s="17" t="s">
        <v>92</v>
      </c>
      <c r="D413" s="17" t="s">
        <v>1787</v>
      </c>
      <c r="E413" s="17" t="s">
        <v>1689</v>
      </c>
      <c r="F413" s="15" t="s">
        <v>103</v>
      </c>
      <c r="G413" s="17" t="s">
        <v>28</v>
      </c>
      <c r="H413" s="17" t="s">
        <v>1788</v>
      </c>
      <c r="I413" s="17" t="s">
        <v>30</v>
      </c>
      <c r="J413" s="17" t="s">
        <v>31</v>
      </c>
      <c r="K413" s="17" t="s">
        <v>32</v>
      </c>
      <c r="L413" s="17" t="s">
        <v>97</v>
      </c>
      <c r="M413" s="17">
        <v>16</v>
      </c>
      <c r="N413" s="26">
        <v>3500</v>
      </c>
      <c r="O413" s="17">
        <v>15</v>
      </c>
      <c r="P413" s="26">
        <v>47600</v>
      </c>
      <c r="Q413" s="17">
        <v>3</v>
      </c>
      <c r="R413" s="17" t="s">
        <v>88</v>
      </c>
      <c r="S413" s="17" t="s">
        <v>61</v>
      </c>
      <c r="T413" s="15" t="s">
        <v>144</v>
      </c>
      <c r="U413" s="17">
        <v>9207561051</v>
      </c>
      <c r="V413" s="17" t="s">
        <v>69</v>
      </c>
      <c r="W413" s="29" t="str">
        <f t="shared" si="6"/>
        <v>Pri002Hy</v>
      </c>
    </row>
    <row r="414" spans="1:23" x14ac:dyDescent="0.5">
      <c r="A414" s="15" t="s">
        <v>1790</v>
      </c>
      <c r="B414" s="15" t="s">
        <v>251</v>
      </c>
      <c r="C414" s="15" t="s">
        <v>222</v>
      </c>
      <c r="D414" s="15" t="s">
        <v>987</v>
      </c>
      <c r="E414" s="15" t="s">
        <v>1110</v>
      </c>
      <c r="F414" s="15" t="s">
        <v>254</v>
      </c>
      <c r="G414" s="15" t="s">
        <v>28</v>
      </c>
      <c r="H414" s="15" t="s">
        <v>1791</v>
      </c>
      <c r="I414" s="15" t="s">
        <v>59</v>
      </c>
      <c r="J414" s="15" t="s">
        <v>31</v>
      </c>
      <c r="K414" s="15" t="s">
        <v>122</v>
      </c>
      <c r="L414" s="15" t="s">
        <v>227</v>
      </c>
      <c r="M414" s="15">
        <v>20</v>
      </c>
      <c r="N414" s="25">
        <v>20</v>
      </c>
      <c r="O414" s="15">
        <v>15</v>
      </c>
      <c r="P414" s="25">
        <v>340</v>
      </c>
      <c r="Q414" s="15">
        <v>1</v>
      </c>
      <c r="R414" s="15" t="s">
        <v>48</v>
      </c>
      <c r="S414" s="15" t="s">
        <v>61</v>
      </c>
      <c r="T414" s="15" t="s">
        <v>256</v>
      </c>
      <c r="U414" s="15">
        <v>9159894508</v>
      </c>
      <c r="V414" s="15" t="s">
        <v>69</v>
      </c>
      <c r="W414" s="29" t="str">
        <f t="shared" si="6"/>
        <v>Sne006Be</v>
      </c>
    </row>
    <row r="415" spans="1:23" x14ac:dyDescent="0.5">
      <c r="A415" s="17" t="s">
        <v>1793</v>
      </c>
      <c r="B415" s="17" t="s">
        <v>168</v>
      </c>
      <c r="C415" s="17" t="s">
        <v>54</v>
      </c>
      <c r="D415" s="17" t="s">
        <v>652</v>
      </c>
      <c r="E415" s="17" t="s">
        <v>666</v>
      </c>
      <c r="F415" s="15" t="s">
        <v>361</v>
      </c>
      <c r="G415" s="17" t="s">
        <v>28</v>
      </c>
      <c r="H415" s="17" t="s">
        <v>1794</v>
      </c>
      <c r="I415" s="17" t="s">
        <v>138</v>
      </c>
      <c r="J415" s="17" t="s">
        <v>106</v>
      </c>
      <c r="K415" s="17" t="s">
        <v>46</v>
      </c>
      <c r="L415" s="17" t="s">
        <v>60</v>
      </c>
      <c r="M415" s="17">
        <v>1</v>
      </c>
      <c r="N415" s="26">
        <v>55000</v>
      </c>
      <c r="O415" s="17">
        <v>15</v>
      </c>
      <c r="P415" s="26">
        <v>46750</v>
      </c>
      <c r="Q415" s="17">
        <v>2</v>
      </c>
      <c r="R415" s="17" t="s">
        <v>88</v>
      </c>
      <c r="S415" s="17" t="s">
        <v>115</v>
      </c>
      <c r="T415" s="15" t="s">
        <v>175</v>
      </c>
      <c r="U415" s="17">
        <v>9531465024</v>
      </c>
      <c r="V415" s="17" t="s">
        <v>69</v>
      </c>
      <c r="W415" s="29" t="str">
        <f t="shared" si="6"/>
        <v>Ani004Ah</v>
      </c>
    </row>
    <row r="416" spans="1:23" x14ac:dyDescent="0.5">
      <c r="A416" s="15" t="s">
        <v>1796</v>
      </c>
      <c r="B416" s="15" t="s">
        <v>100</v>
      </c>
      <c r="C416" s="15" t="s">
        <v>118</v>
      </c>
      <c r="D416" s="15" t="s">
        <v>142</v>
      </c>
      <c r="E416" s="15" t="s">
        <v>620</v>
      </c>
      <c r="F416" s="15" t="s">
        <v>103</v>
      </c>
      <c r="G416" s="15" t="s">
        <v>28</v>
      </c>
      <c r="H416" s="15" t="s">
        <v>1797</v>
      </c>
      <c r="I416" s="15" t="s">
        <v>138</v>
      </c>
      <c r="J416" s="15" t="s">
        <v>106</v>
      </c>
      <c r="K416" s="15" t="s">
        <v>122</v>
      </c>
      <c r="L416" s="15" t="s">
        <v>123</v>
      </c>
      <c r="M416" s="15">
        <v>15</v>
      </c>
      <c r="N416" s="25">
        <v>60</v>
      </c>
      <c r="O416" s="15">
        <v>5</v>
      </c>
      <c r="P416" s="25">
        <v>855</v>
      </c>
      <c r="Q416" s="15">
        <v>4</v>
      </c>
      <c r="R416" s="15" t="s">
        <v>48</v>
      </c>
      <c r="S416" s="15" t="s">
        <v>61</v>
      </c>
      <c r="T416" s="15" t="s">
        <v>144</v>
      </c>
      <c r="U416" s="15">
        <v>9158813608</v>
      </c>
      <c r="V416" s="15" t="s">
        <v>38</v>
      </c>
      <c r="W416" s="29" t="str">
        <f t="shared" si="6"/>
        <v>Pri002Ah</v>
      </c>
    </row>
    <row r="417" spans="1:23" x14ac:dyDescent="0.5">
      <c r="A417" s="17" t="s">
        <v>1799</v>
      </c>
      <c r="B417" s="17" t="s">
        <v>83</v>
      </c>
      <c r="C417" s="17" t="s">
        <v>184</v>
      </c>
      <c r="D417" s="17" t="s">
        <v>1800</v>
      </c>
      <c r="E417" s="17" t="s">
        <v>66</v>
      </c>
      <c r="F417" s="15" t="s">
        <v>180</v>
      </c>
      <c r="G417" s="17" t="s">
        <v>76</v>
      </c>
      <c r="H417" s="17" t="s">
        <v>1801</v>
      </c>
      <c r="I417" s="17" t="s">
        <v>105</v>
      </c>
      <c r="J417" s="17" t="s">
        <v>106</v>
      </c>
      <c r="K417" s="17" t="s">
        <v>46</v>
      </c>
      <c r="L417" s="17" t="s">
        <v>189</v>
      </c>
      <c r="M417" s="17">
        <v>15</v>
      </c>
      <c r="N417" s="26">
        <v>700</v>
      </c>
      <c r="O417" s="17">
        <v>0</v>
      </c>
      <c r="P417" s="26">
        <v>10500</v>
      </c>
      <c r="Q417" s="17">
        <v>5</v>
      </c>
      <c r="R417" s="17" t="s">
        <v>48</v>
      </c>
      <c r="S417" s="17" t="s">
        <v>115</v>
      </c>
      <c r="T417" s="15" t="s">
        <v>89</v>
      </c>
      <c r="U417" s="17">
        <v>9308461700</v>
      </c>
      <c r="V417" s="17" t="s">
        <v>38</v>
      </c>
      <c r="W417" s="29" t="str">
        <f t="shared" si="6"/>
        <v>Arj007Mu</v>
      </c>
    </row>
    <row r="418" spans="1:23" x14ac:dyDescent="0.5">
      <c r="A418" s="15" t="s">
        <v>1803</v>
      </c>
      <c r="B418" s="15" t="s">
        <v>221</v>
      </c>
      <c r="C418" s="15" t="s">
        <v>40</v>
      </c>
      <c r="D418" s="15" t="s">
        <v>1199</v>
      </c>
      <c r="E418" s="15" t="s">
        <v>440</v>
      </c>
      <c r="F418" s="15" t="s">
        <v>225</v>
      </c>
      <c r="G418" s="15" t="s">
        <v>76</v>
      </c>
      <c r="H418" s="15" t="s">
        <v>1804</v>
      </c>
      <c r="I418" s="15" t="s">
        <v>294</v>
      </c>
      <c r="J418" s="15" t="s">
        <v>295</v>
      </c>
      <c r="K418" s="15" t="s">
        <v>46</v>
      </c>
      <c r="L418" s="15" t="s">
        <v>47</v>
      </c>
      <c r="M418" s="15">
        <v>13</v>
      </c>
      <c r="N418" s="25">
        <v>12000</v>
      </c>
      <c r="O418" s="15">
        <v>10</v>
      </c>
      <c r="P418" s="25">
        <v>140400</v>
      </c>
      <c r="Q418" s="15">
        <v>1</v>
      </c>
      <c r="R418" s="15" t="s">
        <v>34</v>
      </c>
      <c r="S418" s="15" t="s">
        <v>151</v>
      </c>
      <c r="T418" s="15" t="s">
        <v>228</v>
      </c>
      <c r="U418" s="15">
        <v>9882279049</v>
      </c>
      <c r="V418" s="15" t="s">
        <v>69</v>
      </c>
      <c r="W418" s="29" t="str">
        <f t="shared" si="6"/>
        <v>Vik005Ko</v>
      </c>
    </row>
    <row r="419" spans="1:23" x14ac:dyDescent="0.5">
      <c r="A419" s="17" t="s">
        <v>1806</v>
      </c>
      <c r="B419" s="17" t="s">
        <v>83</v>
      </c>
      <c r="C419" s="17" t="s">
        <v>40</v>
      </c>
      <c r="D419" s="17" t="s">
        <v>1807</v>
      </c>
      <c r="E419" s="17" t="s">
        <v>1081</v>
      </c>
      <c r="F419" s="15" t="s">
        <v>180</v>
      </c>
      <c r="G419" s="17" t="s">
        <v>76</v>
      </c>
      <c r="H419" s="17" t="s">
        <v>1808</v>
      </c>
      <c r="I419" s="17" t="s">
        <v>30</v>
      </c>
      <c r="J419" s="17" t="s">
        <v>31</v>
      </c>
      <c r="K419" s="17" t="s">
        <v>46</v>
      </c>
      <c r="L419" s="17" t="s">
        <v>47</v>
      </c>
      <c r="M419" s="17">
        <v>12</v>
      </c>
      <c r="N419" s="26">
        <v>12000</v>
      </c>
      <c r="O419" s="17">
        <v>20</v>
      </c>
      <c r="P419" s="26">
        <v>115200</v>
      </c>
      <c r="Q419" s="17">
        <v>2</v>
      </c>
      <c r="R419" s="17" t="s">
        <v>34</v>
      </c>
      <c r="S419" s="17" t="s">
        <v>35</v>
      </c>
      <c r="T419" s="15" t="s">
        <v>89</v>
      </c>
      <c r="U419" s="17">
        <v>9961801338</v>
      </c>
      <c r="V419" s="17" t="s">
        <v>38</v>
      </c>
      <c r="W419" s="29" t="str">
        <f t="shared" si="6"/>
        <v>Arj007Hy</v>
      </c>
    </row>
    <row r="420" spans="1:23" x14ac:dyDescent="0.5">
      <c r="A420" s="15" t="s">
        <v>1810</v>
      </c>
      <c r="B420" s="15" t="s">
        <v>83</v>
      </c>
      <c r="C420" s="15" t="s">
        <v>259</v>
      </c>
      <c r="D420" s="15" t="s">
        <v>119</v>
      </c>
      <c r="E420" s="15" t="s">
        <v>1298</v>
      </c>
      <c r="F420" s="15" t="s">
        <v>180</v>
      </c>
      <c r="G420" s="15" t="s">
        <v>76</v>
      </c>
      <c r="H420" s="15" t="s">
        <v>1811</v>
      </c>
      <c r="I420" s="15" t="s">
        <v>105</v>
      </c>
      <c r="J420" s="15" t="s">
        <v>106</v>
      </c>
      <c r="K420" s="15" t="s">
        <v>122</v>
      </c>
      <c r="L420" s="15" t="s">
        <v>263</v>
      </c>
      <c r="M420" s="15">
        <v>10</v>
      </c>
      <c r="N420" s="25">
        <v>45</v>
      </c>
      <c r="O420" s="15">
        <v>0</v>
      </c>
      <c r="P420" s="25">
        <v>450</v>
      </c>
      <c r="Q420" s="15">
        <v>5</v>
      </c>
      <c r="R420" s="15" t="s">
        <v>79</v>
      </c>
      <c r="S420" s="15" t="s">
        <v>115</v>
      </c>
      <c r="T420" s="15" t="s">
        <v>89</v>
      </c>
      <c r="U420" s="15">
        <v>9853525026</v>
      </c>
      <c r="V420" s="15" t="s">
        <v>69</v>
      </c>
      <c r="W420" s="29" t="str">
        <f t="shared" si="6"/>
        <v>Arj007Mu</v>
      </c>
    </row>
    <row r="421" spans="1:23" x14ac:dyDescent="0.5">
      <c r="A421" s="17" t="s">
        <v>1813</v>
      </c>
      <c r="B421" s="17" t="s">
        <v>127</v>
      </c>
      <c r="C421" s="17" t="s">
        <v>72</v>
      </c>
      <c r="D421" s="17" t="s">
        <v>41</v>
      </c>
      <c r="E421" s="17" t="s">
        <v>596</v>
      </c>
      <c r="F421" s="15" t="s">
        <v>200</v>
      </c>
      <c r="G421" s="17" t="s">
        <v>76</v>
      </c>
      <c r="H421" s="17" t="s">
        <v>1814</v>
      </c>
      <c r="I421" s="17" t="s">
        <v>105</v>
      </c>
      <c r="J421" s="17" t="s">
        <v>106</v>
      </c>
      <c r="K421" s="17" t="s">
        <v>46</v>
      </c>
      <c r="L421" s="17" t="s">
        <v>78</v>
      </c>
      <c r="M421" s="17">
        <v>20</v>
      </c>
      <c r="N421" s="26">
        <v>1200</v>
      </c>
      <c r="O421" s="17">
        <v>20</v>
      </c>
      <c r="P421" s="26">
        <v>19200</v>
      </c>
      <c r="Q421" s="17">
        <v>5</v>
      </c>
      <c r="R421" s="17" t="s">
        <v>48</v>
      </c>
      <c r="S421" s="17" t="s">
        <v>61</v>
      </c>
      <c r="T421" s="15" t="s">
        <v>132</v>
      </c>
      <c r="U421" s="17">
        <v>9209649485</v>
      </c>
      <c r="V421" s="17" t="s">
        <v>69</v>
      </c>
      <c r="W421" s="29" t="str">
        <f t="shared" si="6"/>
        <v>Roh003Mu</v>
      </c>
    </row>
    <row r="422" spans="1:23" x14ac:dyDescent="0.5">
      <c r="A422" s="15" t="s">
        <v>1816</v>
      </c>
      <c r="B422" s="15" t="s">
        <v>71</v>
      </c>
      <c r="C422" s="15" t="s">
        <v>72</v>
      </c>
      <c r="D422" s="15" t="s">
        <v>128</v>
      </c>
      <c r="E422" s="15" t="s">
        <v>1817</v>
      </c>
      <c r="F422" s="15" t="s">
        <v>217</v>
      </c>
      <c r="G422" s="15" t="s">
        <v>76</v>
      </c>
      <c r="H422" s="15" t="s">
        <v>1818</v>
      </c>
      <c r="I422" s="15" t="s">
        <v>114</v>
      </c>
      <c r="J422" s="15" t="s">
        <v>106</v>
      </c>
      <c r="K422" s="15" t="s">
        <v>46</v>
      </c>
      <c r="L422" s="15" t="s">
        <v>78</v>
      </c>
      <c r="M422" s="15">
        <v>8</v>
      </c>
      <c r="N422" s="25">
        <v>1200</v>
      </c>
      <c r="O422" s="15">
        <v>10</v>
      </c>
      <c r="P422" s="25">
        <v>8640</v>
      </c>
      <c r="Q422" s="15">
        <v>4</v>
      </c>
      <c r="R422" s="15" t="s">
        <v>48</v>
      </c>
      <c r="S422" s="15" t="s">
        <v>61</v>
      </c>
      <c r="T422" s="15" t="s">
        <v>80</v>
      </c>
      <c r="U422" s="15">
        <v>9712905525</v>
      </c>
      <c r="V422" s="15" t="s">
        <v>38</v>
      </c>
      <c r="W422" s="29" t="str">
        <f t="shared" si="6"/>
        <v>Moh009Pu</v>
      </c>
    </row>
    <row r="423" spans="1:23" x14ac:dyDescent="0.5">
      <c r="A423" s="17" t="s">
        <v>1820</v>
      </c>
      <c r="B423" s="17" t="s">
        <v>127</v>
      </c>
      <c r="C423" s="17" t="s">
        <v>72</v>
      </c>
      <c r="D423" s="17" t="s">
        <v>1085</v>
      </c>
      <c r="E423" s="17" t="s">
        <v>1086</v>
      </c>
      <c r="F423" s="15" t="s">
        <v>200</v>
      </c>
      <c r="G423" s="17" t="s">
        <v>76</v>
      </c>
      <c r="H423" s="17" t="s">
        <v>1821</v>
      </c>
      <c r="I423" s="17" t="s">
        <v>212</v>
      </c>
      <c r="J423" s="17" t="s">
        <v>45</v>
      </c>
      <c r="K423" s="17" t="s">
        <v>46</v>
      </c>
      <c r="L423" s="17" t="s">
        <v>78</v>
      </c>
      <c r="M423" s="17">
        <v>8</v>
      </c>
      <c r="N423" s="26">
        <v>1200</v>
      </c>
      <c r="O423" s="17">
        <v>10</v>
      </c>
      <c r="P423" s="26">
        <v>8640</v>
      </c>
      <c r="Q423" s="17">
        <v>5</v>
      </c>
      <c r="R423" s="17" t="s">
        <v>79</v>
      </c>
      <c r="S423" s="17" t="s">
        <v>49</v>
      </c>
      <c r="T423" s="15" t="s">
        <v>132</v>
      </c>
      <c r="U423" s="17">
        <v>9812472447</v>
      </c>
      <c r="V423" s="17" t="s">
        <v>69</v>
      </c>
      <c r="W423" s="29" t="str">
        <f t="shared" si="6"/>
        <v>Roh003Ja</v>
      </c>
    </row>
    <row r="424" spans="1:23" x14ac:dyDescent="0.5">
      <c r="A424" s="15" t="s">
        <v>1823</v>
      </c>
      <c r="B424" s="15" t="s">
        <v>327</v>
      </c>
      <c r="C424" s="15" t="s">
        <v>24</v>
      </c>
      <c r="D424" s="15" t="s">
        <v>1824</v>
      </c>
      <c r="E424" s="15" t="s">
        <v>1444</v>
      </c>
      <c r="F424" s="15" t="s">
        <v>394</v>
      </c>
      <c r="G424" s="15" t="s">
        <v>76</v>
      </c>
      <c r="H424" s="15" t="s">
        <v>1825</v>
      </c>
      <c r="I424" s="15" t="s">
        <v>212</v>
      </c>
      <c r="J424" s="15" t="s">
        <v>45</v>
      </c>
      <c r="K424" s="15" t="s">
        <v>32</v>
      </c>
      <c r="L424" s="15" t="s">
        <v>33</v>
      </c>
      <c r="M424" s="15">
        <v>9</v>
      </c>
      <c r="N424" s="25">
        <v>2200</v>
      </c>
      <c r="O424" s="15">
        <v>20</v>
      </c>
      <c r="P424" s="25">
        <v>15840</v>
      </c>
      <c r="Q424" s="15">
        <v>1</v>
      </c>
      <c r="R424" s="15" t="s">
        <v>48</v>
      </c>
      <c r="S424" s="15" t="s">
        <v>115</v>
      </c>
      <c r="T424" s="15" t="s">
        <v>332</v>
      </c>
      <c r="U424" s="15">
        <v>9281127052</v>
      </c>
      <c r="V424" s="15" t="s">
        <v>38</v>
      </c>
      <c r="W424" s="29" t="str">
        <f t="shared" si="6"/>
        <v>Ami001Ja</v>
      </c>
    </row>
    <row r="425" spans="1:23" x14ac:dyDescent="0.5">
      <c r="A425" s="17" t="s">
        <v>1827</v>
      </c>
      <c r="B425" s="17" t="s">
        <v>127</v>
      </c>
      <c r="C425" s="17" t="s">
        <v>222</v>
      </c>
      <c r="D425" s="17" t="s">
        <v>1268</v>
      </c>
      <c r="E425" s="17" t="s">
        <v>760</v>
      </c>
      <c r="F425" s="15" t="s">
        <v>200</v>
      </c>
      <c r="G425" s="17" t="s">
        <v>76</v>
      </c>
      <c r="H425" s="17" t="s">
        <v>1828</v>
      </c>
      <c r="I425" s="17" t="s">
        <v>294</v>
      </c>
      <c r="J425" s="17" t="s">
        <v>295</v>
      </c>
      <c r="K425" s="17" t="s">
        <v>122</v>
      </c>
      <c r="L425" s="17" t="s">
        <v>227</v>
      </c>
      <c r="M425" s="17">
        <v>8</v>
      </c>
      <c r="N425" s="26">
        <v>20</v>
      </c>
      <c r="O425" s="17">
        <v>20</v>
      </c>
      <c r="P425" s="26">
        <v>128</v>
      </c>
      <c r="Q425" s="17">
        <v>4</v>
      </c>
      <c r="R425" s="17" t="s">
        <v>34</v>
      </c>
      <c r="S425" s="17" t="s">
        <v>35</v>
      </c>
      <c r="T425" s="15" t="s">
        <v>132</v>
      </c>
      <c r="U425" s="17">
        <v>9346312555</v>
      </c>
      <c r="V425" s="17" t="s">
        <v>69</v>
      </c>
      <c r="W425" s="29" t="str">
        <f t="shared" si="6"/>
        <v>Roh003Ko</v>
      </c>
    </row>
    <row r="426" spans="1:23" x14ac:dyDescent="0.5">
      <c r="A426" s="15" t="s">
        <v>1830</v>
      </c>
      <c r="B426" s="15" t="s">
        <v>221</v>
      </c>
      <c r="C426" s="15" t="s">
        <v>54</v>
      </c>
      <c r="D426" s="15" t="s">
        <v>1176</v>
      </c>
      <c r="E426" s="15" t="s">
        <v>1831</v>
      </c>
      <c r="F426" s="15" t="s">
        <v>225</v>
      </c>
      <c r="G426" s="15" t="s">
        <v>76</v>
      </c>
      <c r="H426" s="15" t="s">
        <v>1006</v>
      </c>
      <c r="I426" s="15" t="s">
        <v>114</v>
      </c>
      <c r="J426" s="15" t="s">
        <v>106</v>
      </c>
      <c r="K426" s="15" t="s">
        <v>46</v>
      </c>
      <c r="L426" s="15" t="s">
        <v>60</v>
      </c>
      <c r="M426" s="15">
        <v>5</v>
      </c>
      <c r="N426" s="25">
        <v>55000</v>
      </c>
      <c r="O426" s="15">
        <v>0</v>
      </c>
      <c r="P426" s="25">
        <v>275000</v>
      </c>
      <c r="Q426" s="15">
        <v>1</v>
      </c>
      <c r="R426" s="15" t="s">
        <v>79</v>
      </c>
      <c r="S426" s="15" t="s">
        <v>115</v>
      </c>
      <c r="T426" s="15" t="s">
        <v>228</v>
      </c>
      <c r="U426" s="15">
        <v>9443786067</v>
      </c>
      <c r="V426" s="15" t="s">
        <v>38</v>
      </c>
      <c r="W426" s="29" t="str">
        <f t="shared" si="6"/>
        <v>Vik005Pu</v>
      </c>
    </row>
    <row r="427" spans="1:23" x14ac:dyDescent="0.5">
      <c r="A427" s="17" t="s">
        <v>1833</v>
      </c>
      <c r="B427" s="17" t="s">
        <v>100</v>
      </c>
      <c r="C427" s="17" t="s">
        <v>72</v>
      </c>
      <c r="D427" s="17" t="s">
        <v>1834</v>
      </c>
      <c r="E427" s="17" t="s">
        <v>636</v>
      </c>
      <c r="F427" s="15" t="s">
        <v>103</v>
      </c>
      <c r="G427" s="17" t="s">
        <v>28</v>
      </c>
      <c r="H427" s="17" t="s">
        <v>1835</v>
      </c>
      <c r="I427" s="17" t="s">
        <v>105</v>
      </c>
      <c r="J427" s="17" t="s">
        <v>106</v>
      </c>
      <c r="K427" s="17" t="s">
        <v>46</v>
      </c>
      <c r="L427" s="17" t="s">
        <v>78</v>
      </c>
      <c r="M427" s="17">
        <v>13</v>
      </c>
      <c r="N427" s="26">
        <v>1200</v>
      </c>
      <c r="O427" s="17">
        <v>5</v>
      </c>
      <c r="P427" s="26">
        <v>14820</v>
      </c>
      <c r="Q427" s="17">
        <v>2</v>
      </c>
      <c r="R427" s="17" t="s">
        <v>79</v>
      </c>
      <c r="S427" s="17" t="s">
        <v>35</v>
      </c>
      <c r="T427" s="15" t="s">
        <v>144</v>
      </c>
      <c r="U427" s="17">
        <v>9452540528</v>
      </c>
      <c r="V427" s="17" t="s">
        <v>69</v>
      </c>
      <c r="W427" s="29" t="str">
        <f t="shared" si="6"/>
        <v>Pri002Mu</v>
      </c>
    </row>
    <row r="428" spans="1:23" x14ac:dyDescent="0.5">
      <c r="A428" s="15" t="s">
        <v>1837</v>
      </c>
      <c r="B428" s="15" t="s">
        <v>83</v>
      </c>
      <c r="C428" s="15" t="s">
        <v>169</v>
      </c>
      <c r="D428" s="15" t="s">
        <v>1484</v>
      </c>
      <c r="E428" s="15" t="s">
        <v>1838</v>
      </c>
      <c r="F428" s="15" t="s">
        <v>180</v>
      </c>
      <c r="G428" s="15" t="s">
        <v>76</v>
      </c>
      <c r="H428" s="15" t="s">
        <v>1839</v>
      </c>
      <c r="I428" s="15" t="s">
        <v>212</v>
      </c>
      <c r="J428" s="15" t="s">
        <v>45</v>
      </c>
      <c r="K428" s="15" t="s">
        <v>32</v>
      </c>
      <c r="L428" s="15" t="s">
        <v>174</v>
      </c>
      <c r="M428" s="15">
        <v>13</v>
      </c>
      <c r="N428" s="25">
        <v>8500</v>
      </c>
      <c r="O428" s="15">
        <v>20</v>
      </c>
      <c r="P428" s="25">
        <v>88400</v>
      </c>
      <c r="Q428" s="15">
        <v>5</v>
      </c>
      <c r="R428" s="15" t="s">
        <v>34</v>
      </c>
      <c r="S428" s="15" t="s">
        <v>49</v>
      </c>
      <c r="T428" s="15" t="s">
        <v>89</v>
      </c>
      <c r="U428" s="15">
        <v>9750918728</v>
      </c>
      <c r="V428" s="15" t="s">
        <v>64</v>
      </c>
      <c r="W428" s="29" t="str">
        <f t="shared" si="6"/>
        <v>Arj007Ja</v>
      </c>
    </row>
    <row r="429" spans="1:23" x14ac:dyDescent="0.5">
      <c r="A429" s="17" t="s">
        <v>1841</v>
      </c>
      <c r="B429" s="17" t="s">
        <v>71</v>
      </c>
      <c r="C429" s="17" t="s">
        <v>118</v>
      </c>
      <c r="D429" s="17" t="s">
        <v>765</v>
      </c>
      <c r="E429" s="17" t="s">
        <v>1842</v>
      </c>
      <c r="F429" s="15" t="s">
        <v>217</v>
      </c>
      <c r="G429" s="17" t="s">
        <v>76</v>
      </c>
      <c r="H429" s="17" t="s">
        <v>1843</v>
      </c>
      <c r="I429" s="17" t="s">
        <v>114</v>
      </c>
      <c r="J429" s="17" t="s">
        <v>106</v>
      </c>
      <c r="K429" s="17" t="s">
        <v>122</v>
      </c>
      <c r="L429" s="17" t="s">
        <v>123</v>
      </c>
      <c r="M429" s="17">
        <v>14</v>
      </c>
      <c r="N429" s="26">
        <v>60</v>
      </c>
      <c r="O429" s="17">
        <v>10</v>
      </c>
      <c r="P429" s="26">
        <v>756</v>
      </c>
      <c r="Q429" s="17">
        <v>1</v>
      </c>
      <c r="R429" s="17" t="s">
        <v>34</v>
      </c>
      <c r="S429" s="17" t="s">
        <v>61</v>
      </c>
      <c r="T429" s="15" t="s">
        <v>80</v>
      </c>
      <c r="U429" s="17">
        <v>9375975834</v>
      </c>
      <c r="V429" s="17" t="s">
        <v>69</v>
      </c>
      <c r="W429" s="29" t="str">
        <f t="shared" si="6"/>
        <v>Moh009Pu</v>
      </c>
    </row>
    <row r="430" spans="1:23" x14ac:dyDescent="0.5">
      <c r="A430" s="15" t="s">
        <v>1845</v>
      </c>
      <c r="B430" s="15" t="s">
        <v>251</v>
      </c>
      <c r="C430" s="15" t="s">
        <v>24</v>
      </c>
      <c r="D430" s="15" t="s">
        <v>336</v>
      </c>
      <c r="E430" s="15" t="s">
        <v>606</v>
      </c>
      <c r="F430" s="15" t="s">
        <v>254</v>
      </c>
      <c r="G430" s="15" t="s">
        <v>28</v>
      </c>
      <c r="H430" s="15" t="s">
        <v>1846</v>
      </c>
      <c r="I430" s="15" t="s">
        <v>59</v>
      </c>
      <c r="J430" s="15" t="s">
        <v>31</v>
      </c>
      <c r="K430" s="15" t="s">
        <v>32</v>
      </c>
      <c r="L430" s="15" t="s">
        <v>33</v>
      </c>
      <c r="M430" s="15">
        <v>15</v>
      </c>
      <c r="N430" s="25">
        <v>2200</v>
      </c>
      <c r="O430" s="15">
        <v>0</v>
      </c>
      <c r="P430" s="25">
        <v>33000</v>
      </c>
      <c r="Q430" s="15">
        <v>1</v>
      </c>
      <c r="R430" s="15" t="s">
        <v>34</v>
      </c>
      <c r="S430" s="15" t="s">
        <v>61</v>
      </c>
      <c r="T430" s="15" t="s">
        <v>256</v>
      </c>
      <c r="U430" s="15">
        <v>9497321112</v>
      </c>
      <c r="V430" s="15" t="s">
        <v>38</v>
      </c>
      <c r="W430" s="29" t="str">
        <f t="shared" si="6"/>
        <v>Sne006Be</v>
      </c>
    </row>
    <row r="431" spans="1:23" x14ac:dyDescent="0.5">
      <c r="A431" s="17" t="s">
        <v>1848</v>
      </c>
      <c r="B431" s="17" t="s">
        <v>83</v>
      </c>
      <c r="C431" s="17" t="s">
        <v>118</v>
      </c>
      <c r="D431" s="17" t="s">
        <v>1849</v>
      </c>
      <c r="E431" s="17" t="s">
        <v>1850</v>
      </c>
      <c r="F431" s="15" t="s">
        <v>180</v>
      </c>
      <c r="G431" s="17" t="s">
        <v>76</v>
      </c>
      <c r="H431" s="17" t="s">
        <v>1851</v>
      </c>
      <c r="I431" s="17" t="s">
        <v>212</v>
      </c>
      <c r="J431" s="17" t="s">
        <v>45</v>
      </c>
      <c r="K431" s="17" t="s">
        <v>122</v>
      </c>
      <c r="L431" s="17" t="s">
        <v>123</v>
      </c>
      <c r="M431" s="17">
        <v>19</v>
      </c>
      <c r="N431" s="26">
        <v>60</v>
      </c>
      <c r="O431" s="17">
        <v>20</v>
      </c>
      <c r="P431" s="26">
        <v>912</v>
      </c>
      <c r="Q431" s="17">
        <v>3</v>
      </c>
      <c r="R431" s="17" t="s">
        <v>34</v>
      </c>
      <c r="S431" s="17" t="s">
        <v>151</v>
      </c>
      <c r="T431" s="15" t="s">
        <v>89</v>
      </c>
      <c r="U431" s="17">
        <v>9828749888</v>
      </c>
      <c r="V431" s="17" t="s">
        <v>64</v>
      </c>
      <c r="W431" s="29" t="str">
        <f t="shared" si="6"/>
        <v>Arj007Ja</v>
      </c>
    </row>
    <row r="432" spans="1:23" x14ac:dyDescent="0.5">
      <c r="A432" s="15" t="s">
        <v>1853</v>
      </c>
      <c r="B432" s="15" t="s">
        <v>53</v>
      </c>
      <c r="C432" s="15" t="s">
        <v>259</v>
      </c>
      <c r="D432" s="15" t="s">
        <v>1760</v>
      </c>
      <c r="E432" s="15" t="s">
        <v>341</v>
      </c>
      <c r="F432" s="15" t="s">
        <v>163</v>
      </c>
      <c r="G432" s="15" t="s">
        <v>28</v>
      </c>
      <c r="H432" s="15" t="s">
        <v>1854</v>
      </c>
      <c r="I432" s="15" t="s">
        <v>212</v>
      </c>
      <c r="J432" s="15" t="s">
        <v>45</v>
      </c>
      <c r="K432" s="15" t="s">
        <v>122</v>
      </c>
      <c r="L432" s="15" t="s">
        <v>263</v>
      </c>
      <c r="M432" s="15">
        <v>13</v>
      </c>
      <c r="N432" s="25">
        <v>45</v>
      </c>
      <c r="O432" s="15">
        <v>15</v>
      </c>
      <c r="P432" s="25">
        <v>497.25</v>
      </c>
      <c r="Q432" s="15">
        <v>2</v>
      </c>
      <c r="R432" s="15" t="s">
        <v>34</v>
      </c>
      <c r="S432" s="15" t="s">
        <v>49</v>
      </c>
      <c r="T432" s="15" t="s">
        <v>62</v>
      </c>
      <c r="U432" s="15">
        <v>9814267382</v>
      </c>
      <c r="V432" s="15" t="s">
        <v>38</v>
      </c>
      <c r="W432" s="29" t="str">
        <f t="shared" si="6"/>
        <v>Poo010Ja</v>
      </c>
    </row>
    <row r="433" spans="1:23" x14ac:dyDescent="0.5">
      <c r="A433" s="17" t="s">
        <v>1856</v>
      </c>
      <c r="B433" s="17" t="s">
        <v>251</v>
      </c>
      <c r="C433" s="17" t="s">
        <v>40</v>
      </c>
      <c r="D433" s="17" t="s">
        <v>998</v>
      </c>
      <c r="E433" s="17" t="s">
        <v>1128</v>
      </c>
      <c r="F433" s="15" t="s">
        <v>254</v>
      </c>
      <c r="G433" s="17" t="s">
        <v>28</v>
      </c>
      <c r="H433" s="17" t="s">
        <v>1857</v>
      </c>
      <c r="I433" s="17" t="s">
        <v>105</v>
      </c>
      <c r="J433" s="17" t="s">
        <v>106</v>
      </c>
      <c r="K433" s="17" t="s">
        <v>46</v>
      </c>
      <c r="L433" s="17" t="s">
        <v>47</v>
      </c>
      <c r="M433" s="17">
        <v>7</v>
      </c>
      <c r="N433" s="26">
        <v>12000</v>
      </c>
      <c r="O433" s="17">
        <v>5</v>
      </c>
      <c r="P433" s="26">
        <v>79800</v>
      </c>
      <c r="Q433" s="17">
        <v>4</v>
      </c>
      <c r="R433" s="17" t="s">
        <v>79</v>
      </c>
      <c r="S433" s="17" t="s">
        <v>151</v>
      </c>
      <c r="T433" s="15" t="s">
        <v>256</v>
      </c>
      <c r="U433" s="17">
        <v>9937007439</v>
      </c>
      <c r="V433" s="17" t="s">
        <v>69</v>
      </c>
      <c r="W433" s="29" t="str">
        <f t="shared" si="6"/>
        <v>Sne006Mu</v>
      </c>
    </row>
    <row r="434" spans="1:23" x14ac:dyDescent="0.5">
      <c r="A434" s="15" t="s">
        <v>1859</v>
      </c>
      <c r="B434" s="15" t="s">
        <v>327</v>
      </c>
      <c r="C434" s="15" t="s">
        <v>222</v>
      </c>
      <c r="D434" s="15" t="s">
        <v>601</v>
      </c>
      <c r="E434" s="15" t="s">
        <v>2109</v>
      </c>
      <c r="F434" s="15" t="s">
        <v>394</v>
      </c>
      <c r="G434" s="15" t="s">
        <v>76</v>
      </c>
      <c r="H434" s="15" t="s">
        <v>1860</v>
      </c>
      <c r="I434" s="15" t="s">
        <v>294</v>
      </c>
      <c r="J434" s="15" t="s">
        <v>295</v>
      </c>
      <c r="K434" s="15" t="s">
        <v>122</v>
      </c>
      <c r="L434" s="15" t="s">
        <v>227</v>
      </c>
      <c r="M434" s="15">
        <v>8</v>
      </c>
      <c r="N434" s="25">
        <v>20</v>
      </c>
      <c r="O434" s="15">
        <v>0</v>
      </c>
      <c r="P434" s="25">
        <v>160</v>
      </c>
      <c r="Q434" s="15">
        <v>4</v>
      </c>
      <c r="R434" s="15" t="s">
        <v>79</v>
      </c>
      <c r="S434" s="15" t="s">
        <v>61</v>
      </c>
      <c r="T434" s="15" t="s">
        <v>332</v>
      </c>
      <c r="U434" s="15">
        <v>9657513435</v>
      </c>
      <c r="V434" s="15" t="s">
        <v>64</v>
      </c>
      <c r="W434" s="29" t="str">
        <f t="shared" si="6"/>
        <v>Ami001Ko</v>
      </c>
    </row>
    <row r="435" spans="1:23" x14ac:dyDescent="0.5">
      <c r="A435" s="17" t="s">
        <v>1862</v>
      </c>
      <c r="B435" s="17" t="s">
        <v>23</v>
      </c>
      <c r="C435" s="17" t="s">
        <v>92</v>
      </c>
      <c r="D435" s="17" t="s">
        <v>1863</v>
      </c>
      <c r="E435" s="17" t="s">
        <v>900</v>
      </c>
      <c r="F435" s="15" t="s">
        <v>27</v>
      </c>
      <c r="G435" s="17" t="s">
        <v>28</v>
      </c>
      <c r="H435" s="17" t="s">
        <v>1864</v>
      </c>
      <c r="I435" s="17" t="s">
        <v>294</v>
      </c>
      <c r="J435" s="17" t="s">
        <v>295</v>
      </c>
      <c r="K435" s="17" t="s">
        <v>32</v>
      </c>
      <c r="L435" s="17" t="s">
        <v>97</v>
      </c>
      <c r="M435" s="17">
        <v>16</v>
      </c>
      <c r="N435" s="26">
        <v>3500</v>
      </c>
      <c r="O435" s="17">
        <v>5</v>
      </c>
      <c r="P435" s="26">
        <v>53200</v>
      </c>
      <c r="Q435" s="17">
        <v>1</v>
      </c>
      <c r="R435" s="17" t="s">
        <v>79</v>
      </c>
      <c r="S435" s="17" t="s">
        <v>61</v>
      </c>
      <c r="T435" s="15" t="s">
        <v>50</v>
      </c>
      <c r="U435" s="17">
        <v>9999406260</v>
      </c>
      <c r="V435" s="17" t="s">
        <v>69</v>
      </c>
      <c r="W435" s="29" t="str">
        <f t="shared" si="6"/>
        <v>Kav008Ko</v>
      </c>
    </row>
    <row r="436" spans="1:23" x14ac:dyDescent="0.5">
      <c r="A436" s="15" t="s">
        <v>1866</v>
      </c>
      <c r="B436" s="15" t="s">
        <v>327</v>
      </c>
      <c r="C436" s="15" t="s">
        <v>169</v>
      </c>
      <c r="D436" s="15" t="s">
        <v>1867</v>
      </c>
      <c r="E436" s="15" t="s">
        <v>1157</v>
      </c>
      <c r="F436" s="15" t="s">
        <v>394</v>
      </c>
      <c r="G436" s="15" t="s">
        <v>76</v>
      </c>
      <c r="H436" s="15" t="s">
        <v>1868</v>
      </c>
      <c r="I436" s="15" t="s">
        <v>105</v>
      </c>
      <c r="J436" s="15" t="s">
        <v>106</v>
      </c>
      <c r="K436" s="15" t="s">
        <v>32</v>
      </c>
      <c r="L436" s="15" t="s">
        <v>174</v>
      </c>
      <c r="M436" s="15">
        <v>12</v>
      </c>
      <c r="N436" s="25">
        <v>8500</v>
      </c>
      <c r="O436" s="15">
        <v>10</v>
      </c>
      <c r="P436" s="25">
        <v>91800</v>
      </c>
      <c r="Q436" s="15">
        <v>3</v>
      </c>
      <c r="R436" s="15" t="s">
        <v>79</v>
      </c>
      <c r="S436" s="15" t="s">
        <v>35</v>
      </c>
      <c r="T436" s="15" t="s">
        <v>332</v>
      </c>
      <c r="U436" s="15">
        <v>9233727886</v>
      </c>
      <c r="V436" s="15" t="s">
        <v>38</v>
      </c>
      <c r="W436" s="29" t="str">
        <f t="shared" si="6"/>
        <v>Ami001Mu</v>
      </c>
    </row>
    <row r="437" spans="1:23" x14ac:dyDescent="0.5">
      <c r="A437" s="17" t="s">
        <v>1870</v>
      </c>
      <c r="B437" s="17" t="s">
        <v>23</v>
      </c>
      <c r="C437" s="17" t="s">
        <v>118</v>
      </c>
      <c r="D437" s="17" t="s">
        <v>539</v>
      </c>
      <c r="E437" s="17" t="s">
        <v>1114</v>
      </c>
      <c r="F437" s="15" t="s">
        <v>27</v>
      </c>
      <c r="G437" s="17" t="s">
        <v>28</v>
      </c>
      <c r="H437" s="17" t="s">
        <v>1871</v>
      </c>
      <c r="I437" s="17" t="s">
        <v>138</v>
      </c>
      <c r="J437" s="17" t="s">
        <v>106</v>
      </c>
      <c r="K437" s="17" t="s">
        <v>122</v>
      </c>
      <c r="L437" s="17" t="s">
        <v>123</v>
      </c>
      <c r="M437" s="17">
        <v>1</v>
      </c>
      <c r="N437" s="26">
        <v>60</v>
      </c>
      <c r="O437" s="17">
        <v>20</v>
      </c>
      <c r="P437" s="26">
        <v>48</v>
      </c>
      <c r="Q437" s="17">
        <v>2</v>
      </c>
      <c r="R437" s="17" t="s">
        <v>79</v>
      </c>
      <c r="S437" s="17" t="s">
        <v>151</v>
      </c>
      <c r="T437" s="15" t="s">
        <v>50</v>
      </c>
      <c r="U437" s="17">
        <v>9831688801</v>
      </c>
      <c r="V437" s="17" t="s">
        <v>38</v>
      </c>
      <c r="W437" s="29" t="str">
        <f t="shared" si="6"/>
        <v>Kav008Ah</v>
      </c>
    </row>
    <row r="438" spans="1:23" x14ac:dyDescent="0.5">
      <c r="A438" s="15" t="s">
        <v>1873</v>
      </c>
      <c r="B438" s="15" t="s">
        <v>127</v>
      </c>
      <c r="C438" s="15" t="s">
        <v>118</v>
      </c>
      <c r="D438" s="15" t="s">
        <v>507</v>
      </c>
      <c r="E438" s="15" t="s">
        <v>535</v>
      </c>
      <c r="F438" s="15" t="s">
        <v>200</v>
      </c>
      <c r="G438" s="15" t="s">
        <v>76</v>
      </c>
      <c r="H438" s="15" t="s">
        <v>1874</v>
      </c>
      <c r="I438" s="15" t="s">
        <v>30</v>
      </c>
      <c r="J438" s="15" t="s">
        <v>31</v>
      </c>
      <c r="K438" s="15" t="s">
        <v>122</v>
      </c>
      <c r="L438" s="15" t="s">
        <v>123</v>
      </c>
      <c r="M438" s="15">
        <v>3</v>
      </c>
      <c r="N438" s="25">
        <v>60</v>
      </c>
      <c r="O438" s="15">
        <v>15</v>
      </c>
      <c r="P438" s="25">
        <v>153</v>
      </c>
      <c r="Q438" s="15">
        <v>4</v>
      </c>
      <c r="R438" s="15" t="s">
        <v>79</v>
      </c>
      <c r="S438" s="15" t="s">
        <v>35</v>
      </c>
      <c r="T438" s="15" t="s">
        <v>132</v>
      </c>
      <c r="U438" s="15">
        <v>9982849508</v>
      </c>
      <c r="V438" s="15" t="s">
        <v>38</v>
      </c>
      <c r="W438" s="29" t="str">
        <f t="shared" si="6"/>
        <v>Roh003Hy</v>
      </c>
    </row>
    <row r="439" spans="1:23" x14ac:dyDescent="0.5">
      <c r="A439" s="17" t="s">
        <v>1876</v>
      </c>
      <c r="B439" s="17" t="s">
        <v>100</v>
      </c>
      <c r="C439" s="17" t="s">
        <v>184</v>
      </c>
      <c r="D439" s="17" t="s">
        <v>568</v>
      </c>
      <c r="E439" s="17" t="s">
        <v>119</v>
      </c>
      <c r="F439" s="15" t="s">
        <v>103</v>
      </c>
      <c r="G439" s="17" t="s">
        <v>28</v>
      </c>
      <c r="H439" s="17" t="s">
        <v>1877</v>
      </c>
      <c r="I439" s="17" t="s">
        <v>294</v>
      </c>
      <c r="J439" s="17" t="s">
        <v>295</v>
      </c>
      <c r="K439" s="17" t="s">
        <v>46</v>
      </c>
      <c r="L439" s="17" t="s">
        <v>189</v>
      </c>
      <c r="M439" s="17">
        <v>10</v>
      </c>
      <c r="N439" s="26">
        <v>700</v>
      </c>
      <c r="O439" s="17">
        <v>15</v>
      </c>
      <c r="P439" s="26">
        <v>5950</v>
      </c>
      <c r="Q439" s="17">
        <v>3</v>
      </c>
      <c r="R439" s="17" t="s">
        <v>48</v>
      </c>
      <c r="S439" s="17" t="s">
        <v>35</v>
      </c>
      <c r="T439" s="15" t="s">
        <v>144</v>
      </c>
      <c r="U439" s="17">
        <v>9288309246</v>
      </c>
      <c r="V439" s="17" t="s">
        <v>64</v>
      </c>
      <c r="W439" s="29" t="str">
        <f t="shared" si="6"/>
        <v>Pri002Ko</v>
      </c>
    </row>
    <row r="440" spans="1:23" x14ac:dyDescent="0.5">
      <c r="A440" s="15" t="s">
        <v>1879</v>
      </c>
      <c r="B440" s="15" t="s">
        <v>83</v>
      </c>
      <c r="C440" s="15" t="s">
        <v>222</v>
      </c>
      <c r="D440" s="15" t="s">
        <v>1880</v>
      </c>
      <c r="E440" s="15" t="s">
        <v>1881</v>
      </c>
      <c r="F440" s="15" t="s">
        <v>180</v>
      </c>
      <c r="G440" s="15" t="s">
        <v>76</v>
      </c>
      <c r="H440" s="15" t="s">
        <v>1882</v>
      </c>
      <c r="I440" s="15" t="s">
        <v>138</v>
      </c>
      <c r="J440" s="15" t="s">
        <v>106</v>
      </c>
      <c r="K440" s="15" t="s">
        <v>122</v>
      </c>
      <c r="L440" s="15" t="s">
        <v>227</v>
      </c>
      <c r="M440" s="15">
        <v>2</v>
      </c>
      <c r="N440" s="25">
        <v>20</v>
      </c>
      <c r="O440" s="15">
        <v>10</v>
      </c>
      <c r="P440" s="25">
        <v>36</v>
      </c>
      <c r="Q440" s="15">
        <v>2</v>
      </c>
      <c r="R440" s="15" t="s">
        <v>88</v>
      </c>
      <c r="S440" s="15" t="s">
        <v>61</v>
      </c>
      <c r="T440" s="15" t="s">
        <v>89</v>
      </c>
      <c r="U440" s="15">
        <v>9808476235</v>
      </c>
      <c r="V440" s="15" t="s">
        <v>38</v>
      </c>
      <c r="W440" s="29" t="str">
        <f t="shared" si="6"/>
        <v>Arj007Ah</v>
      </c>
    </row>
    <row r="441" spans="1:23" x14ac:dyDescent="0.5">
      <c r="A441" s="17" t="s">
        <v>1884</v>
      </c>
      <c r="B441" s="17" t="s">
        <v>83</v>
      </c>
      <c r="C441" s="17" t="s">
        <v>222</v>
      </c>
      <c r="D441" s="17" t="s">
        <v>1885</v>
      </c>
      <c r="E441" s="17" t="s">
        <v>1199</v>
      </c>
      <c r="F441" s="15" t="s">
        <v>180</v>
      </c>
      <c r="G441" s="17" t="s">
        <v>76</v>
      </c>
      <c r="H441" s="17" t="s">
        <v>1886</v>
      </c>
      <c r="I441" s="17" t="s">
        <v>44</v>
      </c>
      <c r="J441" s="17" t="s">
        <v>45</v>
      </c>
      <c r="K441" s="17" t="s">
        <v>122</v>
      </c>
      <c r="L441" s="17" t="s">
        <v>227</v>
      </c>
      <c r="M441" s="17">
        <v>14</v>
      </c>
      <c r="N441" s="26">
        <v>20</v>
      </c>
      <c r="O441" s="17">
        <v>20</v>
      </c>
      <c r="P441" s="26">
        <v>224</v>
      </c>
      <c r="Q441" s="17">
        <v>5</v>
      </c>
      <c r="R441" s="17" t="s">
        <v>34</v>
      </c>
      <c r="S441" s="17" t="s">
        <v>151</v>
      </c>
      <c r="T441" s="15" t="s">
        <v>89</v>
      </c>
      <c r="U441" s="17">
        <v>9869056117</v>
      </c>
      <c r="V441" s="17" t="s">
        <v>64</v>
      </c>
      <c r="W441" s="29" t="str">
        <f t="shared" si="6"/>
        <v>Arj007De</v>
      </c>
    </row>
    <row r="442" spans="1:23" x14ac:dyDescent="0.5">
      <c r="A442" s="15" t="s">
        <v>1888</v>
      </c>
      <c r="B442" s="15" t="s">
        <v>327</v>
      </c>
      <c r="C442" s="15" t="s">
        <v>92</v>
      </c>
      <c r="D442" s="15" t="s">
        <v>1713</v>
      </c>
      <c r="E442" s="15" t="s">
        <v>193</v>
      </c>
      <c r="F442" s="15" t="s">
        <v>394</v>
      </c>
      <c r="G442" s="15" t="s">
        <v>76</v>
      </c>
      <c r="H442" s="15" t="s">
        <v>1889</v>
      </c>
      <c r="I442" s="15" t="s">
        <v>138</v>
      </c>
      <c r="J442" s="15" t="s">
        <v>106</v>
      </c>
      <c r="K442" s="15" t="s">
        <v>32</v>
      </c>
      <c r="L442" s="15" t="s">
        <v>97</v>
      </c>
      <c r="M442" s="15">
        <v>4</v>
      </c>
      <c r="N442" s="25">
        <v>3500</v>
      </c>
      <c r="O442" s="15">
        <v>0</v>
      </c>
      <c r="P442" s="25">
        <v>14000</v>
      </c>
      <c r="Q442" s="15">
        <v>2</v>
      </c>
      <c r="R442" s="15" t="s">
        <v>88</v>
      </c>
      <c r="S442" s="15" t="s">
        <v>35</v>
      </c>
      <c r="T442" s="15" t="s">
        <v>332</v>
      </c>
      <c r="U442" s="15">
        <v>9734229772</v>
      </c>
      <c r="V442" s="15" t="s">
        <v>69</v>
      </c>
      <c r="W442" s="29" t="str">
        <f t="shared" si="6"/>
        <v>Ami001Ah</v>
      </c>
    </row>
    <row r="443" spans="1:23" x14ac:dyDescent="0.5">
      <c r="A443" s="17" t="s">
        <v>1891</v>
      </c>
      <c r="B443" s="17" t="s">
        <v>83</v>
      </c>
      <c r="C443" s="17" t="s">
        <v>92</v>
      </c>
      <c r="D443" s="17" t="s">
        <v>318</v>
      </c>
      <c r="E443" s="17" t="s">
        <v>1119</v>
      </c>
      <c r="F443" s="15" t="s">
        <v>180</v>
      </c>
      <c r="G443" s="17" t="s">
        <v>76</v>
      </c>
      <c r="H443" s="17" t="s">
        <v>1892</v>
      </c>
      <c r="I443" s="17" t="s">
        <v>212</v>
      </c>
      <c r="J443" s="17" t="s">
        <v>45</v>
      </c>
      <c r="K443" s="17" t="s">
        <v>32</v>
      </c>
      <c r="L443" s="17" t="s">
        <v>97</v>
      </c>
      <c r="M443" s="17">
        <v>9</v>
      </c>
      <c r="N443" s="26">
        <v>3500</v>
      </c>
      <c r="O443" s="17">
        <v>5</v>
      </c>
      <c r="P443" s="26">
        <v>29925</v>
      </c>
      <c r="Q443" s="17">
        <v>3</v>
      </c>
      <c r="R443" s="17" t="s">
        <v>79</v>
      </c>
      <c r="S443" s="17" t="s">
        <v>61</v>
      </c>
      <c r="T443" s="15" t="s">
        <v>89</v>
      </c>
      <c r="U443" s="17">
        <v>9791617906</v>
      </c>
      <c r="V443" s="17" t="s">
        <v>38</v>
      </c>
      <c r="W443" s="29" t="str">
        <f t="shared" si="6"/>
        <v>Arj007Ja</v>
      </c>
    </row>
    <row r="444" spans="1:23" x14ac:dyDescent="0.5">
      <c r="A444" s="15" t="s">
        <v>1894</v>
      </c>
      <c r="B444" s="15" t="s">
        <v>127</v>
      </c>
      <c r="C444" s="15" t="s">
        <v>118</v>
      </c>
      <c r="D444" s="15" t="s">
        <v>683</v>
      </c>
      <c r="E444" s="15" t="s">
        <v>1465</v>
      </c>
      <c r="F444" s="15" t="s">
        <v>200</v>
      </c>
      <c r="G444" s="15" t="s">
        <v>76</v>
      </c>
      <c r="H444" s="15" t="s">
        <v>1895</v>
      </c>
      <c r="I444" s="15" t="s">
        <v>105</v>
      </c>
      <c r="J444" s="15" t="s">
        <v>106</v>
      </c>
      <c r="K444" s="15" t="s">
        <v>122</v>
      </c>
      <c r="L444" s="15" t="s">
        <v>123</v>
      </c>
      <c r="M444" s="15">
        <v>9</v>
      </c>
      <c r="N444" s="25">
        <v>60</v>
      </c>
      <c r="O444" s="15">
        <v>0</v>
      </c>
      <c r="P444" s="25">
        <v>540</v>
      </c>
      <c r="Q444" s="15">
        <v>3</v>
      </c>
      <c r="R444" s="15" t="s">
        <v>88</v>
      </c>
      <c r="S444" s="15" t="s">
        <v>35</v>
      </c>
      <c r="T444" s="15" t="s">
        <v>132</v>
      </c>
      <c r="U444" s="15">
        <v>9286316823</v>
      </c>
      <c r="V444" s="15" t="s">
        <v>64</v>
      </c>
      <c r="W444" s="29" t="str">
        <f t="shared" si="6"/>
        <v>Roh003Mu</v>
      </c>
    </row>
    <row r="445" spans="1:23" x14ac:dyDescent="0.5">
      <c r="A445" s="17" t="s">
        <v>1897</v>
      </c>
      <c r="B445" s="17" t="s">
        <v>168</v>
      </c>
      <c r="C445" s="17" t="s">
        <v>72</v>
      </c>
      <c r="D445" s="17" t="s">
        <v>1898</v>
      </c>
      <c r="E445" s="17" t="s">
        <v>1263</v>
      </c>
      <c r="F445" s="15" t="s">
        <v>361</v>
      </c>
      <c r="G445" s="17" t="s">
        <v>28</v>
      </c>
      <c r="H445" s="17" t="s">
        <v>1899</v>
      </c>
      <c r="I445" s="17" t="s">
        <v>138</v>
      </c>
      <c r="J445" s="17" t="s">
        <v>106</v>
      </c>
      <c r="K445" s="17" t="s">
        <v>46</v>
      </c>
      <c r="L445" s="17" t="s">
        <v>78</v>
      </c>
      <c r="M445" s="17">
        <v>4</v>
      </c>
      <c r="N445" s="26">
        <v>1200</v>
      </c>
      <c r="O445" s="17">
        <v>0</v>
      </c>
      <c r="P445" s="26">
        <v>4800</v>
      </c>
      <c r="Q445" s="17">
        <v>1</v>
      </c>
      <c r="R445" s="17" t="s">
        <v>48</v>
      </c>
      <c r="S445" s="17" t="s">
        <v>61</v>
      </c>
      <c r="T445" s="15" t="s">
        <v>175</v>
      </c>
      <c r="U445" s="17">
        <v>9810569252</v>
      </c>
      <c r="V445" s="17" t="s">
        <v>38</v>
      </c>
      <c r="W445" s="29" t="str">
        <f t="shared" si="6"/>
        <v>Ani004Ah</v>
      </c>
    </row>
    <row r="446" spans="1:23" x14ac:dyDescent="0.5">
      <c r="A446" s="15" t="s">
        <v>1901</v>
      </c>
      <c r="B446" s="15" t="s">
        <v>53</v>
      </c>
      <c r="C446" s="15" t="s">
        <v>54</v>
      </c>
      <c r="D446" s="15" t="s">
        <v>1620</v>
      </c>
      <c r="E446" s="15" t="s">
        <v>302</v>
      </c>
      <c r="F446" s="15" t="s">
        <v>163</v>
      </c>
      <c r="G446" s="15" t="s">
        <v>28</v>
      </c>
      <c r="H446" s="15" t="s">
        <v>1902</v>
      </c>
      <c r="I446" s="15" t="s">
        <v>30</v>
      </c>
      <c r="J446" s="15" t="s">
        <v>31</v>
      </c>
      <c r="K446" s="15" t="s">
        <v>46</v>
      </c>
      <c r="L446" s="15" t="s">
        <v>60</v>
      </c>
      <c r="M446" s="15">
        <v>10</v>
      </c>
      <c r="N446" s="25">
        <v>55000</v>
      </c>
      <c r="O446" s="15">
        <v>5</v>
      </c>
      <c r="P446" s="25">
        <v>522500</v>
      </c>
      <c r="Q446" s="15">
        <v>5</v>
      </c>
      <c r="R446" s="15" t="s">
        <v>88</v>
      </c>
      <c r="S446" s="15" t="s">
        <v>115</v>
      </c>
      <c r="T446" s="15" t="s">
        <v>62</v>
      </c>
      <c r="U446" s="15">
        <v>9771745925</v>
      </c>
      <c r="V446" s="15" t="s">
        <v>38</v>
      </c>
      <c r="W446" s="29" t="str">
        <f t="shared" si="6"/>
        <v>Poo010Hy</v>
      </c>
    </row>
    <row r="447" spans="1:23" x14ac:dyDescent="0.5">
      <c r="A447" s="17" t="s">
        <v>1904</v>
      </c>
      <c r="B447" s="17" t="s">
        <v>221</v>
      </c>
      <c r="C447" s="17" t="s">
        <v>259</v>
      </c>
      <c r="D447" s="17" t="s">
        <v>1905</v>
      </c>
      <c r="E447" s="17" t="s">
        <v>881</v>
      </c>
      <c r="F447" s="15" t="s">
        <v>225</v>
      </c>
      <c r="G447" s="17" t="s">
        <v>76</v>
      </c>
      <c r="H447" s="17" t="s">
        <v>1906</v>
      </c>
      <c r="I447" s="17" t="s">
        <v>30</v>
      </c>
      <c r="J447" s="17" t="s">
        <v>31</v>
      </c>
      <c r="K447" s="17" t="s">
        <v>122</v>
      </c>
      <c r="L447" s="17" t="s">
        <v>263</v>
      </c>
      <c r="M447" s="17">
        <v>20</v>
      </c>
      <c r="N447" s="26">
        <v>45</v>
      </c>
      <c r="O447" s="17">
        <v>15</v>
      </c>
      <c r="P447" s="26">
        <v>765</v>
      </c>
      <c r="Q447" s="17">
        <v>2</v>
      </c>
      <c r="R447" s="17" t="s">
        <v>79</v>
      </c>
      <c r="S447" s="17" t="s">
        <v>35</v>
      </c>
      <c r="T447" s="15" t="s">
        <v>228</v>
      </c>
      <c r="U447" s="17">
        <v>9820683063</v>
      </c>
      <c r="V447" s="17" t="s">
        <v>69</v>
      </c>
      <c r="W447" s="29" t="str">
        <f t="shared" si="6"/>
        <v>Vik005Hy</v>
      </c>
    </row>
    <row r="448" spans="1:23" x14ac:dyDescent="0.5">
      <c r="A448" s="15" t="s">
        <v>1908</v>
      </c>
      <c r="B448" s="15" t="s">
        <v>23</v>
      </c>
      <c r="C448" s="15" t="s">
        <v>222</v>
      </c>
      <c r="D448" s="15" t="s">
        <v>314</v>
      </c>
      <c r="E448" s="15" t="s">
        <v>170</v>
      </c>
      <c r="F448" s="15" t="s">
        <v>27</v>
      </c>
      <c r="G448" s="15" t="s">
        <v>28</v>
      </c>
      <c r="H448" s="15" t="s">
        <v>1909</v>
      </c>
      <c r="I448" s="15" t="s">
        <v>105</v>
      </c>
      <c r="J448" s="15" t="s">
        <v>106</v>
      </c>
      <c r="K448" s="15" t="s">
        <v>122</v>
      </c>
      <c r="L448" s="15" t="s">
        <v>227</v>
      </c>
      <c r="M448" s="15">
        <v>9</v>
      </c>
      <c r="N448" s="25">
        <v>20</v>
      </c>
      <c r="O448" s="15">
        <v>20</v>
      </c>
      <c r="P448" s="25">
        <v>144</v>
      </c>
      <c r="Q448" s="15">
        <v>3</v>
      </c>
      <c r="R448" s="15" t="s">
        <v>79</v>
      </c>
      <c r="S448" s="15" t="s">
        <v>61</v>
      </c>
      <c r="T448" s="15" t="s">
        <v>50</v>
      </c>
      <c r="U448" s="15">
        <v>9292891941</v>
      </c>
      <c r="V448" s="15" t="s">
        <v>38</v>
      </c>
      <c r="W448" s="29" t="str">
        <f t="shared" si="6"/>
        <v>Kav008Mu</v>
      </c>
    </row>
    <row r="449" spans="1:23" x14ac:dyDescent="0.5">
      <c r="A449" s="17" t="s">
        <v>1911</v>
      </c>
      <c r="B449" s="17" t="s">
        <v>23</v>
      </c>
      <c r="C449" s="17" t="s">
        <v>54</v>
      </c>
      <c r="D449" s="17" t="s">
        <v>1912</v>
      </c>
      <c r="E449" s="17" t="s">
        <v>910</v>
      </c>
      <c r="F449" s="15" t="s">
        <v>27</v>
      </c>
      <c r="G449" s="17" t="s">
        <v>28</v>
      </c>
      <c r="H449" s="17" t="s">
        <v>1913</v>
      </c>
      <c r="I449" s="17" t="s">
        <v>114</v>
      </c>
      <c r="J449" s="17" t="s">
        <v>106</v>
      </c>
      <c r="K449" s="17" t="s">
        <v>46</v>
      </c>
      <c r="L449" s="17" t="s">
        <v>60</v>
      </c>
      <c r="M449" s="17">
        <v>8</v>
      </c>
      <c r="N449" s="26">
        <v>55000</v>
      </c>
      <c r="O449" s="17">
        <v>0</v>
      </c>
      <c r="P449" s="26">
        <v>440000</v>
      </c>
      <c r="Q449" s="17">
        <v>4</v>
      </c>
      <c r="R449" s="17" t="s">
        <v>34</v>
      </c>
      <c r="S449" s="17" t="s">
        <v>115</v>
      </c>
      <c r="T449" s="15" t="s">
        <v>50</v>
      </c>
      <c r="U449" s="17">
        <v>9413789556</v>
      </c>
      <c r="V449" s="17" t="s">
        <v>38</v>
      </c>
      <c r="W449" s="29" t="str">
        <f t="shared" si="6"/>
        <v>Kav008Pu</v>
      </c>
    </row>
    <row r="450" spans="1:23" x14ac:dyDescent="0.5">
      <c r="A450" s="15" t="s">
        <v>1915</v>
      </c>
      <c r="B450" s="15" t="s">
        <v>327</v>
      </c>
      <c r="C450" s="15" t="s">
        <v>72</v>
      </c>
      <c r="D450" s="15" t="s">
        <v>1916</v>
      </c>
      <c r="E450" s="15" t="s">
        <v>1430</v>
      </c>
      <c r="F450" s="15" t="s">
        <v>394</v>
      </c>
      <c r="G450" s="15" t="s">
        <v>76</v>
      </c>
      <c r="H450" s="15" t="s">
        <v>1917</v>
      </c>
      <c r="I450" s="15" t="s">
        <v>138</v>
      </c>
      <c r="J450" s="15" t="s">
        <v>106</v>
      </c>
      <c r="K450" s="15" t="s">
        <v>46</v>
      </c>
      <c r="L450" s="15" t="s">
        <v>78</v>
      </c>
      <c r="M450" s="15">
        <v>4</v>
      </c>
      <c r="N450" s="25">
        <v>1200</v>
      </c>
      <c r="O450" s="15">
        <v>10</v>
      </c>
      <c r="P450" s="25">
        <v>4320</v>
      </c>
      <c r="Q450" s="15">
        <v>4</v>
      </c>
      <c r="R450" s="15" t="s">
        <v>88</v>
      </c>
      <c r="S450" s="15" t="s">
        <v>35</v>
      </c>
      <c r="T450" s="15" t="s">
        <v>332</v>
      </c>
      <c r="U450" s="15">
        <v>98765</v>
      </c>
      <c r="V450" s="15" t="s">
        <v>69</v>
      </c>
      <c r="W450" s="29" t="str">
        <f t="shared" si="6"/>
        <v>Ami001Ah</v>
      </c>
    </row>
    <row r="451" spans="1:23" x14ac:dyDescent="0.5">
      <c r="A451" s="17" t="s">
        <v>1920</v>
      </c>
      <c r="B451" s="17" t="s">
        <v>327</v>
      </c>
      <c r="C451" s="17" t="s">
        <v>169</v>
      </c>
      <c r="D451" s="17" t="s">
        <v>518</v>
      </c>
      <c r="E451" s="17" t="s">
        <v>426</v>
      </c>
      <c r="F451" s="15" t="s">
        <v>394</v>
      </c>
      <c r="G451" s="17" t="s">
        <v>76</v>
      </c>
      <c r="H451" s="17" t="s">
        <v>1921</v>
      </c>
      <c r="I451" s="17" t="s">
        <v>294</v>
      </c>
      <c r="J451" s="17" t="s">
        <v>295</v>
      </c>
      <c r="K451" s="17" t="s">
        <v>32</v>
      </c>
      <c r="L451" s="17" t="s">
        <v>174</v>
      </c>
      <c r="M451" s="17">
        <v>14</v>
      </c>
      <c r="N451" s="26">
        <v>8500</v>
      </c>
      <c r="O451" s="17">
        <v>10</v>
      </c>
      <c r="P451" s="26">
        <v>107100</v>
      </c>
      <c r="Q451" s="17">
        <v>4</v>
      </c>
      <c r="R451" s="17" t="s">
        <v>34</v>
      </c>
      <c r="S451" s="17" t="s">
        <v>35</v>
      </c>
      <c r="T451" s="15" t="s">
        <v>332</v>
      </c>
      <c r="U451" s="17">
        <v>9211936331</v>
      </c>
      <c r="V451" s="17" t="s">
        <v>38</v>
      </c>
      <c r="W451" s="29" t="str">
        <f t="shared" ref="W451:W501" si="7">LEFT(F451, 3) &amp; RIGHT(B451,3) &amp; LEFT(I451,2)</f>
        <v>Ami001Ko</v>
      </c>
    </row>
    <row r="452" spans="1:23" x14ac:dyDescent="0.5">
      <c r="A452" s="15" t="s">
        <v>1923</v>
      </c>
      <c r="B452" s="15" t="s">
        <v>71</v>
      </c>
      <c r="C452" s="15" t="s">
        <v>259</v>
      </c>
      <c r="D452" s="15" t="s">
        <v>683</v>
      </c>
      <c r="E452" s="15" t="s">
        <v>1924</v>
      </c>
      <c r="F452" s="15" t="s">
        <v>217</v>
      </c>
      <c r="G452" s="15" t="s">
        <v>76</v>
      </c>
      <c r="H452" s="15" t="s">
        <v>1925</v>
      </c>
      <c r="I452" s="15" t="s">
        <v>30</v>
      </c>
      <c r="J452" s="15" t="s">
        <v>31</v>
      </c>
      <c r="K452" s="15" t="s">
        <v>122</v>
      </c>
      <c r="L452" s="15" t="s">
        <v>263</v>
      </c>
      <c r="M452" s="15">
        <v>1</v>
      </c>
      <c r="N452" s="25">
        <v>45</v>
      </c>
      <c r="O452" s="15">
        <v>0</v>
      </c>
      <c r="P452" s="25">
        <v>45</v>
      </c>
      <c r="Q452" s="15">
        <v>3</v>
      </c>
      <c r="R452" s="15" t="s">
        <v>88</v>
      </c>
      <c r="S452" s="15" t="s">
        <v>151</v>
      </c>
      <c r="T452" s="15" t="s">
        <v>80</v>
      </c>
      <c r="U452" s="15">
        <v>9167291747</v>
      </c>
      <c r="V452" s="15" t="s">
        <v>69</v>
      </c>
      <c r="W452" s="29" t="str">
        <f t="shared" si="7"/>
        <v>Moh009Hy</v>
      </c>
    </row>
    <row r="453" spans="1:23" x14ac:dyDescent="0.5">
      <c r="A453" s="17" t="s">
        <v>1927</v>
      </c>
      <c r="B453" s="17" t="s">
        <v>71</v>
      </c>
      <c r="C453" s="17" t="s">
        <v>54</v>
      </c>
      <c r="D453" s="17" t="s">
        <v>901</v>
      </c>
      <c r="E453" s="17" t="s">
        <v>1069</v>
      </c>
      <c r="F453" s="15" t="s">
        <v>217</v>
      </c>
      <c r="G453" s="17" t="s">
        <v>76</v>
      </c>
      <c r="H453" s="17" t="s">
        <v>1928</v>
      </c>
      <c r="I453" s="17" t="s">
        <v>44</v>
      </c>
      <c r="J453" s="17" t="s">
        <v>45</v>
      </c>
      <c r="K453" s="17" t="s">
        <v>46</v>
      </c>
      <c r="L453" s="17" t="s">
        <v>60</v>
      </c>
      <c r="M453" s="17">
        <v>16</v>
      </c>
      <c r="N453" s="26">
        <v>55000</v>
      </c>
      <c r="O453" s="17">
        <v>15</v>
      </c>
      <c r="P453" s="26">
        <v>748000</v>
      </c>
      <c r="Q453" s="17">
        <v>1</v>
      </c>
      <c r="R453" s="17" t="s">
        <v>79</v>
      </c>
      <c r="S453" s="17" t="s">
        <v>151</v>
      </c>
      <c r="T453" s="15" t="s">
        <v>80</v>
      </c>
      <c r="U453" s="17">
        <v>9637283597</v>
      </c>
      <c r="V453" s="17" t="s">
        <v>69</v>
      </c>
      <c r="W453" s="29" t="str">
        <f t="shared" si="7"/>
        <v>Moh009De</v>
      </c>
    </row>
    <row r="454" spans="1:23" x14ac:dyDescent="0.5">
      <c r="A454" s="15" t="s">
        <v>1930</v>
      </c>
      <c r="B454" s="15" t="s">
        <v>53</v>
      </c>
      <c r="C454" s="15" t="s">
        <v>184</v>
      </c>
      <c r="D454" s="15" t="s">
        <v>1931</v>
      </c>
      <c r="E454" s="15" t="s">
        <v>1932</v>
      </c>
      <c r="F454" s="15" t="s">
        <v>163</v>
      </c>
      <c r="G454" s="15" t="s">
        <v>28</v>
      </c>
      <c r="H454" s="15" t="s">
        <v>1933</v>
      </c>
      <c r="I454" s="15" t="s">
        <v>138</v>
      </c>
      <c r="J454" s="15" t="s">
        <v>106</v>
      </c>
      <c r="K454" s="15" t="s">
        <v>46</v>
      </c>
      <c r="L454" s="15" t="s">
        <v>189</v>
      </c>
      <c r="M454" s="15">
        <v>8</v>
      </c>
      <c r="N454" s="25">
        <v>700</v>
      </c>
      <c r="O454" s="15">
        <v>0</v>
      </c>
      <c r="P454" s="25">
        <v>5600</v>
      </c>
      <c r="Q454" s="15">
        <v>3</v>
      </c>
      <c r="R454" s="15" t="s">
        <v>34</v>
      </c>
      <c r="S454" s="15" t="s">
        <v>49</v>
      </c>
      <c r="T454" s="15" t="s">
        <v>62</v>
      </c>
      <c r="U454" s="15">
        <v>9514269002</v>
      </c>
      <c r="V454" s="15" t="s">
        <v>38</v>
      </c>
      <c r="W454" s="29" t="str">
        <f t="shared" si="7"/>
        <v>Poo010Ah</v>
      </c>
    </row>
    <row r="455" spans="1:23" x14ac:dyDescent="0.5">
      <c r="A455" s="17" t="s">
        <v>1935</v>
      </c>
      <c r="B455" s="17" t="s">
        <v>251</v>
      </c>
      <c r="C455" s="17" t="s">
        <v>72</v>
      </c>
      <c r="D455" s="17" t="s">
        <v>66</v>
      </c>
      <c r="E455" s="17" t="s">
        <v>1936</v>
      </c>
      <c r="F455" s="15" t="s">
        <v>254</v>
      </c>
      <c r="G455" s="17" t="s">
        <v>28</v>
      </c>
      <c r="H455" s="17" t="s">
        <v>1937</v>
      </c>
      <c r="I455" s="17" t="s">
        <v>138</v>
      </c>
      <c r="J455" s="17" t="s">
        <v>106</v>
      </c>
      <c r="K455" s="17" t="s">
        <v>46</v>
      </c>
      <c r="L455" s="17" t="s">
        <v>78</v>
      </c>
      <c r="M455" s="17">
        <v>3</v>
      </c>
      <c r="N455" s="26">
        <v>1200</v>
      </c>
      <c r="O455" s="17">
        <v>0</v>
      </c>
      <c r="P455" s="26">
        <v>3600</v>
      </c>
      <c r="Q455" s="17">
        <v>1</v>
      </c>
      <c r="R455" s="17" t="s">
        <v>79</v>
      </c>
      <c r="S455" s="17" t="s">
        <v>49</v>
      </c>
      <c r="T455" s="15" t="s">
        <v>256</v>
      </c>
      <c r="U455" s="17">
        <v>9778908233</v>
      </c>
      <c r="V455" s="17" t="s">
        <v>69</v>
      </c>
      <c r="W455" s="29" t="str">
        <f t="shared" si="7"/>
        <v>Sne006Ah</v>
      </c>
    </row>
    <row r="456" spans="1:23" x14ac:dyDescent="0.5">
      <c r="A456" s="15" t="s">
        <v>1939</v>
      </c>
      <c r="B456" s="15" t="s">
        <v>71</v>
      </c>
      <c r="C456" s="15" t="s">
        <v>92</v>
      </c>
      <c r="D456" s="15" t="s">
        <v>988</v>
      </c>
      <c r="E456" s="15" t="s">
        <v>387</v>
      </c>
      <c r="F456" s="15" t="s">
        <v>217</v>
      </c>
      <c r="G456" s="15" t="s">
        <v>76</v>
      </c>
      <c r="H456" s="15" t="s">
        <v>1940</v>
      </c>
      <c r="I456" s="15" t="s">
        <v>294</v>
      </c>
      <c r="J456" s="15" t="s">
        <v>295</v>
      </c>
      <c r="K456" s="15" t="s">
        <v>32</v>
      </c>
      <c r="L456" s="15" t="s">
        <v>97</v>
      </c>
      <c r="M456" s="15">
        <v>7</v>
      </c>
      <c r="N456" s="25">
        <v>3500</v>
      </c>
      <c r="O456" s="15">
        <v>15</v>
      </c>
      <c r="P456" s="25">
        <v>20825</v>
      </c>
      <c r="Q456" s="15">
        <v>4</v>
      </c>
      <c r="R456" s="15" t="s">
        <v>79</v>
      </c>
      <c r="S456" s="15" t="s">
        <v>61</v>
      </c>
      <c r="T456" s="15" t="s">
        <v>80</v>
      </c>
      <c r="U456" s="15">
        <v>9981118755</v>
      </c>
      <c r="V456" s="15" t="s">
        <v>64</v>
      </c>
      <c r="W456" s="29" t="str">
        <f t="shared" si="7"/>
        <v>Moh009Ko</v>
      </c>
    </row>
    <row r="457" spans="1:23" x14ac:dyDescent="0.5">
      <c r="A457" s="17" t="s">
        <v>1942</v>
      </c>
      <c r="B457" s="17" t="s">
        <v>53</v>
      </c>
      <c r="C457" s="17" t="s">
        <v>54</v>
      </c>
      <c r="D457" s="17" t="s">
        <v>1932</v>
      </c>
      <c r="E457" s="17" t="s">
        <v>740</v>
      </c>
      <c r="F457" s="15" t="s">
        <v>163</v>
      </c>
      <c r="G457" s="17" t="s">
        <v>28</v>
      </c>
      <c r="H457" s="17" t="s">
        <v>1943</v>
      </c>
      <c r="I457" s="17" t="s">
        <v>114</v>
      </c>
      <c r="J457" s="17" t="s">
        <v>106</v>
      </c>
      <c r="K457" s="17" t="s">
        <v>46</v>
      </c>
      <c r="L457" s="17" t="s">
        <v>60</v>
      </c>
      <c r="M457" s="17">
        <v>9</v>
      </c>
      <c r="N457" s="26">
        <v>55000</v>
      </c>
      <c r="O457" s="17">
        <v>15</v>
      </c>
      <c r="P457" s="26">
        <v>420750</v>
      </c>
      <c r="Q457" s="17">
        <v>3</v>
      </c>
      <c r="R457" s="17" t="s">
        <v>88</v>
      </c>
      <c r="S457" s="17" t="s">
        <v>35</v>
      </c>
      <c r="T457" s="15" t="s">
        <v>62</v>
      </c>
      <c r="U457" s="17">
        <v>9887896743</v>
      </c>
      <c r="V457" s="17" t="s">
        <v>69</v>
      </c>
      <c r="W457" s="29" t="str">
        <f t="shared" si="7"/>
        <v>Poo010Pu</v>
      </c>
    </row>
    <row r="458" spans="1:23" x14ac:dyDescent="0.5">
      <c r="A458" s="15" t="s">
        <v>1945</v>
      </c>
      <c r="B458" s="15" t="s">
        <v>327</v>
      </c>
      <c r="C458" s="15" t="s">
        <v>40</v>
      </c>
      <c r="D458" s="15" t="s">
        <v>185</v>
      </c>
      <c r="E458" s="15" t="s">
        <v>918</v>
      </c>
      <c r="F458" s="15" t="s">
        <v>394</v>
      </c>
      <c r="G458" s="15" t="s">
        <v>76</v>
      </c>
      <c r="H458" s="15" t="s">
        <v>1946</v>
      </c>
      <c r="I458" s="15" t="s">
        <v>59</v>
      </c>
      <c r="J458" s="15" t="s">
        <v>31</v>
      </c>
      <c r="K458" s="15" t="s">
        <v>46</v>
      </c>
      <c r="L458" s="15" t="s">
        <v>47</v>
      </c>
      <c r="M458" s="15">
        <v>12</v>
      </c>
      <c r="N458" s="25">
        <v>12000</v>
      </c>
      <c r="O458" s="15">
        <v>0</v>
      </c>
      <c r="P458" s="25">
        <v>144000</v>
      </c>
      <c r="Q458" s="15">
        <v>3</v>
      </c>
      <c r="R458" s="15" t="s">
        <v>79</v>
      </c>
      <c r="S458" s="15" t="s">
        <v>151</v>
      </c>
      <c r="T458" s="15" t="s">
        <v>332</v>
      </c>
      <c r="U458" s="15">
        <v>9585330043</v>
      </c>
      <c r="V458" s="15" t="s">
        <v>69</v>
      </c>
      <c r="W458" s="29" t="str">
        <f t="shared" si="7"/>
        <v>Ami001Be</v>
      </c>
    </row>
    <row r="459" spans="1:23" x14ac:dyDescent="0.5">
      <c r="A459" s="17" t="s">
        <v>1948</v>
      </c>
      <c r="B459" s="17" t="s">
        <v>100</v>
      </c>
      <c r="C459" s="17" t="s">
        <v>118</v>
      </c>
      <c r="D459" s="17" t="s">
        <v>42</v>
      </c>
      <c r="E459" s="17" t="s">
        <v>597</v>
      </c>
      <c r="F459" s="15" t="s">
        <v>103</v>
      </c>
      <c r="G459" s="17" t="s">
        <v>28</v>
      </c>
      <c r="H459" s="17" t="s">
        <v>1949</v>
      </c>
      <c r="I459" s="17" t="s">
        <v>138</v>
      </c>
      <c r="J459" s="17" t="s">
        <v>106</v>
      </c>
      <c r="K459" s="17" t="s">
        <v>122</v>
      </c>
      <c r="L459" s="17" t="s">
        <v>123</v>
      </c>
      <c r="M459" s="17">
        <v>7</v>
      </c>
      <c r="N459" s="26">
        <v>60</v>
      </c>
      <c r="O459" s="17">
        <v>10</v>
      </c>
      <c r="P459" s="26">
        <v>378</v>
      </c>
      <c r="Q459" s="17">
        <v>4</v>
      </c>
      <c r="R459" s="17" t="s">
        <v>34</v>
      </c>
      <c r="S459" s="17" t="s">
        <v>49</v>
      </c>
      <c r="T459" s="15" t="s">
        <v>144</v>
      </c>
      <c r="U459" s="17">
        <v>9423719975</v>
      </c>
      <c r="V459" s="17" t="s">
        <v>69</v>
      </c>
      <c r="W459" s="29" t="str">
        <f t="shared" si="7"/>
        <v>Pri002Ah</v>
      </c>
    </row>
    <row r="460" spans="1:23" x14ac:dyDescent="0.5">
      <c r="A460" s="15" t="s">
        <v>1951</v>
      </c>
      <c r="B460" s="15" t="s">
        <v>221</v>
      </c>
      <c r="C460" s="15" t="s">
        <v>24</v>
      </c>
      <c r="D460" s="15" t="s">
        <v>377</v>
      </c>
      <c r="E460" s="15" t="s">
        <v>674</v>
      </c>
      <c r="F460" s="15" t="s">
        <v>225</v>
      </c>
      <c r="G460" s="15" t="s">
        <v>76</v>
      </c>
      <c r="H460" s="15" t="s">
        <v>1952</v>
      </c>
      <c r="I460" s="15" t="s">
        <v>105</v>
      </c>
      <c r="J460" s="15" t="s">
        <v>106</v>
      </c>
      <c r="K460" s="15" t="s">
        <v>32</v>
      </c>
      <c r="L460" s="15" t="s">
        <v>33</v>
      </c>
      <c r="M460" s="15">
        <v>17</v>
      </c>
      <c r="N460" s="25">
        <v>2200</v>
      </c>
      <c r="O460" s="15">
        <v>15</v>
      </c>
      <c r="P460" s="25">
        <v>31790</v>
      </c>
      <c r="Q460" s="15">
        <v>3</v>
      </c>
      <c r="R460" s="15" t="s">
        <v>88</v>
      </c>
      <c r="S460" s="15" t="s">
        <v>151</v>
      </c>
      <c r="T460" s="15" t="s">
        <v>228</v>
      </c>
      <c r="U460" s="15">
        <v>9270746961</v>
      </c>
      <c r="V460" s="15" t="s">
        <v>64</v>
      </c>
      <c r="W460" s="29" t="str">
        <f t="shared" si="7"/>
        <v>Vik005Mu</v>
      </c>
    </row>
    <row r="461" spans="1:23" x14ac:dyDescent="0.5">
      <c r="A461" s="17" t="s">
        <v>1954</v>
      </c>
      <c r="B461" s="17" t="s">
        <v>327</v>
      </c>
      <c r="C461" s="17" t="s">
        <v>184</v>
      </c>
      <c r="D461" s="17" t="s">
        <v>351</v>
      </c>
      <c r="E461" s="17" t="s">
        <v>1537</v>
      </c>
      <c r="F461" s="15" t="s">
        <v>394</v>
      </c>
      <c r="G461" s="17" t="s">
        <v>76</v>
      </c>
      <c r="H461" s="17" t="s">
        <v>1955</v>
      </c>
      <c r="I461" s="17" t="s">
        <v>59</v>
      </c>
      <c r="J461" s="17" t="s">
        <v>31</v>
      </c>
      <c r="K461" s="17" t="s">
        <v>46</v>
      </c>
      <c r="L461" s="17" t="s">
        <v>189</v>
      </c>
      <c r="M461" s="17">
        <v>17</v>
      </c>
      <c r="N461" s="26">
        <v>700</v>
      </c>
      <c r="O461" s="17">
        <v>10</v>
      </c>
      <c r="P461" s="26">
        <v>10710</v>
      </c>
      <c r="Q461" s="17">
        <v>2</v>
      </c>
      <c r="R461" s="17" t="s">
        <v>34</v>
      </c>
      <c r="S461" s="17" t="s">
        <v>61</v>
      </c>
      <c r="T461" s="15" t="s">
        <v>332</v>
      </c>
      <c r="U461" s="17">
        <v>9333162025</v>
      </c>
      <c r="V461" s="17" t="s">
        <v>64</v>
      </c>
      <c r="W461" s="29" t="str">
        <f t="shared" si="7"/>
        <v>Ami001Be</v>
      </c>
    </row>
    <row r="462" spans="1:23" x14ac:dyDescent="0.5">
      <c r="A462" s="15" t="s">
        <v>1957</v>
      </c>
      <c r="B462" s="15" t="s">
        <v>327</v>
      </c>
      <c r="C462" s="15" t="s">
        <v>54</v>
      </c>
      <c r="D462" s="15" t="s">
        <v>1958</v>
      </c>
      <c r="E462" s="15" t="s">
        <v>1188</v>
      </c>
      <c r="F462" s="15" t="s">
        <v>394</v>
      </c>
      <c r="G462" s="15" t="s">
        <v>76</v>
      </c>
      <c r="H462" s="15" t="s">
        <v>1959</v>
      </c>
      <c r="I462" s="15" t="s">
        <v>44</v>
      </c>
      <c r="J462" s="15" t="s">
        <v>45</v>
      </c>
      <c r="K462" s="15" t="s">
        <v>46</v>
      </c>
      <c r="L462" s="15" t="s">
        <v>60</v>
      </c>
      <c r="M462" s="15">
        <v>19</v>
      </c>
      <c r="N462" s="25">
        <v>55000</v>
      </c>
      <c r="O462" s="15">
        <v>20</v>
      </c>
      <c r="P462" s="25">
        <v>836000</v>
      </c>
      <c r="Q462" s="15">
        <v>5</v>
      </c>
      <c r="R462" s="15" t="s">
        <v>48</v>
      </c>
      <c r="S462" s="15" t="s">
        <v>61</v>
      </c>
      <c r="T462" s="15" t="s">
        <v>332</v>
      </c>
      <c r="U462" s="15">
        <v>9247023285</v>
      </c>
      <c r="V462" s="15" t="s">
        <v>38</v>
      </c>
      <c r="W462" s="29" t="str">
        <f t="shared" si="7"/>
        <v>Ami001De</v>
      </c>
    </row>
    <row r="463" spans="1:23" x14ac:dyDescent="0.5">
      <c r="A463" s="17" t="s">
        <v>1961</v>
      </c>
      <c r="B463" s="17" t="s">
        <v>127</v>
      </c>
      <c r="C463" s="17" t="s">
        <v>118</v>
      </c>
      <c r="D463" s="17" t="s">
        <v>1172</v>
      </c>
      <c r="E463" s="17" t="s">
        <v>128</v>
      </c>
      <c r="F463" s="15" t="s">
        <v>200</v>
      </c>
      <c r="G463" s="17" t="s">
        <v>76</v>
      </c>
      <c r="H463" s="17" t="s">
        <v>1962</v>
      </c>
      <c r="I463" s="17" t="s">
        <v>44</v>
      </c>
      <c r="J463" s="17" t="s">
        <v>45</v>
      </c>
      <c r="K463" s="17" t="s">
        <v>122</v>
      </c>
      <c r="L463" s="17" t="s">
        <v>123</v>
      </c>
      <c r="M463" s="17">
        <v>1</v>
      </c>
      <c r="N463" s="26">
        <v>60</v>
      </c>
      <c r="O463" s="17">
        <v>10</v>
      </c>
      <c r="P463" s="26">
        <v>54</v>
      </c>
      <c r="Q463" s="17">
        <v>4</v>
      </c>
      <c r="R463" s="17" t="s">
        <v>48</v>
      </c>
      <c r="S463" s="17" t="s">
        <v>2109</v>
      </c>
      <c r="T463" s="15" t="s">
        <v>132</v>
      </c>
      <c r="U463" s="17">
        <v>9448658297</v>
      </c>
      <c r="V463" s="17" t="s">
        <v>69</v>
      </c>
      <c r="W463" s="29" t="str">
        <f t="shared" si="7"/>
        <v>Roh003De</v>
      </c>
    </row>
    <row r="464" spans="1:23" x14ac:dyDescent="0.5">
      <c r="A464" s="15" t="s">
        <v>1965</v>
      </c>
      <c r="B464" s="15" t="s">
        <v>71</v>
      </c>
      <c r="C464" s="15" t="s">
        <v>92</v>
      </c>
      <c r="D464" s="15" t="s">
        <v>1142</v>
      </c>
      <c r="E464" s="15" t="s">
        <v>554</v>
      </c>
      <c r="F464" s="15" t="s">
        <v>217</v>
      </c>
      <c r="G464" s="15" t="s">
        <v>76</v>
      </c>
      <c r="H464" s="15" t="s">
        <v>1966</v>
      </c>
      <c r="I464" s="15" t="s">
        <v>30</v>
      </c>
      <c r="J464" s="15" t="s">
        <v>31</v>
      </c>
      <c r="K464" s="15" t="s">
        <v>32</v>
      </c>
      <c r="L464" s="15" t="s">
        <v>97</v>
      </c>
      <c r="M464" s="15">
        <v>16</v>
      </c>
      <c r="N464" s="25">
        <v>3500</v>
      </c>
      <c r="O464" s="15">
        <v>0</v>
      </c>
      <c r="P464" s="25">
        <v>56000</v>
      </c>
      <c r="Q464" s="15">
        <v>4</v>
      </c>
      <c r="R464" s="15" t="s">
        <v>48</v>
      </c>
      <c r="S464" s="15" t="s">
        <v>35</v>
      </c>
      <c r="T464" s="15" t="s">
        <v>80</v>
      </c>
      <c r="U464" s="15">
        <v>9906748486</v>
      </c>
      <c r="V464" s="15" t="s">
        <v>64</v>
      </c>
      <c r="W464" s="29" t="str">
        <f t="shared" si="7"/>
        <v>Moh009Hy</v>
      </c>
    </row>
    <row r="465" spans="1:23" x14ac:dyDescent="0.5">
      <c r="A465" s="17" t="s">
        <v>1968</v>
      </c>
      <c r="B465" s="17" t="s">
        <v>127</v>
      </c>
      <c r="C465" s="17" t="s">
        <v>222</v>
      </c>
      <c r="D465" s="17" t="s">
        <v>957</v>
      </c>
      <c r="E465" s="17" t="s">
        <v>766</v>
      </c>
      <c r="F465" s="15" t="s">
        <v>200</v>
      </c>
      <c r="G465" s="17" t="s">
        <v>76</v>
      </c>
      <c r="H465" s="17" t="s">
        <v>1295</v>
      </c>
      <c r="I465" s="17" t="s">
        <v>114</v>
      </c>
      <c r="J465" s="17" t="s">
        <v>106</v>
      </c>
      <c r="K465" s="17" t="s">
        <v>122</v>
      </c>
      <c r="L465" s="17" t="s">
        <v>227</v>
      </c>
      <c r="M465" s="17">
        <v>14</v>
      </c>
      <c r="N465" s="26">
        <v>20</v>
      </c>
      <c r="O465" s="17">
        <v>10</v>
      </c>
      <c r="P465" s="26">
        <v>252</v>
      </c>
      <c r="Q465" s="17">
        <v>1</v>
      </c>
      <c r="R465" s="17" t="s">
        <v>48</v>
      </c>
      <c r="S465" s="17" t="s">
        <v>61</v>
      </c>
      <c r="T465" s="15" t="s">
        <v>132</v>
      </c>
      <c r="U465" s="17">
        <v>9365182725</v>
      </c>
      <c r="V465" s="17" t="s">
        <v>64</v>
      </c>
      <c r="W465" s="29" t="str">
        <f t="shared" si="7"/>
        <v>Roh003Pu</v>
      </c>
    </row>
    <row r="466" spans="1:23" x14ac:dyDescent="0.5">
      <c r="A466" s="15" t="s">
        <v>1970</v>
      </c>
      <c r="B466" s="15" t="s">
        <v>71</v>
      </c>
      <c r="C466" s="15" t="s">
        <v>24</v>
      </c>
      <c r="D466" s="15" t="s">
        <v>473</v>
      </c>
      <c r="E466" s="15" t="s">
        <v>454</v>
      </c>
      <c r="F466" s="15" t="s">
        <v>217</v>
      </c>
      <c r="G466" s="15" t="s">
        <v>76</v>
      </c>
      <c r="H466" s="15" t="s">
        <v>1971</v>
      </c>
      <c r="I466" s="15" t="s">
        <v>59</v>
      </c>
      <c r="J466" s="15" t="s">
        <v>31</v>
      </c>
      <c r="K466" s="15" t="s">
        <v>32</v>
      </c>
      <c r="L466" s="15" t="s">
        <v>33</v>
      </c>
      <c r="M466" s="15">
        <v>11</v>
      </c>
      <c r="N466" s="25">
        <v>2200</v>
      </c>
      <c r="O466" s="15">
        <v>15</v>
      </c>
      <c r="P466" s="25">
        <v>20570</v>
      </c>
      <c r="Q466" s="15">
        <v>4</v>
      </c>
      <c r="R466" s="15" t="s">
        <v>48</v>
      </c>
      <c r="S466" s="15" t="s">
        <v>49</v>
      </c>
      <c r="T466" s="15" t="s">
        <v>80</v>
      </c>
      <c r="U466" s="15">
        <v>9937119494</v>
      </c>
      <c r="V466" s="15" t="s">
        <v>69</v>
      </c>
      <c r="W466" s="29" t="str">
        <f t="shared" si="7"/>
        <v>Moh009Be</v>
      </c>
    </row>
    <row r="467" spans="1:23" x14ac:dyDescent="0.5">
      <c r="A467" s="17" t="s">
        <v>1973</v>
      </c>
      <c r="B467" s="17" t="s">
        <v>83</v>
      </c>
      <c r="C467" s="17" t="s">
        <v>54</v>
      </c>
      <c r="D467" s="17" t="s">
        <v>756</v>
      </c>
      <c r="E467" s="17" t="s">
        <v>1282</v>
      </c>
      <c r="F467" s="15" t="s">
        <v>180</v>
      </c>
      <c r="G467" s="17" t="s">
        <v>76</v>
      </c>
      <c r="H467" s="17" t="s">
        <v>1974</v>
      </c>
      <c r="I467" s="17" t="s">
        <v>212</v>
      </c>
      <c r="J467" s="17" t="s">
        <v>45</v>
      </c>
      <c r="K467" s="17" t="s">
        <v>46</v>
      </c>
      <c r="L467" s="17" t="s">
        <v>60</v>
      </c>
      <c r="M467" s="17">
        <v>2</v>
      </c>
      <c r="N467" s="26">
        <v>55000</v>
      </c>
      <c r="O467" s="17">
        <v>0</v>
      </c>
      <c r="P467" s="26">
        <v>110000</v>
      </c>
      <c r="Q467" s="17">
        <v>4</v>
      </c>
      <c r="R467" s="17" t="s">
        <v>48</v>
      </c>
      <c r="S467" s="17" t="s">
        <v>49</v>
      </c>
      <c r="T467" s="15" t="s">
        <v>89</v>
      </c>
      <c r="U467" s="17">
        <v>9828015293</v>
      </c>
      <c r="V467" s="17" t="s">
        <v>69</v>
      </c>
      <c r="W467" s="29" t="str">
        <f t="shared" si="7"/>
        <v>Arj007Ja</v>
      </c>
    </row>
    <row r="468" spans="1:23" x14ac:dyDescent="0.5">
      <c r="A468" s="15" t="s">
        <v>1976</v>
      </c>
      <c r="B468" s="15" t="s">
        <v>53</v>
      </c>
      <c r="C468" s="15" t="s">
        <v>24</v>
      </c>
      <c r="D468" s="15" t="s">
        <v>512</v>
      </c>
      <c r="E468" s="15" t="s">
        <v>513</v>
      </c>
      <c r="F468" s="15" t="s">
        <v>163</v>
      </c>
      <c r="G468" s="15" t="s">
        <v>28</v>
      </c>
      <c r="H468" s="15" t="s">
        <v>1977</v>
      </c>
      <c r="I468" s="15" t="s">
        <v>114</v>
      </c>
      <c r="J468" s="15" t="s">
        <v>106</v>
      </c>
      <c r="K468" s="15" t="s">
        <v>32</v>
      </c>
      <c r="L468" s="15" t="s">
        <v>33</v>
      </c>
      <c r="M468" s="15">
        <v>7</v>
      </c>
      <c r="N468" s="25">
        <v>2200</v>
      </c>
      <c r="O468" s="15">
        <v>5</v>
      </c>
      <c r="P468" s="25">
        <v>14630</v>
      </c>
      <c r="Q468" s="15">
        <v>4</v>
      </c>
      <c r="R468" s="15" t="s">
        <v>79</v>
      </c>
      <c r="S468" s="15" t="s">
        <v>115</v>
      </c>
      <c r="T468" s="15" t="s">
        <v>62</v>
      </c>
      <c r="U468" s="15">
        <v>9864206250</v>
      </c>
      <c r="V468" s="15" t="s">
        <v>69</v>
      </c>
      <c r="W468" s="29" t="str">
        <f t="shared" si="7"/>
        <v>Poo010Pu</v>
      </c>
    </row>
    <row r="469" spans="1:23" x14ac:dyDescent="0.5">
      <c r="A469" s="17" t="s">
        <v>1979</v>
      </c>
      <c r="B469" s="17" t="s">
        <v>23</v>
      </c>
      <c r="C469" s="17" t="s">
        <v>259</v>
      </c>
      <c r="D469" s="17" t="s">
        <v>1507</v>
      </c>
      <c r="E469" s="17" t="s">
        <v>577</v>
      </c>
      <c r="F469" s="15" t="s">
        <v>27</v>
      </c>
      <c r="G469" s="17" t="s">
        <v>28</v>
      </c>
      <c r="H469" s="17" t="s">
        <v>1980</v>
      </c>
      <c r="I469" s="17" t="s">
        <v>138</v>
      </c>
      <c r="J469" s="17" t="s">
        <v>106</v>
      </c>
      <c r="K469" s="17" t="s">
        <v>122</v>
      </c>
      <c r="L469" s="17" t="s">
        <v>263</v>
      </c>
      <c r="M469" s="17">
        <v>11</v>
      </c>
      <c r="N469" s="26">
        <v>45</v>
      </c>
      <c r="O469" s="17">
        <v>15</v>
      </c>
      <c r="P469" s="26">
        <v>420.75</v>
      </c>
      <c r="Q469" s="17">
        <v>4</v>
      </c>
      <c r="R469" s="17" t="s">
        <v>79</v>
      </c>
      <c r="S469" s="17" t="s">
        <v>61</v>
      </c>
      <c r="T469" s="15" t="s">
        <v>50</v>
      </c>
      <c r="U469" s="17">
        <v>9519293104</v>
      </c>
      <c r="V469" s="17" t="s">
        <v>64</v>
      </c>
      <c r="W469" s="29" t="str">
        <f t="shared" si="7"/>
        <v>Kav008Ah</v>
      </c>
    </row>
    <row r="470" spans="1:23" x14ac:dyDescent="0.5">
      <c r="A470" s="15" t="s">
        <v>1982</v>
      </c>
      <c r="B470" s="15" t="s">
        <v>100</v>
      </c>
      <c r="C470" s="15" t="s">
        <v>118</v>
      </c>
      <c r="D470" s="15" t="s">
        <v>1114</v>
      </c>
      <c r="E470" s="15" t="s">
        <v>210</v>
      </c>
      <c r="F470" s="15" t="s">
        <v>103</v>
      </c>
      <c r="G470" s="15" t="s">
        <v>28</v>
      </c>
      <c r="H470" s="15" t="s">
        <v>1983</v>
      </c>
      <c r="I470" s="15" t="s">
        <v>105</v>
      </c>
      <c r="J470" s="15" t="s">
        <v>106</v>
      </c>
      <c r="K470" s="15" t="s">
        <v>122</v>
      </c>
      <c r="L470" s="15" t="s">
        <v>123</v>
      </c>
      <c r="M470" s="15">
        <v>16</v>
      </c>
      <c r="N470" s="25">
        <v>60</v>
      </c>
      <c r="O470" s="15">
        <v>5</v>
      </c>
      <c r="P470" s="25">
        <v>912</v>
      </c>
      <c r="Q470" s="15">
        <v>2</v>
      </c>
      <c r="R470" s="15" t="s">
        <v>34</v>
      </c>
      <c r="S470" s="15" t="s">
        <v>115</v>
      </c>
      <c r="T470" s="15" t="s">
        <v>144</v>
      </c>
      <c r="U470" s="15">
        <v>9296075245</v>
      </c>
      <c r="V470" s="15" t="s">
        <v>69</v>
      </c>
      <c r="W470" s="29" t="str">
        <f t="shared" si="7"/>
        <v>Pri002Mu</v>
      </c>
    </row>
    <row r="471" spans="1:23" x14ac:dyDescent="0.5">
      <c r="A471" s="17" t="s">
        <v>1985</v>
      </c>
      <c r="B471" s="17" t="s">
        <v>327</v>
      </c>
      <c r="C471" s="17" t="s">
        <v>54</v>
      </c>
      <c r="D471" s="17" t="s">
        <v>1102</v>
      </c>
      <c r="E471" s="17" t="s">
        <v>864</v>
      </c>
      <c r="F471" s="15" t="s">
        <v>394</v>
      </c>
      <c r="G471" s="17" t="s">
        <v>76</v>
      </c>
      <c r="H471" s="17" t="s">
        <v>1986</v>
      </c>
      <c r="I471" s="17" t="s">
        <v>114</v>
      </c>
      <c r="J471" s="17" t="s">
        <v>106</v>
      </c>
      <c r="K471" s="17" t="s">
        <v>46</v>
      </c>
      <c r="L471" s="17" t="s">
        <v>60</v>
      </c>
      <c r="M471" s="17">
        <v>18</v>
      </c>
      <c r="N471" s="26">
        <v>55000</v>
      </c>
      <c r="O471" s="17">
        <v>0</v>
      </c>
      <c r="P471" s="26">
        <v>990000</v>
      </c>
      <c r="Q471" s="17">
        <v>5</v>
      </c>
      <c r="R471" s="17" t="s">
        <v>48</v>
      </c>
      <c r="S471" s="17" t="s">
        <v>49</v>
      </c>
      <c r="T471" s="15" t="s">
        <v>332</v>
      </c>
      <c r="U471" s="17">
        <v>9316770206</v>
      </c>
      <c r="V471" s="17" t="s">
        <v>64</v>
      </c>
      <c r="W471" s="29" t="str">
        <f t="shared" si="7"/>
        <v>Ami001Pu</v>
      </c>
    </row>
    <row r="472" spans="1:23" x14ac:dyDescent="0.5">
      <c r="A472" s="15" t="s">
        <v>1988</v>
      </c>
      <c r="B472" s="15" t="s">
        <v>23</v>
      </c>
      <c r="C472" s="15" t="s">
        <v>72</v>
      </c>
      <c r="D472" s="15" t="s">
        <v>1989</v>
      </c>
      <c r="E472" s="15" t="s">
        <v>1880</v>
      </c>
      <c r="F472" s="15" t="s">
        <v>27</v>
      </c>
      <c r="G472" s="15" t="s">
        <v>28</v>
      </c>
      <c r="H472" s="15" t="s">
        <v>1990</v>
      </c>
      <c r="I472" s="15" t="s">
        <v>59</v>
      </c>
      <c r="J472" s="15" t="s">
        <v>31</v>
      </c>
      <c r="K472" s="15" t="s">
        <v>46</v>
      </c>
      <c r="L472" s="15" t="s">
        <v>78</v>
      </c>
      <c r="M472" s="15">
        <v>17</v>
      </c>
      <c r="N472" s="25">
        <v>1200</v>
      </c>
      <c r="O472" s="15">
        <v>5</v>
      </c>
      <c r="P472" s="25">
        <v>19380</v>
      </c>
      <c r="Q472" s="15">
        <v>1</v>
      </c>
      <c r="R472" s="15" t="s">
        <v>48</v>
      </c>
      <c r="S472" s="15" t="s">
        <v>35</v>
      </c>
      <c r="T472" s="15" t="s">
        <v>50</v>
      </c>
      <c r="U472" s="15">
        <v>9706553861</v>
      </c>
      <c r="V472" s="15" t="s">
        <v>64</v>
      </c>
      <c r="W472" s="29" t="str">
        <f t="shared" si="7"/>
        <v>Kav008Be</v>
      </c>
    </row>
    <row r="473" spans="1:23" x14ac:dyDescent="0.5">
      <c r="A473" s="17" t="s">
        <v>1992</v>
      </c>
      <c r="B473" s="17" t="s">
        <v>53</v>
      </c>
      <c r="C473" s="17" t="s">
        <v>54</v>
      </c>
      <c r="D473" s="17" t="s">
        <v>41</v>
      </c>
      <c r="E473" s="17" t="s">
        <v>199</v>
      </c>
      <c r="F473" s="15" t="s">
        <v>163</v>
      </c>
      <c r="G473" s="17" t="s">
        <v>28</v>
      </c>
      <c r="H473" s="17" t="s">
        <v>1993</v>
      </c>
      <c r="I473" s="17" t="s">
        <v>114</v>
      </c>
      <c r="J473" s="17" t="s">
        <v>106</v>
      </c>
      <c r="K473" s="17" t="s">
        <v>46</v>
      </c>
      <c r="L473" s="17" t="s">
        <v>60</v>
      </c>
      <c r="M473" s="17">
        <v>11</v>
      </c>
      <c r="N473" s="26">
        <v>55000</v>
      </c>
      <c r="O473" s="17">
        <v>0</v>
      </c>
      <c r="P473" s="26">
        <v>605000</v>
      </c>
      <c r="Q473" s="17">
        <v>2</v>
      </c>
      <c r="R473" s="17" t="s">
        <v>34</v>
      </c>
      <c r="S473" s="17" t="s">
        <v>61</v>
      </c>
      <c r="T473" s="15" t="s">
        <v>62</v>
      </c>
      <c r="U473" s="17">
        <v>9524904662</v>
      </c>
      <c r="V473" s="17" t="s">
        <v>64</v>
      </c>
      <c r="W473" s="29" t="str">
        <f t="shared" si="7"/>
        <v>Poo010Pu</v>
      </c>
    </row>
    <row r="474" spans="1:23" x14ac:dyDescent="0.5">
      <c r="A474" s="15" t="s">
        <v>1995</v>
      </c>
      <c r="B474" s="15" t="s">
        <v>251</v>
      </c>
      <c r="C474" s="15" t="s">
        <v>184</v>
      </c>
      <c r="D474" s="15" t="s">
        <v>236</v>
      </c>
      <c r="E474" s="15" t="s">
        <v>678</v>
      </c>
      <c r="F474" s="15" t="s">
        <v>254</v>
      </c>
      <c r="G474" s="15" t="s">
        <v>28</v>
      </c>
      <c r="H474" s="15" t="s">
        <v>1996</v>
      </c>
      <c r="I474" s="15" t="s">
        <v>44</v>
      </c>
      <c r="J474" s="15" t="s">
        <v>45</v>
      </c>
      <c r="K474" s="15" t="s">
        <v>46</v>
      </c>
      <c r="L474" s="15" t="s">
        <v>189</v>
      </c>
      <c r="M474" s="15">
        <v>20</v>
      </c>
      <c r="N474" s="25">
        <v>700</v>
      </c>
      <c r="O474" s="15">
        <v>20</v>
      </c>
      <c r="P474" s="25">
        <v>11200</v>
      </c>
      <c r="Q474" s="15">
        <v>5</v>
      </c>
      <c r="R474" s="15" t="s">
        <v>48</v>
      </c>
      <c r="S474" s="15" t="s">
        <v>61</v>
      </c>
      <c r="T474" s="15" t="s">
        <v>256</v>
      </c>
      <c r="U474" s="15">
        <v>9577624596</v>
      </c>
      <c r="V474" s="15" t="s">
        <v>38</v>
      </c>
      <c r="W474" s="29" t="str">
        <f t="shared" si="7"/>
        <v>Sne006De</v>
      </c>
    </row>
    <row r="475" spans="1:23" x14ac:dyDescent="0.5">
      <c r="A475" s="17" t="s">
        <v>1998</v>
      </c>
      <c r="B475" s="17" t="s">
        <v>71</v>
      </c>
      <c r="C475" s="17" t="s">
        <v>222</v>
      </c>
      <c r="D475" s="17" t="s">
        <v>484</v>
      </c>
      <c r="E475" s="17" t="s">
        <v>322</v>
      </c>
      <c r="F475" s="15" t="s">
        <v>217</v>
      </c>
      <c r="G475" s="17" t="s">
        <v>76</v>
      </c>
      <c r="H475" s="17" t="s">
        <v>1999</v>
      </c>
      <c r="I475" s="17" t="s">
        <v>44</v>
      </c>
      <c r="J475" s="17" t="s">
        <v>45</v>
      </c>
      <c r="K475" s="17" t="s">
        <v>122</v>
      </c>
      <c r="L475" s="17" t="s">
        <v>227</v>
      </c>
      <c r="M475" s="17">
        <v>5</v>
      </c>
      <c r="N475" s="26">
        <v>20</v>
      </c>
      <c r="O475" s="17">
        <v>5</v>
      </c>
      <c r="P475" s="26">
        <v>95</v>
      </c>
      <c r="Q475" s="17">
        <v>4</v>
      </c>
      <c r="R475" s="17" t="s">
        <v>34</v>
      </c>
      <c r="S475" s="17" t="s">
        <v>49</v>
      </c>
      <c r="T475" s="15" t="s">
        <v>80</v>
      </c>
      <c r="U475" s="17">
        <v>9898452436</v>
      </c>
      <c r="V475" s="17" t="s">
        <v>69</v>
      </c>
      <c r="W475" s="29" t="str">
        <f t="shared" si="7"/>
        <v>Moh009De</v>
      </c>
    </row>
    <row r="476" spans="1:23" x14ac:dyDescent="0.5">
      <c r="A476" s="15" t="s">
        <v>2001</v>
      </c>
      <c r="B476" s="15" t="s">
        <v>327</v>
      </c>
      <c r="C476" s="15" t="s">
        <v>54</v>
      </c>
      <c r="D476" s="15" t="s">
        <v>765</v>
      </c>
      <c r="E476" s="15" t="s">
        <v>1373</v>
      </c>
      <c r="F476" s="15" t="s">
        <v>394</v>
      </c>
      <c r="G476" s="15" t="s">
        <v>76</v>
      </c>
      <c r="H476" s="15" t="s">
        <v>2002</v>
      </c>
      <c r="I476" s="15" t="s">
        <v>105</v>
      </c>
      <c r="J476" s="15" t="s">
        <v>106</v>
      </c>
      <c r="K476" s="15" t="s">
        <v>46</v>
      </c>
      <c r="L476" s="15" t="s">
        <v>60</v>
      </c>
      <c r="M476" s="15">
        <v>13</v>
      </c>
      <c r="N476" s="25">
        <v>55000</v>
      </c>
      <c r="O476" s="15">
        <v>5</v>
      </c>
      <c r="P476" s="25">
        <v>679250</v>
      </c>
      <c r="Q476" s="15">
        <v>1</v>
      </c>
      <c r="R476" s="15" t="s">
        <v>48</v>
      </c>
      <c r="S476" s="15" t="s">
        <v>49</v>
      </c>
      <c r="T476" s="15" t="s">
        <v>332</v>
      </c>
      <c r="U476" s="15">
        <v>9960757012</v>
      </c>
      <c r="V476" s="15" t="s">
        <v>64</v>
      </c>
      <c r="W476" s="29" t="str">
        <f t="shared" si="7"/>
        <v>Ami001Mu</v>
      </c>
    </row>
    <row r="477" spans="1:23" x14ac:dyDescent="0.5">
      <c r="A477" s="17" t="s">
        <v>2004</v>
      </c>
      <c r="B477" s="17" t="s">
        <v>127</v>
      </c>
      <c r="C477" s="17" t="s">
        <v>54</v>
      </c>
      <c r="D477" s="17" t="s">
        <v>102</v>
      </c>
      <c r="E477" s="17" t="s">
        <v>1114</v>
      </c>
      <c r="F477" s="15" t="s">
        <v>200</v>
      </c>
      <c r="G477" s="17" t="s">
        <v>76</v>
      </c>
      <c r="H477" s="17" t="s">
        <v>2005</v>
      </c>
      <c r="I477" s="17" t="s">
        <v>294</v>
      </c>
      <c r="J477" s="17" t="s">
        <v>295</v>
      </c>
      <c r="K477" s="17" t="s">
        <v>46</v>
      </c>
      <c r="L477" s="17" t="s">
        <v>60</v>
      </c>
      <c r="M477" s="17">
        <v>12</v>
      </c>
      <c r="N477" s="26">
        <v>55000</v>
      </c>
      <c r="O477" s="17">
        <v>5</v>
      </c>
      <c r="P477" s="26">
        <v>627000</v>
      </c>
      <c r="Q477" s="17">
        <v>1</v>
      </c>
      <c r="R477" s="17" t="s">
        <v>48</v>
      </c>
      <c r="S477" s="17" t="s">
        <v>115</v>
      </c>
      <c r="T477" s="15" t="s">
        <v>132</v>
      </c>
      <c r="U477" s="17">
        <v>9331268182</v>
      </c>
      <c r="V477" s="17" t="s">
        <v>69</v>
      </c>
      <c r="W477" s="29" t="str">
        <f t="shared" si="7"/>
        <v>Roh003Ko</v>
      </c>
    </row>
    <row r="478" spans="1:23" x14ac:dyDescent="0.5">
      <c r="A478" s="15" t="s">
        <v>2007</v>
      </c>
      <c r="B478" s="15" t="s">
        <v>53</v>
      </c>
      <c r="C478" s="15" t="s">
        <v>259</v>
      </c>
      <c r="D478" s="15" t="s">
        <v>761</v>
      </c>
      <c r="E478" s="15" t="s">
        <v>1705</v>
      </c>
      <c r="F478" s="15" t="s">
        <v>163</v>
      </c>
      <c r="G478" s="15" t="s">
        <v>28</v>
      </c>
      <c r="H478" s="15" t="s">
        <v>2008</v>
      </c>
      <c r="I478" s="15" t="s">
        <v>105</v>
      </c>
      <c r="J478" s="15" t="s">
        <v>106</v>
      </c>
      <c r="K478" s="15" t="s">
        <v>122</v>
      </c>
      <c r="L478" s="15" t="s">
        <v>263</v>
      </c>
      <c r="M478" s="15">
        <v>16</v>
      </c>
      <c r="N478" s="25">
        <v>45</v>
      </c>
      <c r="O478" s="15">
        <v>20</v>
      </c>
      <c r="P478" s="25">
        <v>576</v>
      </c>
      <c r="Q478" s="15">
        <v>2</v>
      </c>
      <c r="R478" s="15" t="s">
        <v>34</v>
      </c>
      <c r="S478" s="15" t="s">
        <v>49</v>
      </c>
      <c r="T478" s="15" t="s">
        <v>62</v>
      </c>
      <c r="U478" s="15">
        <v>9135996862</v>
      </c>
      <c r="V478" s="15" t="s">
        <v>64</v>
      </c>
      <c r="W478" s="29" t="str">
        <f t="shared" si="7"/>
        <v>Poo010Mu</v>
      </c>
    </row>
    <row r="479" spans="1:23" x14ac:dyDescent="0.5">
      <c r="A479" s="17" t="s">
        <v>2010</v>
      </c>
      <c r="B479" s="17" t="s">
        <v>23</v>
      </c>
      <c r="C479" s="17" t="s">
        <v>72</v>
      </c>
      <c r="D479" s="17" t="s">
        <v>25</v>
      </c>
      <c r="E479" s="17" t="s">
        <v>73</v>
      </c>
      <c r="F479" s="15" t="s">
        <v>27</v>
      </c>
      <c r="G479" s="17" t="s">
        <v>28</v>
      </c>
      <c r="H479" s="17" t="s">
        <v>2011</v>
      </c>
      <c r="I479" s="17" t="s">
        <v>59</v>
      </c>
      <c r="J479" s="17" t="s">
        <v>31</v>
      </c>
      <c r="K479" s="17" t="s">
        <v>46</v>
      </c>
      <c r="L479" s="17" t="s">
        <v>78</v>
      </c>
      <c r="M479" s="17">
        <v>5</v>
      </c>
      <c r="N479" s="26">
        <v>1200</v>
      </c>
      <c r="O479" s="17">
        <v>10</v>
      </c>
      <c r="P479" s="26">
        <v>5400</v>
      </c>
      <c r="Q479" s="17">
        <v>1</v>
      </c>
      <c r="R479" s="17" t="s">
        <v>34</v>
      </c>
      <c r="S479" s="17" t="s">
        <v>2109</v>
      </c>
      <c r="T479" s="15" t="s">
        <v>50</v>
      </c>
      <c r="U479" s="17">
        <v>9540813143</v>
      </c>
      <c r="V479" s="17" t="s">
        <v>38</v>
      </c>
      <c r="W479" s="29" t="str">
        <f t="shared" si="7"/>
        <v>Kav008Be</v>
      </c>
    </row>
    <row r="480" spans="1:23" x14ac:dyDescent="0.5">
      <c r="A480" s="15" t="s">
        <v>2014</v>
      </c>
      <c r="B480" s="15" t="s">
        <v>168</v>
      </c>
      <c r="C480" s="15" t="s">
        <v>259</v>
      </c>
      <c r="D480" s="15" t="s">
        <v>282</v>
      </c>
      <c r="E480" s="15" t="s">
        <v>702</v>
      </c>
      <c r="F480" s="15" t="s">
        <v>361</v>
      </c>
      <c r="G480" s="15" t="s">
        <v>28</v>
      </c>
      <c r="H480" s="15" t="s">
        <v>2016</v>
      </c>
      <c r="I480" s="15" t="s">
        <v>294</v>
      </c>
      <c r="J480" s="15" t="s">
        <v>295</v>
      </c>
      <c r="K480" s="15" t="s">
        <v>122</v>
      </c>
      <c r="L480" s="15" t="s">
        <v>263</v>
      </c>
      <c r="M480" s="15">
        <v>2</v>
      </c>
      <c r="N480" s="25">
        <v>45</v>
      </c>
      <c r="O480" s="15">
        <v>10</v>
      </c>
      <c r="P480" s="25">
        <v>81</v>
      </c>
      <c r="Q480" s="15">
        <v>4</v>
      </c>
      <c r="R480" s="15" t="s">
        <v>88</v>
      </c>
      <c r="S480" s="15" t="s">
        <v>49</v>
      </c>
      <c r="T480" s="15" t="s">
        <v>175</v>
      </c>
      <c r="U480" s="15">
        <v>9910913552</v>
      </c>
      <c r="V480" s="15" t="s">
        <v>64</v>
      </c>
      <c r="W480" s="29" t="str">
        <f t="shared" si="7"/>
        <v>Ani004Ko</v>
      </c>
    </row>
    <row r="481" spans="1:23" x14ac:dyDescent="0.5">
      <c r="A481" s="17" t="s">
        <v>2018</v>
      </c>
      <c r="B481" s="17" t="s">
        <v>127</v>
      </c>
      <c r="C481" s="17" t="s">
        <v>40</v>
      </c>
      <c r="D481" s="17" t="s">
        <v>85</v>
      </c>
      <c r="E481" s="17" t="s">
        <v>587</v>
      </c>
      <c r="F481" s="15" t="s">
        <v>200</v>
      </c>
      <c r="G481" s="17" t="s">
        <v>76</v>
      </c>
      <c r="H481" s="17" t="s">
        <v>2019</v>
      </c>
      <c r="I481" s="17" t="s">
        <v>138</v>
      </c>
      <c r="J481" s="17" t="s">
        <v>106</v>
      </c>
      <c r="K481" s="17" t="s">
        <v>46</v>
      </c>
      <c r="L481" s="17" t="s">
        <v>47</v>
      </c>
      <c r="M481" s="17">
        <v>3</v>
      </c>
      <c r="N481" s="26">
        <v>12000</v>
      </c>
      <c r="O481" s="17">
        <v>0</v>
      </c>
      <c r="P481" s="26">
        <v>36000</v>
      </c>
      <c r="Q481" s="17">
        <v>2</v>
      </c>
      <c r="R481" s="17" t="s">
        <v>88</v>
      </c>
      <c r="S481" s="17" t="s">
        <v>151</v>
      </c>
      <c r="T481" s="15" t="s">
        <v>132</v>
      </c>
      <c r="U481" s="17">
        <v>9282751683</v>
      </c>
      <c r="V481" s="17" t="s">
        <v>64</v>
      </c>
      <c r="W481" s="29" t="str">
        <f t="shared" si="7"/>
        <v>Roh003Ah</v>
      </c>
    </row>
    <row r="482" spans="1:23" x14ac:dyDescent="0.5">
      <c r="A482" s="15" t="s">
        <v>2021</v>
      </c>
      <c r="B482" s="15" t="s">
        <v>23</v>
      </c>
      <c r="C482" s="15" t="s">
        <v>40</v>
      </c>
      <c r="D482" s="15" t="s">
        <v>2022</v>
      </c>
      <c r="E482" s="15" t="s">
        <v>1863</v>
      </c>
      <c r="F482" s="15" t="s">
        <v>27</v>
      </c>
      <c r="G482" s="15" t="s">
        <v>28</v>
      </c>
      <c r="H482" s="15" t="s">
        <v>2023</v>
      </c>
      <c r="I482" s="15" t="s">
        <v>59</v>
      </c>
      <c r="J482" s="15" t="s">
        <v>31</v>
      </c>
      <c r="K482" s="15" t="s">
        <v>46</v>
      </c>
      <c r="L482" s="15" t="s">
        <v>47</v>
      </c>
      <c r="M482" s="15">
        <v>3</v>
      </c>
      <c r="N482" s="25">
        <v>12000</v>
      </c>
      <c r="O482" s="15">
        <v>20</v>
      </c>
      <c r="P482" s="25">
        <v>28800</v>
      </c>
      <c r="Q482" s="15">
        <v>3</v>
      </c>
      <c r="R482" s="15" t="s">
        <v>88</v>
      </c>
      <c r="S482" s="15" t="s">
        <v>115</v>
      </c>
      <c r="T482" s="15" t="s">
        <v>50</v>
      </c>
      <c r="U482" s="15">
        <v>9939332058</v>
      </c>
      <c r="V482" s="15" t="s">
        <v>38</v>
      </c>
      <c r="W482" s="29" t="str">
        <f t="shared" si="7"/>
        <v>Kav008Be</v>
      </c>
    </row>
    <row r="483" spans="1:23" x14ac:dyDescent="0.5">
      <c r="A483" s="17" t="s">
        <v>2025</v>
      </c>
      <c r="B483" s="17" t="s">
        <v>127</v>
      </c>
      <c r="C483" s="17" t="s">
        <v>169</v>
      </c>
      <c r="D483" s="17" t="s">
        <v>892</v>
      </c>
      <c r="E483" s="17" t="s">
        <v>161</v>
      </c>
      <c r="F483" s="15" t="s">
        <v>200</v>
      </c>
      <c r="G483" s="17" t="s">
        <v>76</v>
      </c>
      <c r="H483" s="17" t="s">
        <v>2026</v>
      </c>
      <c r="I483" s="17" t="s">
        <v>294</v>
      </c>
      <c r="J483" s="17" t="s">
        <v>295</v>
      </c>
      <c r="K483" s="17" t="s">
        <v>32</v>
      </c>
      <c r="L483" s="17" t="s">
        <v>174</v>
      </c>
      <c r="M483" s="17">
        <v>9</v>
      </c>
      <c r="N483" s="26">
        <v>8500</v>
      </c>
      <c r="O483" s="17">
        <v>15</v>
      </c>
      <c r="P483" s="26">
        <v>65025</v>
      </c>
      <c r="Q483" s="17">
        <v>5</v>
      </c>
      <c r="R483" s="17" t="s">
        <v>34</v>
      </c>
      <c r="S483" s="17" t="s">
        <v>49</v>
      </c>
      <c r="T483" s="15" t="s">
        <v>132</v>
      </c>
      <c r="U483" s="17">
        <v>9780626473</v>
      </c>
      <c r="V483" s="17" t="s">
        <v>64</v>
      </c>
      <c r="W483" s="29" t="str">
        <f t="shared" si="7"/>
        <v>Roh003Ko</v>
      </c>
    </row>
    <row r="484" spans="1:23" x14ac:dyDescent="0.5">
      <c r="A484" s="15" t="s">
        <v>2028</v>
      </c>
      <c r="B484" s="15" t="s">
        <v>71</v>
      </c>
      <c r="C484" s="15" t="s">
        <v>184</v>
      </c>
      <c r="D484" s="15" t="s">
        <v>261</v>
      </c>
      <c r="E484" s="15" t="s">
        <v>881</v>
      </c>
      <c r="F484" s="15" t="s">
        <v>217</v>
      </c>
      <c r="G484" s="15" t="s">
        <v>76</v>
      </c>
      <c r="H484" s="15" t="s">
        <v>2030</v>
      </c>
      <c r="I484" s="15" t="s">
        <v>294</v>
      </c>
      <c r="J484" s="15" t="s">
        <v>295</v>
      </c>
      <c r="K484" s="15" t="s">
        <v>46</v>
      </c>
      <c r="L484" s="15" t="s">
        <v>189</v>
      </c>
      <c r="M484" s="15">
        <v>17</v>
      </c>
      <c r="N484" s="25">
        <v>700</v>
      </c>
      <c r="O484" s="15">
        <v>0</v>
      </c>
      <c r="P484" s="25">
        <v>11900</v>
      </c>
      <c r="Q484" s="15">
        <v>2</v>
      </c>
      <c r="R484" s="15" t="s">
        <v>34</v>
      </c>
      <c r="S484" s="15" t="s">
        <v>61</v>
      </c>
      <c r="T484" s="15" t="s">
        <v>80</v>
      </c>
      <c r="U484" s="15">
        <v>9347298020</v>
      </c>
      <c r="V484" s="15" t="s">
        <v>69</v>
      </c>
      <c r="W484" s="29" t="str">
        <f t="shared" si="7"/>
        <v>Moh009Ko</v>
      </c>
    </row>
    <row r="485" spans="1:23" x14ac:dyDescent="0.5">
      <c r="A485" s="17" t="s">
        <v>2032</v>
      </c>
      <c r="B485" s="17" t="s">
        <v>23</v>
      </c>
      <c r="C485" s="17" t="s">
        <v>184</v>
      </c>
      <c r="D485" s="17" t="s">
        <v>1249</v>
      </c>
      <c r="E485" s="17" t="s">
        <v>1572</v>
      </c>
      <c r="F485" s="15" t="s">
        <v>27</v>
      </c>
      <c r="G485" s="17" t="s">
        <v>28</v>
      </c>
      <c r="H485" s="17" t="s">
        <v>2033</v>
      </c>
      <c r="I485" s="17" t="s">
        <v>30</v>
      </c>
      <c r="J485" s="17" t="s">
        <v>31</v>
      </c>
      <c r="K485" s="17" t="s">
        <v>46</v>
      </c>
      <c r="L485" s="17" t="s">
        <v>189</v>
      </c>
      <c r="M485" s="17">
        <v>20</v>
      </c>
      <c r="N485" s="26">
        <v>700</v>
      </c>
      <c r="O485" s="17">
        <v>5</v>
      </c>
      <c r="P485" s="26">
        <v>13300</v>
      </c>
      <c r="Q485" s="17">
        <v>2</v>
      </c>
      <c r="R485" s="17" t="s">
        <v>88</v>
      </c>
      <c r="S485" s="17" t="s">
        <v>35</v>
      </c>
      <c r="T485" s="15" t="s">
        <v>50</v>
      </c>
      <c r="U485" s="17">
        <v>9345328522</v>
      </c>
      <c r="V485" s="17" t="s">
        <v>38</v>
      </c>
      <c r="W485" s="29" t="str">
        <f t="shared" si="7"/>
        <v>Kav008Hy</v>
      </c>
    </row>
    <row r="486" spans="1:23" x14ac:dyDescent="0.5">
      <c r="A486" s="15" t="s">
        <v>2035</v>
      </c>
      <c r="B486" s="15" t="s">
        <v>327</v>
      </c>
      <c r="C486" s="15" t="s">
        <v>72</v>
      </c>
      <c r="D486" s="15" t="s">
        <v>554</v>
      </c>
      <c r="E486" s="15" t="s">
        <v>65</v>
      </c>
      <c r="F486" s="15" t="s">
        <v>394</v>
      </c>
      <c r="G486" s="15" t="s">
        <v>76</v>
      </c>
      <c r="H486" s="15" t="s">
        <v>2037</v>
      </c>
      <c r="I486" s="15" t="s">
        <v>138</v>
      </c>
      <c r="J486" s="15" t="s">
        <v>106</v>
      </c>
      <c r="K486" s="15" t="s">
        <v>46</v>
      </c>
      <c r="L486" s="15" t="s">
        <v>78</v>
      </c>
      <c r="M486" s="15">
        <v>13</v>
      </c>
      <c r="N486" s="25">
        <v>1200</v>
      </c>
      <c r="O486" s="15">
        <v>20</v>
      </c>
      <c r="P486" s="25">
        <v>12480</v>
      </c>
      <c r="Q486" s="15">
        <v>5</v>
      </c>
      <c r="R486" s="15" t="s">
        <v>79</v>
      </c>
      <c r="S486" s="15" t="s">
        <v>115</v>
      </c>
      <c r="T486" s="15" t="s">
        <v>332</v>
      </c>
      <c r="U486" s="15">
        <v>9160310438</v>
      </c>
      <c r="V486" s="15" t="s">
        <v>38</v>
      </c>
      <c r="W486" s="29" t="str">
        <f t="shared" si="7"/>
        <v>Ami001Ah</v>
      </c>
    </row>
    <row r="487" spans="1:23" x14ac:dyDescent="0.5">
      <c r="A487" s="17" t="s">
        <v>2039</v>
      </c>
      <c r="B487" s="17" t="s">
        <v>100</v>
      </c>
      <c r="C487" s="17" t="s">
        <v>54</v>
      </c>
      <c r="D487" s="17" t="s">
        <v>2040</v>
      </c>
      <c r="E487" s="17" t="s">
        <v>1932</v>
      </c>
      <c r="F487" s="15" t="s">
        <v>103</v>
      </c>
      <c r="G487" s="17" t="s">
        <v>28</v>
      </c>
      <c r="H487" s="17" t="s">
        <v>1082</v>
      </c>
      <c r="I487" s="17" t="s">
        <v>212</v>
      </c>
      <c r="J487" s="17" t="s">
        <v>45</v>
      </c>
      <c r="K487" s="17" t="s">
        <v>46</v>
      </c>
      <c r="L487" s="17" t="s">
        <v>60</v>
      </c>
      <c r="M487" s="17">
        <v>20</v>
      </c>
      <c r="N487" s="26">
        <v>55000</v>
      </c>
      <c r="O487" s="17">
        <v>10</v>
      </c>
      <c r="P487" s="26">
        <v>990000</v>
      </c>
      <c r="Q487" s="17">
        <v>1</v>
      </c>
      <c r="R487" s="17" t="s">
        <v>88</v>
      </c>
      <c r="S487" s="17" t="s">
        <v>35</v>
      </c>
      <c r="T487" s="15" t="s">
        <v>144</v>
      </c>
      <c r="U487" s="17">
        <v>9343776153</v>
      </c>
      <c r="V487" s="17" t="s">
        <v>64</v>
      </c>
      <c r="W487" s="29" t="str">
        <f t="shared" si="7"/>
        <v>Pri002Ja</v>
      </c>
    </row>
    <row r="488" spans="1:23" x14ac:dyDescent="0.5">
      <c r="A488" s="15" t="s">
        <v>2042</v>
      </c>
      <c r="B488" s="15" t="s">
        <v>251</v>
      </c>
      <c r="C488" s="15" t="s">
        <v>72</v>
      </c>
      <c r="D488" s="15" t="s">
        <v>531</v>
      </c>
      <c r="E488" s="15" t="s">
        <v>291</v>
      </c>
      <c r="F488" s="15" t="s">
        <v>254</v>
      </c>
      <c r="G488" s="15" t="s">
        <v>28</v>
      </c>
      <c r="H488" s="15" t="s">
        <v>2043</v>
      </c>
      <c r="I488" s="15" t="s">
        <v>294</v>
      </c>
      <c r="J488" s="15" t="s">
        <v>295</v>
      </c>
      <c r="K488" s="15" t="s">
        <v>46</v>
      </c>
      <c r="L488" s="15" t="s">
        <v>78</v>
      </c>
      <c r="M488" s="15">
        <v>8</v>
      </c>
      <c r="N488" s="25">
        <v>1200</v>
      </c>
      <c r="O488" s="15">
        <v>0</v>
      </c>
      <c r="P488" s="25">
        <v>9600</v>
      </c>
      <c r="Q488" s="15">
        <v>2</v>
      </c>
      <c r="R488" s="15" t="s">
        <v>48</v>
      </c>
      <c r="S488" s="15" t="s">
        <v>151</v>
      </c>
      <c r="T488" s="15" t="s">
        <v>256</v>
      </c>
      <c r="U488" s="15">
        <v>9458599727</v>
      </c>
      <c r="V488" s="15" t="s">
        <v>38</v>
      </c>
      <c r="W488" s="29" t="str">
        <f t="shared" si="7"/>
        <v>Sne006Ko</v>
      </c>
    </row>
    <row r="489" spans="1:23" x14ac:dyDescent="0.5">
      <c r="A489" s="17" t="s">
        <v>2045</v>
      </c>
      <c r="B489" s="17" t="s">
        <v>53</v>
      </c>
      <c r="C489" s="17" t="s">
        <v>222</v>
      </c>
      <c r="D489" s="17" t="s">
        <v>2046</v>
      </c>
      <c r="E489" s="17" t="s">
        <v>1238</v>
      </c>
      <c r="F489" s="15" t="s">
        <v>163</v>
      </c>
      <c r="G489" s="17" t="s">
        <v>28</v>
      </c>
      <c r="H489" s="17" t="s">
        <v>2047</v>
      </c>
      <c r="I489" s="17" t="s">
        <v>294</v>
      </c>
      <c r="J489" s="17" t="s">
        <v>295</v>
      </c>
      <c r="K489" s="17" t="s">
        <v>122</v>
      </c>
      <c r="L489" s="17" t="s">
        <v>227</v>
      </c>
      <c r="M489" s="17">
        <v>18</v>
      </c>
      <c r="N489" s="26">
        <v>20</v>
      </c>
      <c r="O489" s="17">
        <v>10</v>
      </c>
      <c r="P489" s="26">
        <v>324</v>
      </c>
      <c r="Q489" s="17">
        <v>5</v>
      </c>
      <c r="R489" s="17" t="s">
        <v>79</v>
      </c>
      <c r="S489" s="17" t="s">
        <v>2109</v>
      </c>
      <c r="T489" s="15" t="s">
        <v>62</v>
      </c>
      <c r="U489" s="17">
        <v>9218660140</v>
      </c>
      <c r="V489" s="17" t="s">
        <v>64</v>
      </c>
      <c r="W489" s="29" t="str">
        <f t="shared" si="7"/>
        <v>Poo010Ko</v>
      </c>
    </row>
    <row r="490" spans="1:23" x14ac:dyDescent="0.5">
      <c r="A490" s="15" t="s">
        <v>2050</v>
      </c>
      <c r="B490" s="15" t="s">
        <v>168</v>
      </c>
      <c r="C490" s="15" t="s">
        <v>40</v>
      </c>
      <c r="D490" s="15" t="s">
        <v>2051</v>
      </c>
      <c r="E490" s="15" t="s">
        <v>272</v>
      </c>
      <c r="F490" s="15" t="s">
        <v>361</v>
      </c>
      <c r="G490" s="15" t="s">
        <v>28</v>
      </c>
      <c r="H490" s="15" t="s">
        <v>2052</v>
      </c>
      <c r="I490" s="15" t="s">
        <v>114</v>
      </c>
      <c r="J490" s="15" t="s">
        <v>106</v>
      </c>
      <c r="K490" s="15" t="s">
        <v>46</v>
      </c>
      <c r="L490" s="15" t="s">
        <v>47</v>
      </c>
      <c r="M490" s="15">
        <v>11</v>
      </c>
      <c r="N490" s="25">
        <v>12000</v>
      </c>
      <c r="O490" s="15">
        <v>10</v>
      </c>
      <c r="P490" s="25">
        <v>118800</v>
      </c>
      <c r="Q490" s="15">
        <v>1</v>
      </c>
      <c r="R490" s="15" t="s">
        <v>79</v>
      </c>
      <c r="S490" s="15" t="s">
        <v>49</v>
      </c>
      <c r="T490" s="15" t="s">
        <v>175</v>
      </c>
      <c r="U490" s="15">
        <v>9341979199</v>
      </c>
      <c r="V490" s="15" t="s">
        <v>69</v>
      </c>
      <c r="W490" s="29" t="str">
        <f t="shared" si="7"/>
        <v>Ani004Pu</v>
      </c>
    </row>
    <row r="491" spans="1:23" x14ac:dyDescent="0.5">
      <c r="A491" s="17" t="s">
        <v>2054</v>
      </c>
      <c r="B491" s="17" t="s">
        <v>327</v>
      </c>
      <c r="C491" s="17" t="s">
        <v>169</v>
      </c>
      <c r="D491" s="17" t="s">
        <v>142</v>
      </c>
      <c r="E491" s="17" t="s">
        <v>1378</v>
      </c>
      <c r="F491" s="15" t="s">
        <v>394</v>
      </c>
      <c r="G491" s="17" t="s">
        <v>76</v>
      </c>
      <c r="H491" s="17" t="s">
        <v>2055</v>
      </c>
      <c r="I491" s="17" t="s">
        <v>30</v>
      </c>
      <c r="J491" s="17" t="s">
        <v>31</v>
      </c>
      <c r="K491" s="17" t="s">
        <v>32</v>
      </c>
      <c r="L491" s="17" t="s">
        <v>174</v>
      </c>
      <c r="M491" s="17">
        <v>2</v>
      </c>
      <c r="N491" s="26">
        <v>8500</v>
      </c>
      <c r="O491" s="17">
        <v>5</v>
      </c>
      <c r="P491" s="26">
        <v>16150</v>
      </c>
      <c r="Q491" s="17">
        <v>1</v>
      </c>
      <c r="R491" s="17" t="s">
        <v>79</v>
      </c>
      <c r="S491" s="17" t="s">
        <v>61</v>
      </c>
      <c r="T491" s="15" t="s">
        <v>332</v>
      </c>
      <c r="U491" s="17">
        <v>9823080381</v>
      </c>
      <c r="V491" s="17" t="s">
        <v>38</v>
      </c>
      <c r="W491" s="29" t="str">
        <f t="shared" si="7"/>
        <v>Ami001Hy</v>
      </c>
    </row>
    <row r="492" spans="1:23" x14ac:dyDescent="0.5">
      <c r="A492" s="15" t="s">
        <v>2057</v>
      </c>
      <c r="B492" s="15" t="s">
        <v>100</v>
      </c>
      <c r="C492" s="15" t="s">
        <v>24</v>
      </c>
      <c r="D492" s="15" t="s">
        <v>328</v>
      </c>
      <c r="E492" s="15" t="s">
        <v>1507</v>
      </c>
      <c r="F492" s="15" t="s">
        <v>103</v>
      </c>
      <c r="G492" s="15" t="s">
        <v>28</v>
      </c>
      <c r="H492" s="15" t="s">
        <v>2059</v>
      </c>
      <c r="I492" s="15" t="s">
        <v>114</v>
      </c>
      <c r="J492" s="15" t="s">
        <v>106</v>
      </c>
      <c r="K492" s="15" t="s">
        <v>32</v>
      </c>
      <c r="L492" s="15" t="s">
        <v>33</v>
      </c>
      <c r="M492" s="15">
        <v>7</v>
      </c>
      <c r="N492" s="25">
        <v>2200</v>
      </c>
      <c r="O492" s="15">
        <v>0</v>
      </c>
      <c r="P492" s="25">
        <v>15400</v>
      </c>
      <c r="Q492" s="15">
        <v>5</v>
      </c>
      <c r="R492" s="15" t="s">
        <v>48</v>
      </c>
      <c r="S492" s="15" t="s">
        <v>35</v>
      </c>
      <c r="T492" s="15" t="s">
        <v>144</v>
      </c>
      <c r="U492" s="15">
        <v>9981183477</v>
      </c>
      <c r="V492" s="15" t="s">
        <v>64</v>
      </c>
      <c r="W492" s="29" t="str">
        <f t="shared" si="7"/>
        <v>Pri002Pu</v>
      </c>
    </row>
    <row r="493" spans="1:23" x14ac:dyDescent="0.5">
      <c r="A493" s="17" t="s">
        <v>2061</v>
      </c>
      <c r="B493" s="17" t="s">
        <v>83</v>
      </c>
      <c r="C493" s="17" t="s">
        <v>169</v>
      </c>
      <c r="D493" s="17" t="s">
        <v>1916</v>
      </c>
      <c r="E493" s="17" t="s">
        <v>1098</v>
      </c>
      <c r="F493" s="15" t="s">
        <v>180</v>
      </c>
      <c r="G493" s="17" t="s">
        <v>76</v>
      </c>
      <c r="H493" s="17" t="s">
        <v>2062</v>
      </c>
      <c r="I493" s="17" t="s">
        <v>44</v>
      </c>
      <c r="J493" s="17" t="s">
        <v>45</v>
      </c>
      <c r="K493" s="17" t="s">
        <v>32</v>
      </c>
      <c r="L493" s="17" t="s">
        <v>174</v>
      </c>
      <c r="M493" s="17">
        <v>20</v>
      </c>
      <c r="N493" s="26">
        <v>8500</v>
      </c>
      <c r="O493" s="17">
        <v>0</v>
      </c>
      <c r="P493" s="26">
        <v>170000</v>
      </c>
      <c r="Q493" s="17">
        <v>3</v>
      </c>
      <c r="R493" s="17" t="s">
        <v>48</v>
      </c>
      <c r="S493" s="17" t="s">
        <v>49</v>
      </c>
      <c r="T493" s="15" t="s">
        <v>89</v>
      </c>
      <c r="U493" s="17">
        <v>9281596011</v>
      </c>
      <c r="V493" s="17" t="s">
        <v>38</v>
      </c>
      <c r="W493" s="29" t="str">
        <f t="shared" si="7"/>
        <v>Arj007De</v>
      </c>
    </row>
    <row r="494" spans="1:23" x14ac:dyDescent="0.5">
      <c r="A494" s="15" t="s">
        <v>2064</v>
      </c>
      <c r="B494" s="15" t="s">
        <v>127</v>
      </c>
      <c r="C494" s="15" t="s">
        <v>72</v>
      </c>
      <c r="D494" s="15" t="s">
        <v>1106</v>
      </c>
      <c r="E494" s="15" t="s">
        <v>839</v>
      </c>
      <c r="F494" s="15" t="s">
        <v>200</v>
      </c>
      <c r="G494" s="15" t="s">
        <v>76</v>
      </c>
      <c r="H494" s="15" t="s">
        <v>2066</v>
      </c>
      <c r="I494" s="15" t="s">
        <v>30</v>
      </c>
      <c r="J494" s="15" t="s">
        <v>31</v>
      </c>
      <c r="K494" s="15" t="s">
        <v>46</v>
      </c>
      <c r="L494" s="15" t="s">
        <v>78</v>
      </c>
      <c r="M494" s="15">
        <v>11</v>
      </c>
      <c r="N494" s="25">
        <v>1200</v>
      </c>
      <c r="O494" s="15">
        <v>5</v>
      </c>
      <c r="P494" s="25">
        <v>12540</v>
      </c>
      <c r="Q494" s="15">
        <v>2</v>
      </c>
      <c r="R494" s="15" t="s">
        <v>34</v>
      </c>
      <c r="S494" s="15" t="s">
        <v>35</v>
      </c>
      <c r="T494" s="15" t="s">
        <v>132</v>
      </c>
      <c r="U494" s="15">
        <v>9211734022</v>
      </c>
      <c r="V494" s="15" t="s">
        <v>64</v>
      </c>
      <c r="W494" s="29" t="str">
        <f t="shared" si="7"/>
        <v>Roh003Hy</v>
      </c>
    </row>
    <row r="495" spans="1:23" x14ac:dyDescent="0.5">
      <c r="A495" s="17" t="s">
        <v>2068</v>
      </c>
      <c r="B495" s="17" t="s">
        <v>83</v>
      </c>
      <c r="C495" s="17" t="s">
        <v>184</v>
      </c>
      <c r="D495" s="17" t="s">
        <v>839</v>
      </c>
      <c r="E495" s="17" t="s">
        <v>756</v>
      </c>
      <c r="F495" s="15" t="s">
        <v>180</v>
      </c>
      <c r="G495" s="17" t="s">
        <v>76</v>
      </c>
      <c r="H495" s="17" t="s">
        <v>2069</v>
      </c>
      <c r="I495" s="17" t="s">
        <v>138</v>
      </c>
      <c r="J495" s="17" t="s">
        <v>106</v>
      </c>
      <c r="K495" s="17" t="s">
        <v>46</v>
      </c>
      <c r="L495" s="17" t="s">
        <v>189</v>
      </c>
      <c r="M495" s="17">
        <v>14</v>
      </c>
      <c r="N495" s="26">
        <v>700</v>
      </c>
      <c r="O495" s="17">
        <v>0</v>
      </c>
      <c r="P495" s="26">
        <v>9800</v>
      </c>
      <c r="Q495" s="17">
        <v>2</v>
      </c>
      <c r="R495" s="17" t="s">
        <v>79</v>
      </c>
      <c r="S495" s="17" t="s">
        <v>151</v>
      </c>
      <c r="T495" s="15" t="s">
        <v>89</v>
      </c>
      <c r="U495" s="17">
        <v>9447151666</v>
      </c>
      <c r="V495" s="17" t="s">
        <v>69</v>
      </c>
      <c r="W495" s="29" t="str">
        <f t="shared" si="7"/>
        <v>Arj007Ah</v>
      </c>
    </row>
    <row r="496" spans="1:23" x14ac:dyDescent="0.5">
      <c r="A496" s="15" t="s">
        <v>2071</v>
      </c>
      <c r="B496" s="15" t="s">
        <v>71</v>
      </c>
      <c r="C496" s="15" t="s">
        <v>72</v>
      </c>
      <c r="D496" s="15" t="s">
        <v>793</v>
      </c>
      <c r="E496" s="15" t="s">
        <v>1650</v>
      </c>
      <c r="F496" s="15" t="s">
        <v>217</v>
      </c>
      <c r="G496" s="15" t="s">
        <v>76</v>
      </c>
      <c r="H496" s="15" t="s">
        <v>2072</v>
      </c>
      <c r="I496" s="15" t="s">
        <v>114</v>
      </c>
      <c r="J496" s="15" t="s">
        <v>106</v>
      </c>
      <c r="K496" s="15" t="s">
        <v>46</v>
      </c>
      <c r="L496" s="15" t="s">
        <v>78</v>
      </c>
      <c r="M496" s="15">
        <v>16</v>
      </c>
      <c r="N496" s="25">
        <v>1200</v>
      </c>
      <c r="O496" s="15">
        <v>15</v>
      </c>
      <c r="P496" s="25">
        <v>16320</v>
      </c>
      <c r="Q496" s="15">
        <v>4</v>
      </c>
      <c r="R496" s="15" t="s">
        <v>34</v>
      </c>
      <c r="S496" s="15" t="s">
        <v>151</v>
      </c>
      <c r="T496" s="15" t="s">
        <v>80</v>
      </c>
      <c r="U496" s="15">
        <v>9345342793</v>
      </c>
      <c r="V496" s="15" t="s">
        <v>64</v>
      </c>
      <c r="W496" s="29" t="str">
        <f t="shared" si="7"/>
        <v>Moh009Pu</v>
      </c>
    </row>
    <row r="497" spans="1:23" x14ac:dyDescent="0.5">
      <c r="A497" s="17" t="s">
        <v>2074</v>
      </c>
      <c r="B497" s="17" t="s">
        <v>168</v>
      </c>
      <c r="C497" s="17" t="s">
        <v>24</v>
      </c>
      <c r="D497" s="17" t="s">
        <v>493</v>
      </c>
      <c r="E497" s="17" t="s">
        <v>1932</v>
      </c>
      <c r="F497" s="15" t="s">
        <v>361</v>
      </c>
      <c r="G497" s="17" t="s">
        <v>28</v>
      </c>
      <c r="H497" s="17" t="s">
        <v>2076</v>
      </c>
      <c r="I497" s="17" t="s">
        <v>212</v>
      </c>
      <c r="J497" s="17" t="s">
        <v>45</v>
      </c>
      <c r="K497" s="17" t="s">
        <v>32</v>
      </c>
      <c r="L497" s="17" t="s">
        <v>33</v>
      </c>
      <c r="M497" s="17">
        <v>20</v>
      </c>
      <c r="N497" s="26">
        <v>2200</v>
      </c>
      <c r="O497" s="17">
        <v>0</v>
      </c>
      <c r="P497" s="26">
        <v>44000</v>
      </c>
      <c r="Q497" s="17">
        <v>5</v>
      </c>
      <c r="R497" s="17" t="s">
        <v>34</v>
      </c>
      <c r="S497" s="17" t="s">
        <v>35</v>
      </c>
      <c r="T497" s="15" t="s">
        <v>175</v>
      </c>
      <c r="U497" s="17">
        <v>9329668173</v>
      </c>
      <c r="V497" s="17" t="s">
        <v>69</v>
      </c>
      <c r="W497" s="29" t="str">
        <f t="shared" si="7"/>
        <v>Ani004Ja</v>
      </c>
    </row>
    <row r="498" spans="1:23" x14ac:dyDescent="0.5">
      <c r="A498" s="15" t="s">
        <v>2078</v>
      </c>
      <c r="B498" s="15" t="s">
        <v>83</v>
      </c>
      <c r="C498" s="15" t="s">
        <v>40</v>
      </c>
      <c r="D498" s="15" t="s">
        <v>2051</v>
      </c>
      <c r="E498" s="15" t="s">
        <v>272</v>
      </c>
      <c r="F498" s="15" t="s">
        <v>180</v>
      </c>
      <c r="G498" s="15" t="s">
        <v>76</v>
      </c>
      <c r="H498" s="15" t="s">
        <v>2079</v>
      </c>
      <c r="I498" s="15" t="s">
        <v>212</v>
      </c>
      <c r="J498" s="15" t="s">
        <v>45</v>
      </c>
      <c r="K498" s="15" t="s">
        <v>46</v>
      </c>
      <c r="L498" s="15" t="s">
        <v>47</v>
      </c>
      <c r="M498" s="15">
        <v>12</v>
      </c>
      <c r="N498" s="25">
        <v>12000</v>
      </c>
      <c r="O498" s="15">
        <v>15</v>
      </c>
      <c r="P498" s="25">
        <v>122400</v>
      </c>
      <c r="Q498" s="15">
        <v>5</v>
      </c>
      <c r="R498" s="15" t="s">
        <v>34</v>
      </c>
      <c r="S498" s="15" t="s">
        <v>151</v>
      </c>
      <c r="T498" s="15" t="s">
        <v>89</v>
      </c>
      <c r="U498" s="15">
        <v>9294740227</v>
      </c>
      <c r="V498" s="15" t="s">
        <v>38</v>
      </c>
      <c r="W498" s="29" t="str">
        <f t="shared" si="7"/>
        <v>Arj007Ja</v>
      </c>
    </row>
    <row r="499" spans="1:23" x14ac:dyDescent="0.5">
      <c r="A499" s="17" t="s">
        <v>2081</v>
      </c>
      <c r="B499" s="17" t="s">
        <v>221</v>
      </c>
      <c r="C499" s="17" t="s">
        <v>72</v>
      </c>
      <c r="D499" s="17" t="s">
        <v>610</v>
      </c>
      <c r="E499" s="17" t="s">
        <v>611</v>
      </c>
      <c r="F499" s="15" t="s">
        <v>225</v>
      </c>
      <c r="G499" s="17" t="s">
        <v>76</v>
      </c>
      <c r="H499" s="17" t="s">
        <v>2082</v>
      </c>
      <c r="I499" s="17" t="s">
        <v>44</v>
      </c>
      <c r="J499" s="17" t="s">
        <v>45</v>
      </c>
      <c r="K499" s="17" t="s">
        <v>46</v>
      </c>
      <c r="L499" s="17" t="s">
        <v>78</v>
      </c>
      <c r="M499" s="17">
        <v>3</v>
      </c>
      <c r="N499" s="26">
        <v>1200</v>
      </c>
      <c r="O499" s="17">
        <v>20</v>
      </c>
      <c r="P499" s="26">
        <v>2880</v>
      </c>
      <c r="Q499" s="17">
        <v>2</v>
      </c>
      <c r="R499" s="17" t="s">
        <v>48</v>
      </c>
      <c r="S499" s="17" t="s">
        <v>115</v>
      </c>
      <c r="T499" s="15" t="s">
        <v>2112</v>
      </c>
      <c r="U499" s="17">
        <v>9549426303</v>
      </c>
      <c r="V499" s="17" t="s">
        <v>64</v>
      </c>
      <c r="W499" s="29" t="str">
        <f t="shared" si="7"/>
        <v>Vik005De</v>
      </c>
    </row>
    <row r="500" spans="1:23" x14ac:dyDescent="0.5">
      <c r="A500" s="15" t="s">
        <v>2084</v>
      </c>
      <c r="B500" s="15" t="s">
        <v>100</v>
      </c>
      <c r="C500" s="15" t="s">
        <v>54</v>
      </c>
      <c r="D500" s="15" t="s">
        <v>276</v>
      </c>
      <c r="E500" s="15" t="s">
        <v>2085</v>
      </c>
      <c r="F500" s="15" t="s">
        <v>103</v>
      </c>
      <c r="G500" s="15" t="s">
        <v>28</v>
      </c>
      <c r="H500" s="15" t="s">
        <v>2086</v>
      </c>
      <c r="I500" s="15" t="s">
        <v>105</v>
      </c>
      <c r="J500" s="15" t="s">
        <v>106</v>
      </c>
      <c r="K500" s="15" t="s">
        <v>46</v>
      </c>
      <c r="L500" s="15" t="s">
        <v>2087</v>
      </c>
      <c r="M500" s="15">
        <v>6</v>
      </c>
      <c r="N500" s="25">
        <v>55000</v>
      </c>
      <c r="O500" s="15">
        <v>20</v>
      </c>
      <c r="P500" s="25">
        <v>264000</v>
      </c>
      <c r="Q500" s="15">
        <v>3</v>
      </c>
      <c r="R500" s="15" t="s">
        <v>34</v>
      </c>
      <c r="S500" s="15" t="s">
        <v>151</v>
      </c>
      <c r="T500" s="15" t="s">
        <v>144</v>
      </c>
      <c r="U500" s="15">
        <v>9374249303</v>
      </c>
      <c r="V500" s="15" t="s">
        <v>38</v>
      </c>
      <c r="W500" s="29" t="str">
        <f t="shared" si="7"/>
        <v>Pri002Mu</v>
      </c>
    </row>
    <row r="501" spans="1:23" x14ac:dyDescent="0.5">
      <c r="A501" s="17" t="s">
        <v>2089</v>
      </c>
      <c r="B501" s="17" t="s">
        <v>100</v>
      </c>
      <c r="C501" s="17" t="s">
        <v>92</v>
      </c>
      <c r="D501" s="17" t="s">
        <v>2090</v>
      </c>
      <c r="E501" s="17" t="s">
        <v>129</v>
      </c>
      <c r="F501" s="15" t="s">
        <v>103</v>
      </c>
      <c r="G501" s="17" t="s">
        <v>28</v>
      </c>
      <c r="H501" s="17" t="s">
        <v>2091</v>
      </c>
      <c r="I501" s="17" t="s">
        <v>59</v>
      </c>
      <c r="J501" s="17" t="s">
        <v>31</v>
      </c>
      <c r="K501" s="17" t="s">
        <v>32</v>
      </c>
      <c r="L501" s="17" t="s">
        <v>97</v>
      </c>
      <c r="M501" s="17">
        <v>20</v>
      </c>
      <c r="N501" s="26">
        <v>3500</v>
      </c>
      <c r="O501" s="17">
        <v>0</v>
      </c>
      <c r="P501" s="26">
        <v>70000</v>
      </c>
      <c r="Q501" s="17">
        <v>1</v>
      </c>
      <c r="R501" s="17" t="s">
        <v>48</v>
      </c>
      <c r="S501" s="17" t="s">
        <v>151</v>
      </c>
      <c r="T501" s="15" t="s">
        <v>144</v>
      </c>
      <c r="U501" s="17">
        <v>9810334941</v>
      </c>
      <c r="V501" s="17" t="s">
        <v>64</v>
      </c>
      <c r="W501" s="29" t="str">
        <f t="shared" si="7"/>
        <v>Pri002Be</v>
      </c>
    </row>
  </sheetData>
  <conditionalFormatting sqref="A1:W501">
    <cfRule type="containsText" dxfId="18" priority="2" operator="containsText" text="Not Available">
      <formula>NOT(ISERROR(SEARCH("Not Available",A1)))</formula>
    </cfRule>
  </conditionalFormatting>
  <conditionalFormatting sqref="L409">
    <cfRule type="containsText" dxfId="17" priority="3" operator="containsText" text="Not Available">
      <formula>NOT(ISERROR(SEARCH("Not Available",L409)))</formula>
    </cfRule>
  </conditionalFormatting>
  <conditionalFormatting sqref="T1:T1048576">
    <cfRule type="containsText" dxfId="16" priority="1" operator="containsText" text="invalid Email">
      <formula>NOT(ISERROR(SEARCH("invalid Email",T1)))</formula>
    </cfRule>
  </conditionalFormatting>
  <conditionalFormatting sqref="W1:W1048576">
    <cfRule type="containsText" dxfId="15" priority="4" operator="containsText" text="Silver">
      <formula>NOT(ISERROR(SEARCH("Silver",W1)))</formula>
    </cfRule>
    <cfRule type="containsText" dxfId="14" priority="5" operator="containsText" text="pending">
      <formula>NOT(ISERROR(SEARCH("pending",W1)))</formula>
    </cfRule>
    <cfRule type="containsText" dxfId="13" priority="7" operator="containsText" text="Blacklisted">
      <formula>NOT(ISERROR(SEARCH("Blacklisted",W1)))</formula>
    </cfRule>
    <cfRule type="containsText" dxfId="12" priority="8" operator="containsText" text="Platinum">
      <formula>NOT(ISERROR(SEARCH("Platinum",W1)))</formula>
    </cfRule>
    <cfRule type="containsText" dxfId="11" priority="9" operator="containsText" text="Silver">
      <formula>NOT(ISERROR(SEARCH("Silver",W1)))</formula>
    </cfRule>
    <cfRule type="containsText" dxfId="10" priority="10" operator="containsText" text="Blacklisted">
      <formula>NOT(ISERROR(SEARCH("Blacklisted",W1)))</formula>
    </cfRule>
    <cfRule type="containsText" dxfId="9" priority="11" operator="containsText" text="Pending">
      <formula>NOT(ISERROR(SEARCH("Pending",W1)))</formula>
    </cfRule>
  </conditionalFormatting>
  <conditionalFormatting sqref="W3">
    <cfRule type="containsText" dxfId="8" priority="6" operator="containsText" text="Blackliosted">
      <formula>NOT(ISERROR(SEARCH("Blackliosted",W3)))</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EA732-7177-4F70-A652-659BF5919362}">
  <dimension ref="A1:Y501"/>
  <sheetViews>
    <sheetView zoomScale="55" zoomScaleNormal="55" workbookViewId="0">
      <selection activeCell="Z5" sqref="Z5"/>
    </sheetView>
  </sheetViews>
  <sheetFormatPr defaultColWidth="19.453125" defaultRowHeight="21" x14ac:dyDescent="0.6"/>
  <cols>
    <col min="4" max="4" width="28.90625" style="34" customWidth="1"/>
    <col min="5" max="5" width="32.1796875" style="34" customWidth="1"/>
    <col min="8" max="8" width="19.453125" style="38"/>
    <col min="14" max="14" width="19.453125" style="27"/>
    <col min="16" max="16" width="19.453125" style="27"/>
    <col min="20" max="20" width="28.36328125" customWidth="1"/>
    <col min="21" max="21" width="19.453125" style="23"/>
    <col min="23" max="23" width="19.453125" style="48"/>
    <col min="24" max="25" width="23.08984375" style="43" customWidth="1"/>
  </cols>
  <sheetData>
    <row r="1" spans="1:25" ht="16.5" x14ac:dyDescent="0.5">
      <c r="A1" s="14" t="s">
        <v>0</v>
      </c>
      <c r="B1" s="14" t="s">
        <v>1</v>
      </c>
      <c r="C1" s="14" t="s">
        <v>2</v>
      </c>
      <c r="D1" s="31" t="s">
        <v>3</v>
      </c>
      <c r="E1" s="31" t="s">
        <v>4</v>
      </c>
      <c r="F1" s="14" t="s">
        <v>5</v>
      </c>
      <c r="G1" s="14" t="s">
        <v>6</v>
      </c>
      <c r="H1" s="35" t="s">
        <v>7</v>
      </c>
      <c r="I1" s="14" t="s">
        <v>8</v>
      </c>
      <c r="J1" s="14" t="s">
        <v>9</v>
      </c>
      <c r="K1" s="14" t="s">
        <v>10</v>
      </c>
      <c r="L1" s="14" t="s">
        <v>11</v>
      </c>
      <c r="M1" s="14" t="s">
        <v>12</v>
      </c>
      <c r="N1" s="24" t="s">
        <v>13</v>
      </c>
      <c r="O1" s="14" t="s">
        <v>14</v>
      </c>
      <c r="P1" s="24" t="s">
        <v>15</v>
      </c>
      <c r="Q1" s="14" t="s">
        <v>16</v>
      </c>
      <c r="R1" s="14" t="s">
        <v>17</v>
      </c>
      <c r="S1" s="14" t="s">
        <v>18</v>
      </c>
      <c r="T1" s="14" t="s">
        <v>19</v>
      </c>
      <c r="U1" s="20" t="s">
        <v>20</v>
      </c>
      <c r="V1" s="14" t="s">
        <v>21</v>
      </c>
      <c r="W1" s="41" t="s">
        <v>2113</v>
      </c>
      <c r="X1" s="41" t="s">
        <v>2114</v>
      </c>
      <c r="Y1" s="41" t="s">
        <v>2115</v>
      </c>
    </row>
    <row r="2" spans="1:25" x14ac:dyDescent="0.5">
      <c r="A2" s="15" t="s">
        <v>22</v>
      </c>
      <c r="B2" s="15" t="s">
        <v>23</v>
      </c>
      <c r="C2" s="15" t="s">
        <v>24</v>
      </c>
      <c r="D2" s="32">
        <v>45918</v>
      </c>
      <c r="E2" s="32">
        <v>45922</v>
      </c>
      <c r="F2" s="15" t="s">
        <v>27</v>
      </c>
      <c r="G2" s="15" t="s">
        <v>28</v>
      </c>
      <c r="H2" s="39">
        <v>27973</v>
      </c>
      <c r="I2" s="15" t="s">
        <v>30</v>
      </c>
      <c r="J2" s="15" t="s">
        <v>31</v>
      </c>
      <c r="K2" s="15" t="s">
        <v>32</v>
      </c>
      <c r="L2" s="15" t="s">
        <v>33</v>
      </c>
      <c r="M2" s="15">
        <v>4</v>
      </c>
      <c r="N2" s="25">
        <v>2200</v>
      </c>
      <c r="O2" s="15">
        <v>10</v>
      </c>
      <c r="P2" s="25">
        <v>7920</v>
      </c>
      <c r="Q2" s="15">
        <v>4</v>
      </c>
      <c r="R2" s="15" t="s">
        <v>34</v>
      </c>
      <c r="S2" s="15" t="s">
        <v>35</v>
      </c>
      <c r="T2" s="15" t="s">
        <v>50</v>
      </c>
      <c r="U2" s="21">
        <v>9431429797</v>
      </c>
      <c r="V2" s="15" t="s">
        <v>38</v>
      </c>
      <c r="W2" s="44">
        <f ca="1">DATEDIF(H2, TODAY(), "y")</f>
        <v>50</v>
      </c>
      <c r="X2" s="42">
        <f>IF(OR(ISBLANK(D2), ISBLANK(E2)), "Not Available", E2-D2)</f>
        <v>4</v>
      </c>
      <c r="Y2" s="42" t="str">
        <f>IF(ISBLANK(E2), "Pending", IF(E2-D2&lt;=5, "On Time ",  "Delayed"))</f>
        <v xml:space="preserve">On Time </v>
      </c>
    </row>
    <row r="3" spans="1:25" x14ac:dyDescent="0.5">
      <c r="A3" s="17" t="s">
        <v>39</v>
      </c>
      <c r="B3" s="17" t="s">
        <v>23</v>
      </c>
      <c r="C3" s="17" t="s">
        <v>40</v>
      </c>
      <c r="D3" s="33">
        <v>45774</v>
      </c>
      <c r="E3" s="33">
        <v>45781</v>
      </c>
      <c r="F3" s="15" t="s">
        <v>27</v>
      </c>
      <c r="G3" s="17" t="s">
        <v>28</v>
      </c>
      <c r="H3" s="37">
        <v>36815</v>
      </c>
      <c r="I3" s="17" t="s">
        <v>44</v>
      </c>
      <c r="J3" s="17" t="s">
        <v>45</v>
      </c>
      <c r="K3" s="17" t="s">
        <v>46</v>
      </c>
      <c r="L3" s="17" t="s">
        <v>47</v>
      </c>
      <c r="M3" s="17">
        <v>17</v>
      </c>
      <c r="N3" s="26">
        <v>12000</v>
      </c>
      <c r="O3" s="17">
        <v>10</v>
      </c>
      <c r="P3" s="26">
        <v>183600</v>
      </c>
      <c r="Q3" s="17">
        <v>1</v>
      </c>
      <c r="R3" s="17" t="s">
        <v>48</v>
      </c>
      <c r="S3" s="17" t="s">
        <v>49</v>
      </c>
      <c r="T3" s="15" t="s">
        <v>50</v>
      </c>
      <c r="U3" s="21">
        <v>9129865339</v>
      </c>
      <c r="V3" s="17" t="s">
        <v>38</v>
      </c>
      <c r="W3" s="44">
        <f t="shared" ref="W3:W66" ca="1" si="0">DATEDIF(H3, TODAY(), "y")</f>
        <v>25</v>
      </c>
      <c r="X3" s="42">
        <f t="shared" ref="X3:X66" si="1">IF(OR(ISBLANK(D3), ISBLANK(E3)), "Not Available", E3-D3)</f>
        <v>7</v>
      </c>
      <c r="Y3" s="42" t="str">
        <f t="shared" ref="Y3:Y66" si="2">IF(ISBLANK(E3), "Pending", IF(E3-D3&lt;=5, "On Time ",  "Delayed"))</f>
        <v>Delayed</v>
      </c>
    </row>
    <row r="4" spans="1:25" x14ac:dyDescent="0.5">
      <c r="A4" s="15" t="s">
        <v>52</v>
      </c>
      <c r="B4" s="15" t="s">
        <v>53</v>
      </c>
      <c r="C4" s="15" t="s">
        <v>54</v>
      </c>
      <c r="D4" s="32">
        <v>45903</v>
      </c>
      <c r="E4" s="32">
        <v>45914</v>
      </c>
      <c r="F4" s="15" t="s">
        <v>163</v>
      </c>
      <c r="G4" s="15" t="s">
        <v>28</v>
      </c>
      <c r="H4" s="36">
        <v>34593</v>
      </c>
      <c r="I4" s="15" t="s">
        <v>59</v>
      </c>
      <c r="J4" s="15" t="s">
        <v>31</v>
      </c>
      <c r="K4" s="15" t="s">
        <v>46</v>
      </c>
      <c r="L4" s="15" t="s">
        <v>60</v>
      </c>
      <c r="M4" s="15">
        <v>5</v>
      </c>
      <c r="N4" s="25">
        <v>55000</v>
      </c>
      <c r="O4" s="15">
        <v>5</v>
      </c>
      <c r="P4" s="25">
        <v>261250</v>
      </c>
      <c r="Q4" s="15">
        <v>3</v>
      </c>
      <c r="R4" s="15" t="s">
        <v>48</v>
      </c>
      <c r="S4" s="15" t="s">
        <v>61</v>
      </c>
      <c r="T4" s="15" t="s">
        <v>62</v>
      </c>
      <c r="U4" s="22">
        <v>9380975626</v>
      </c>
      <c r="V4" s="15" t="s">
        <v>64</v>
      </c>
      <c r="W4" s="45">
        <f t="shared" ca="1" si="0"/>
        <v>32</v>
      </c>
      <c r="X4" s="42">
        <f t="shared" si="1"/>
        <v>11</v>
      </c>
      <c r="Y4" s="42" t="str">
        <f t="shared" si="2"/>
        <v>Delayed</v>
      </c>
    </row>
    <row r="5" spans="1:25" x14ac:dyDescent="0.5">
      <c r="A5" s="17" t="s">
        <v>39</v>
      </c>
      <c r="B5" s="17" t="s">
        <v>23</v>
      </c>
      <c r="C5" s="17" t="s">
        <v>24</v>
      </c>
      <c r="D5" s="33">
        <v>46102</v>
      </c>
      <c r="E5" s="33">
        <v>46114</v>
      </c>
      <c r="F5" s="15" t="s">
        <v>27</v>
      </c>
      <c r="G5" s="17" t="s">
        <v>28</v>
      </c>
      <c r="H5" s="37">
        <v>38053</v>
      </c>
      <c r="I5" s="17" t="s">
        <v>59</v>
      </c>
      <c r="J5" s="17" t="s">
        <v>31</v>
      </c>
      <c r="K5" s="17" t="s">
        <v>32</v>
      </c>
      <c r="L5" s="17" t="s">
        <v>33</v>
      </c>
      <c r="M5" s="17">
        <v>5</v>
      </c>
      <c r="N5" s="26">
        <v>2200</v>
      </c>
      <c r="O5" s="17">
        <v>5</v>
      </c>
      <c r="P5" s="26">
        <v>10450</v>
      </c>
      <c r="Q5" s="17">
        <v>5</v>
      </c>
      <c r="R5" s="17" t="s">
        <v>48</v>
      </c>
      <c r="S5" s="17" t="s">
        <v>61</v>
      </c>
      <c r="T5" s="15" t="s">
        <v>50</v>
      </c>
      <c r="U5" s="21">
        <v>9600261125</v>
      </c>
      <c r="V5" s="17" t="s">
        <v>69</v>
      </c>
      <c r="W5" s="44">
        <f t="shared" ca="1" si="0"/>
        <v>22</v>
      </c>
      <c r="X5" s="42">
        <f t="shared" si="1"/>
        <v>12</v>
      </c>
      <c r="Y5" s="42" t="str">
        <f t="shared" si="2"/>
        <v>Delayed</v>
      </c>
    </row>
    <row r="6" spans="1:25" x14ac:dyDescent="0.5">
      <c r="A6" s="15" t="s">
        <v>70</v>
      </c>
      <c r="B6" s="15" t="s">
        <v>71</v>
      </c>
      <c r="C6" s="15" t="s">
        <v>72</v>
      </c>
      <c r="D6" s="32">
        <v>45927</v>
      </c>
      <c r="E6" s="32">
        <v>45937</v>
      </c>
      <c r="F6" s="15" t="s">
        <v>217</v>
      </c>
      <c r="G6" s="15" t="s">
        <v>76</v>
      </c>
      <c r="H6" s="36">
        <v>27863</v>
      </c>
      <c r="I6" s="15" t="s">
        <v>44</v>
      </c>
      <c r="J6" s="15" t="s">
        <v>45</v>
      </c>
      <c r="K6" s="15" t="s">
        <v>46</v>
      </c>
      <c r="L6" s="15" t="s">
        <v>78</v>
      </c>
      <c r="M6" s="15">
        <v>8</v>
      </c>
      <c r="N6" s="25">
        <v>1200</v>
      </c>
      <c r="O6" s="15">
        <v>5</v>
      </c>
      <c r="P6" s="25">
        <v>9120</v>
      </c>
      <c r="Q6" s="15">
        <v>2</v>
      </c>
      <c r="R6" s="15" t="s">
        <v>79</v>
      </c>
      <c r="S6" s="15" t="s">
        <v>61</v>
      </c>
      <c r="T6" s="15" t="s">
        <v>80</v>
      </c>
      <c r="U6" s="22">
        <v>9724635978</v>
      </c>
      <c r="V6" s="15" t="s">
        <v>64</v>
      </c>
      <c r="W6" s="45">
        <f t="shared" ca="1" si="0"/>
        <v>50</v>
      </c>
      <c r="X6" s="42">
        <f t="shared" si="1"/>
        <v>10</v>
      </c>
      <c r="Y6" s="42" t="str">
        <f t="shared" si="2"/>
        <v>Delayed</v>
      </c>
    </row>
    <row r="7" spans="1:25" x14ac:dyDescent="0.5">
      <c r="A7" s="17" t="s">
        <v>82</v>
      </c>
      <c r="B7" s="17" t="s">
        <v>83</v>
      </c>
      <c r="C7" s="17" t="s">
        <v>24</v>
      </c>
      <c r="D7" s="33">
        <v>46026</v>
      </c>
      <c r="E7" s="33">
        <v>46034</v>
      </c>
      <c r="F7" s="15" t="s">
        <v>180</v>
      </c>
      <c r="G7" s="17" t="s">
        <v>76</v>
      </c>
      <c r="H7" s="37">
        <v>32180</v>
      </c>
      <c r="I7" s="17" t="s">
        <v>30</v>
      </c>
      <c r="J7" s="17" t="s">
        <v>31</v>
      </c>
      <c r="K7" s="17" t="s">
        <v>32</v>
      </c>
      <c r="L7" s="17" t="s">
        <v>33</v>
      </c>
      <c r="M7" s="17">
        <v>4</v>
      </c>
      <c r="N7" s="26">
        <v>2200</v>
      </c>
      <c r="O7" s="17">
        <v>0</v>
      </c>
      <c r="P7" s="26">
        <v>8800</v>
      </c>
      <c r="Q7" s="17">
        <v>1</v>
      </c>
      <c r="R7" s="17" t="s">
        <v>88</v>
      </c>
      <c r="S7" s="17" t="s">
        <v>35</v>
      </c>
      <c r="T7" s="15" t="s">
        <v>89</v>
      </c>
      <c r="U7" s="21">
        <v>9780584905</v>
      </c>
      <c r="V7" s="17" t="s">
        <v>38</v>
      </c>
      <c r="W7" s="44">
        <f t="shared" ca="1" si="0"/>
        <v>38</v>
      </c>
      <c r="X7" s="42">
        <f t="shared" si="1"/>
        <v>8</v>
      </c>
      <c r="Y7" s="42" t="str">
        <f t="shared" si="2"/>
        <v>Delayed</v>
      </c>
    </row>
    <row r="8" spans="1:25" x14ac:dyDescent="0.5">
      <c r="A8" s="15" t="s">
        <v>91</v>
      </c>
      <c r="B8" s="15" t="s">
        <v>23</v>
      </c>
      <c r="C8" s="15" t="s">
        <v>92</v>
      </c>
      <c r="D8" s="15"/>
      <c r="E8" s="32">
        <v>46078</v>
      </c>
      <c r="F8" s="15" t="s">
        <v>27</v>
      </c>
      <c r="G8" s="15" t="s">
        <v>28</v>
      </c>
      <c r="H8" s="36">
        <v>37700</v>
      </c>
      <c r="I8" s="15" t="s">
        <v>30</v>
      </c>
      <c r="J8" s="15" t="s">
        <v>31</v>
      </c>
      <c r="K8" s="15" t="s">
        <v>32</v>
      </c>
      <c r="L8" s="15" t="s">
        <v>97</v>
      </c>
      <c r="M8" s="15">
        <v>2</v>
      </c>
      <c r="N8" s="25">
        <v>3500</v>
      </c>
      <c r="O8" s="15">
        <v>5</v>
      </c>
      <c r="P8" s="25">
        <v>6650</v>
      </c>
      <c r="Q8" s="15">
        <v>1</v>
      </c>
      <c r="R8" s="15" t="s">
        <v>88</v>
      </c>
      <c r="S8" s="15" t="s">
        <v>35</v>
      </c>
      <c r="T8" s="15" t="s">
        <v>50</v>
      </c>
      <c r="U8" s="22">
        <v>9958252176</v>
      </c>
      <c r="V8" s="15" t="s">
        <v>38</v>
      </c>
      <c r="W8" s="45">
        <f t="shared" ca="1" si="0"/>
        <v>23</v>
      </c>
      <c r="X8" s="42" t="str">
        <f t="shared" si="1"/>
        <v>Not Available</v>
      </c>
      <c r="Y8" s="42" t="str">
        <f t="shared" si="2"/>
        <v>Delayed</v>
      </c>
    </row>
    <row r="9" spans="1:25" x14ac:dyDescent="0.5">
      <c r="A9" s="17" t="s">
        <v>99</v>
      </c>
      <c r="B9" s="17" t="s">
        <v>100</v>
      </c>
      <c r="C9" s="17" t="s">
        <v>40</v>
      </c>
      <c r="D9" s="33">
        <v>45760</v>
      </c>
      <c r="E9" s="33">
        <v>45766</v>
      </c>
      <c r="F9" s="15" t="s">
        <v>103</v>
      </c>
      <c r="G9" s="17" t="s">
        <v>28</v>
      </c>
      <c r="H9" s="37">
        <v>34765</v>
      </c>
      <c r="I9" s="17" t="s">
        <v>105</v>
      </c>
      <c r="J9" s="17" t="s">
        <v>106</v>
      </c>
      <c r="K9" s="17" t="s">
        <v>46</v>
      </c>
      <c r="L9" s="17" t="s">
        <v>47</v>
      </c>
      <c r="M9" s="17">
        <v>14</v>
      </c>
      <c r="N9" s="26">
        <v>12000</v>
      </c>
      <c r="O9" s="17">
        <v>15</v>
      </c>
      <c r="P9" s="26">
        <v>142800</v>
      </c>
      <c r="Q9" s="17">
        <v>4</v>
      </c>
      <c r="R9" s="17" t="s">
        <v>48</v>
      </c>
      <c r="S9" s="17" t="s">
        <v>35</v>
      </c>
      <c r="T9" s="15" t="s">
        <v>144</v>
      </c>
      <c r="U9" s="21">
        <v>9705521654</v>
      </c>
      <c r="V9" s="17" t="s">
        <v>38</v>
      </c>
      <c r="W9" s="44">
        <f t="shared" ca="1" si="0"/>
        <v>31</v>
      </c>
      <c r="X9" s="42">
        <f t="shared" si="1"/>
        <v>6</v>
      </c>
      <c r="Y9" s="42" t="str">
        <f t="shared" si="2"/>
        <v>Delayed</v>
      </c>
    </row>
    <row r="10" spans="1:25" x14ac:dyDescent="0.5">
      <c r="A10" s="15" t="s">
        <v>109</v>
      </c>
      <c r="B10" s="15" t="s">
        <v>23</v>
      </c>
      <c r="C10" s="15" t="s">
        <v>40</v>
      </c>
      <c r="D10" s="32">
        <v>46053</v>
      </c>
      <c r="E10" s="32">
        <v>46055</v>
      </c>
      <c r="F10" s="15" t="s">
        <v>27</v>
      </c>
      <c r="G10" s="15" t="s">
        <v>28</v>
      </c>
      <c r="H10" s="36">
        <v>35526</v>
      </c>
      <c r="I10" s="15" t="s">
        <v>114</v>
      </c>
      <c r="J10" s="15" t="s">
        <v>106</v>
      </c>
      <c r="K10" s="15" t="s">
        <v>46</v>
      </c>
      <c r="L10" s="15" t="s">
        <v>47</v>
      </c>
      <c r="M10" s="15">
        <v>4</v>
      </c>
      <c r="N10" s="25">
        <v>12000</v>
      </c>
      <c r="O10" s="15">
        <v>15</v>
      </c>
      <c r="P10" s="25">
        <v>40800</v>
      </c>
      <c r="Q10" s="15">
        <v>4</v>
      </c>
      <c r="R10" s="15" t="s">
        <v>88</v>
      </c>
      <c r="S10" s="15" t="s">
        <v>115</v>
      </c>
      <c r="T10" s="15" t="s">
        <v>50</v>
      </c>
      <c r="U10" s="22">
        <v>9588041011</v>
      </c>
      <c r="V10" s="15" t="s">
        <v>38</v>
      </c>
      <c r="W10" s="45">
        <f t="shared" ca="1" si="0"/>
        <v>29</v>
      </c>
      <c r="X10" s="42">
        <f t="shared" si="1"/>
        <v>2</v>
      </c>
      <c r="Y10" s="42" t="str">
        <f t="shared" si="2"/>
        <v xml:space="preserve">On Time </v>
      </c>
    </row>
    <row r="11" spans="1:25" x14ac:dyDescent="0.5">
      <c r="A11" s="17" t="s">
        <v>117</v>
      </c>
      <c r="B11" s="17" t="s">
        <v>100</v>
      </c>
      <c r="C11" s="17" t="s">
        <v>118</v>
      </c>
      <c r="D11" s="33">
        <v>45741</v>
      </c>
      <c r="E11" s="33">
        <v>45743</v>
      </c>
      <c r="F11" s="15" t="s">
        <v>103</v>
      </c>
      <c r="G11" s="17" t="s">
        <v>28</v>
      </c>
      <c r="H11" s="37">
        <v>32880</v>
      </c>
      <c r="I11" s="17" t="s">
        <v>105</v>
      </c>
      <c r="J11" s="17" t="s">
        <v>106</v>
      </c>
      <c r="K11" s="17" t="s">
        <v>122</v>
      </c>
      <c r="L11" s="17" t="s">
        <v>123</v>
      </c>
      <c r="M11" s="17">
        <v>6</v>
      </c>
      <c r="N11" s="26">
        <v>60</v>
      </c>
      <c r="O11" s="17">
        <v>0</v>
      </c>
      <c r="P11" s="26">
        <v>360</v>
      </c>
      <c r="Q11" s="17">
        <v>4</v>
      </c>
      <c r="R11" s="17" t="s">
        <v>79</v>
      </c>
      <c r="S11" s="17" t="s">
        <v>115</v>
      </c>
      <c r="T11" s="15" t="s">
        <v>144</v>
      </c>
      <c r="U11" s="21">
        <v>9340540608</v>
      </c>
      <c r="V11" s="17" t="s">
        <v>38</v>
      </c>
      <c r="W11" s="44">
        <f t="shared" ca="1" si="0"/>
        <v>36</v>
      </c>
      <c r="X11" s="42">
        <f t="shared" si="1"/>
        <v>2</v>
      </c>
      <c r="Y11" s="42" t="str">
        <f t="shared" si="2"/>
        <v xml:space="preserve">On Time </v>
      </c>
    </row>
    <row r="12" spans="1:25" x14ac:dyDescent="0.5">
      <c r="A12" s="15" t="s">
        <v>126</v>
      </c>
      <c r="B12" s="15" t="s">
        <v>127</v>
      </c>
      <c r="C12" s="15" t="s">
        <v>24</v>
      </c>
      <c r="D12" s="32">
        <v>45919</v>
      </c>
      <c r="E12" s="32">
        <v>45923</v>
      </c>
      <c r="F12" s="15" t="s">
        <v>200</v>
      </c>
      <c r="G12" s="15" t="s">
        <v>76</v>
      </c>
      <c r="H12" s="36">
        <v>30081</v>
      </c>
      <c r="I12" s="15" t="s">
        <v>44</v>
      </c>
      <c r="J12" s="15" t="s">
        <v>45</v>
      </c>
      <c r="K12" s="15" t="s">
        <v>32</v>
      </c>
      <c r="L12" s="15" t="s">
        <v>33</v>
      </c>
      <c r="M12" s="15">
        <v>-3</v>
      </c>
      <c r="N12" s="25">
        <v>2200</v>
      </c>
      <c r="O12" s="15">
        <v>0</v>
      </c>
      <c r="P12" s="25">
        <v>35200</v>
      </c>
      <c r="Q12" s="15">
        <v>2</v>
      </c>
      <c r="R12" s="15" t="s">
        <v>79</v>
      </c>
      <c r="S12" s="15" t="s">
        <v>49</v>
      </c>
      <c r="T12" s="15" t="s">
        <v>132</v>
      </c>
      <c r="U12" s="22">
        <v>9521710321</v>
      </c>
      <c r="V12" s="15" t="s">
        <v>64</v>
      </c>
      <c r="W12" s="45">
        <f t="shared" ca="1" si="0"/>
        <v>44</v>
      </c>
      <c r="X12" s="42">
        <f t="shared" si="1"/>
        <v>4</v>
      </c>
      <c r="Y12" s="42" t="str">
        <f t="shared" si="2"/>
        <v xml:space="preserve">On Time </v>
      </c>
    </row>
    <row r="13" spans="1:25" x14ac:dyDescent="0.5">
      <c r="A13" s="17" t="s">
        <v>134</v>
      </c>
      <c r="B13" s="17" t="s">
        <v>23</v>
      </c>
      <c r="C13" s="17" t="s">
        <v>92</v>
      </c>
      <c r="D13" s="33">
        <v>45724</v>
      </c>
      <c r="E13" s="33">
        <v>45731</v>
      </c>
      <c r="F13" s="15" t="s">
        <v>27</v>
      </c>
      <c r="G13" s="17" t="s">
        <v>28</v>
      </c>
      <c r="H13" s="37">
        <v>29974</v>
      </c>
      <c r="I13" s="17" t="s">
        <v>138</v>
      </c>
      <c r="J13" s="17" t="s">
        <v>106</v>
      </c>
      <c r="K13" s="17" t="s">
        <v>32</v>
      </c>
      <c r="L13" s="17" t="s">
        <v>97</v>
      </c>
      <c r="M13" s="17">
        <v>10</v>
      </c>
      <c r="N13" s="26">
        <v>3500</v>
      </c>
      <c r="O13" s="17">
        <v>5</v>
      </c>
      <c r="P13" s="26">
        <v>33250</v>
      </c>
      <c r="Q13" s="17">
        <v>5</v>
      </c>
      <c r="R13" s="17" t="s">
        <v>79</v>
      </c>
      <c r="S13" s="17" t="s">
        <v>61</v>
      </c>
      <c r="T13" s="15" t="s">
        <v>50</v>
      </c>
      <c r="U13" s="21">
        <v>9123535241</v>
      </c>
      <c r="V13" s="17" t="s">
        <v>69</v>
      </c>
      <c r="W13" s="44">
        <f t="shared" ca="1" si="0"/>
        <v>44</v>
      </c>
      <c r="X13" s="42">
        <f t="shared" si="1"/>
        <v>7</v>
      </c>
      <c r="Y13" s="42" t="str">
        <f t="shared" si="2"/>
        <v>Delayed</v>
      </c>
    </row>
    <row r="14" spans="1:25" x14ac:dyDescent="0.5">
      <c r="A14" s="15" t="s">
        <v>140</v>
      </c>
      <c r="B14" s="15" t="s">
        <v>100</v>
      </c>
      <c r="C14" s="15" t="s">
        <v>24</v>
      </c>
      <c r="D14" s="32">
        <v>45667</v>
      </c>
      <c r="E14" s="32">
        <v>45672</v>
      </c>
      <c r="F14" s="15" t="s">
        <v>103</v>
      </c>
      <c r="G14" s="15" t="s">
        <v>28</v>
      </c>
      <c r="H14" s="36">
        <v>33791</v>
      </c>
      <c r="I14" s="15" t="s">
        <v>114</v>
      </c>
      <c r="J14" s="15" t="s">
        <v>106</v>
      </c>
      <c r="K14" s="15" t="s">
        <v>32</v>
      </c>
      <c r="L14" s="15" t="s">
        <v>33</v>
      </c>
      <c r="M14" s="15">
        <v>15</v>
      </c>
      <c r="N14" s="25">
        <v>2200</v>
      </c>
      <c r="O14" s="15">
        <v>10</v>
      </c>
      <c r="P14" s="25">
        <v>29700</v>
      </c>
      <c r="Q14" s="15">
        <v>1</v>
      </c>
      <c r="R14" s="15" t="s">
        <v>88</v>
      </c>
      <c r="S14" s="15" t="s">
        <v>115</v>
      </c>
      <c r="T14" s="15" t="s">
        <v>144</v>
      </c>
      <c r="U14" s="22">
        <v>9367316892</v>
      </c>
      <c r="V14" s="15" t="s">
        <v>64</v>
      </c>
      <c r="W14" s="45">
        <f t="shared" ca="1" si="0"/>
        <v>34</v>
      </c>
      <c r="X14" s="42">
        <f t="shared" si="1"/>
        <v>5</v>
      </c>
      <c r="Y14" s="42" t="str">
        <f t="shared" si="2"/>
        <v xml:space="preserve">On Time </v>
      </c>
    </row>
    <row r="15" spans="1:25" x14ac:dyDescent="0.5">
      <c r="A15" s="17" t="s">
        <v>146</v>
      </c>
      <c r="B15" s="17" t="s">
        <v>127</v>
      </c>
      <c r="C15" s="17" t="s">
        <v>24</v>
      </c>
      <c r="D15" s="33">
        <v>45725</v>
      </c>
      <c r="E15" s="33">
        <v>45729</v>
      </c>
      <c r="F15" s="15" t="s">
        <v>200</v>
      </c>
      <c r="G15" s="17" t="s">
        <v>76</v>
      </c>
      <c r="H15" s="37">
        <v>37334</v>
      </c>
      <c r="I15" s="17" t="s">
        <v>105</v>
      </c>
      <c r="J15" s="17" t="s">
        <v>106</v>
      </c>
      <c r="K15" s="17" t="s">
        <v>32</v>
      </c>
      <c r="L15" s="17" t="s">
        <v>33</v>
      </c>
      <c r="M15" s="17">
        <v>17</v>
      </c>
      <c r="N15" s="26">
        <v>2200</v>
      </c>
      <c r="O15" s="17">
        <v>5</v>
      </c>
      <c r="P15" s="26">
        <v>35530</v>
      </c>
      <c r="Q15" s="17">
        <v>1</v>
      </c>
      <c r="R15" s="17" t="s">
        <v>34</v>
      </c>
      <c r="S15" s="17" t="s">
        <v>151</v>
      </c>
      <c r="T15" s="15" t="s">
        <v>132</v>
      </c>
      <c r="U15" s="21">
        <v>9778489803</v>
      </c>
      <c r="V15" s="17" t="s">
        <v>38</v>
      </c>
      <c r="W15" s="44">
        <f t="shared" ca="1" si="0"/>
        <v>24</v>
      </c>
      <c r="X15" s="42">
        <f t="shared" si="1"/>
        <v>4</v>
      </c>
      <c r="Y15" s="42" t="str">
        <f t="shared" si="2"/>
        <v xml:space="preserve">On Time </v>
      </c>
    </row>
    <row r="16" spans="1:25" x14ac:dyDescent="0.5">
      <c r="A16" s="15" t="s">
        <v>154</v>
      </c>
      <c r="B16" s="15" t="s">
        <v>23</v>
      </c>
      <c r="C16" s="15" t="s">
        <v>92</v>
      </c>
      <c r="D16" s="32">
        <v>45864</v>
      </c>
      <c r="E16" s="32">
        <v>45876</v>
      </c>
      <c r="F16" s="15" t="s">
        <v>27</v>
      </c>
      <c r="G16" s="15" t="s">
        <v>28</v>
      </c>
      <c r="H16" s="36">
        <v>36908</v>
      </c>
      <c r="I16" s="15" t="s">
        <v>105</v>
      </c>
      <c r="J16" s="15" t="s">
        <v>106</v>
      </c>
      <c r="K16" s="15" t="s">
        <v>32</v>
      </c>
      <c r="L16" s="15" t="s">
        <v>97</v>
      </c>
      <c r="M16" s="15">
        <v>15</v>
      </c>
      <c r="N16" s="25">
        <v>3500</v>
      </c>
      <c r="O16" s="15">
        <v>15</v>
      </c>
      <c r="P16" s="25">
        <v>44625</v>
      </c>
      <c r="Q16" s="15">
        <v>2</v>
      </c>
      <c r="R16" s="15" t="s">
        <v>34</v>
      </c>
      <c r="S16" s="15" t="s">
        <v>115</v>
      </c>
      <c r="T16" s="15" t="s">
        <v>50</v>
      </c>
      <c r="U16" s="15">
        <v>9582960180</v>
      </c>
      <c r="V16" s="15" t="s">
        <v>69</v>
      </c>
      <c r="W16" s="46">
        <f t="shared" ca="1" si="0"/>
        <v>25</v>
      </c>
      <c r="X16" s="42">
        <f t="shared" si="1"/>
        <v>12</v>
      </c>
      <c r="Y16" s="42" t="str">
        <f t="shared" si="2"/>
        <v>Delayed</v>
      </c>
    </row>
    <row r="17" spans="1:25" x14ac:dyDescent="0.5">
      <c r="A17" s="17" t="s">
        <v>160</v>
      </c>
      <c r="B17" s="17" t="s">
        <v>53</v>
      </c>
      <c r="C17" s="17" t="s">
        <v>72</v>
      </c>
      <c r="D17" s="33">
        <v>46120</v>
      </c>
      <c r="E17" s="33">
        <v>46123</v>
      </c>
      <c r="F17" s="15" t="s">
        <v>163</v>
      </c>
      <c r="G17" s="17" t="s">
        <v>28</v>
      </c>
      <c r="H17" s="37">
        <v>37357</v>
      </c>
      <c r="I17" s="17" t="s">
        <v>30</v>
      </c>
      <c r="J17" s="17" t="s">
        <v>31</v>
      </c>
      <c r="K17" s="17" t="s">
        <v>46</v>
      </c>
      <c r="L17" s="17" t="s">
        <v>78</v>
      </c>
      <c r="M17" s="17">
        <v>3</v>
      </c>
      <c r="N17" s="26">
        <v>1200</v>
      </c>
      <c r="O17" s="17">
        <v>5</v>
      </c>
      <c r="P17" s="26">
        <v>3420</v>
      </c>
      <c r="Q17" s="17">
        <v>5</v>
      </c>
      <c r="R17" s="17" t="s">
        <v>88</v>
      </c>
      <c r="S17" s="17" t="s">
        <v>35</v>
      </c>
      <c r="T17" s="15" t="s">
        <v>2112</v>
      </c>
      <c r="U17" s="17">
        <v>9611394005</v>
      </c>
      <c r="V17" s="17" t="s">
        <v>38</v>
      </c>
      <c r="W17" s="47">
        <f t="shared" ca="1" si="0"/>
        <v>24</v>
      </c>
      <c r="X17" s="42">
        <f t="shared" si="1"/>
        <v>3</v>
      </c>
      <c r="Y17" s="42" t="str">
        <f t="shared" si="2"/>
        <v xml:space="preserve">On Time </v>
      </c>
    </row>
    <row r="18" spans="1:25" x14ac:dyDescent="0.5">
      <c r="A18" s="15" t="s">
        <v>167</v>
      </c>
      <c r="B18" s="15" t="s">
        <v>168</v>
      </c>
      <c r="C18" s="15" t="s">
        <v>169</v>
      </c>
      <c r="D18" s="32">
        <v>46075</v>
      </c>
      <c r="E18" s="32">
        <v>46084</v>
      </c>
      <c r="F18" s="15" t="s">
        <v>394</v>
      </c>
      <c r="G18" s="15" t="s">
        <v>28</v>
      </c>
      <c r="H18" s="36">
        <v>37272</v>
      </c>
      <c r="I18" s="15" t="s">
        <v>114</v>
      </c>
      <c r="J18" s="15" t="s">
        <v>106</v>
      </c>
      <c r="K18" s="15" t="s">
        <v>32</v>
      </c>
      <c r="L18" s="15" t="s">
        <v>174</v>
      </c>
      <c r="M18" s="15">
        <v>13</v>
      </c>
      <c r="N18" s="25">
        <v>8500</v>
      </c>
      <c r="O18" s="15">
        <v>20</v>
      </c>
      <c r="P18" s="25">
        <v>88400</v>
      </c>
      <c r="Q18" s="15">
        <v>4</v>
      </c>
      <c r="R18" s="15" t="s">
        <v>79</v>
      </c>
      <c r="S18" s="15" t="s">
        <v>49</v>
      </c>
      <c r="T18" s="15" t="s">
        <v>175</v>
      </c>
      <c r="U18" s="15">
        <v>9692599404</v>
      </c>
      <c r="V18" s="15" t="s">
        <v>64</v>
      </c>
      <c r="W18" s="46">
        <f t="shared" ca="1" si="0"/>
        <v>24</v>
      </c>
      <c r="X18" s="42">
        <f t="shared" si="1"/>
        <v>9</v>
      </c>
      <c r="Y18" s="42" t="str">
        <f t="shared" si="2"/>
        <v>Delayed</v>
      </c>
    </row>
    <row r="19" spans="1:25" x14ac:dyDescent="0.5">
      <c r="A19" s="17" t="s">
        <v>177</v>
      </c>
      <c r="B19" s="17" t="s">
        <v>83</v>
      </c>
      <c r="C19" s="17" t="s">
        <v>169</v>
      </c>
      <c r="D19" s="33">
        <v>46081</v>
      </c>
      <c r="E19" s="33">
        <v>46086</v>
      </c>
      <c r="F19" s="15" t="s">
        <v>180</v>
      </c>
      <c r="G19" s="17" t="s">
        <v>76</v>
      </c>
      <c r="H19" s="37">
        <v>32790</v>
      </c>
      <c r="I19" s="17" t="s">
        <v>138</v>
      </c>
      <c r="J19" s="17" t="s">
        <v>106</v>
      </c>
      <c r="K19" s="17" t="s">
        <v>32</v>
      </c>
      <c r="L19" s="17" t="s">
        <v>174</v>
      </c>
      <c r="M19" s="17">
        <v>4</v>
      </c>
      <c r="N19" s="26">
        <v>8500</v>
      </c>
      <c r="O19" s="17">
        <v>20</v>
      </c>
      <c r="P19" s="26">
        <v>27200</v>
      </c>
      <c r="Q19" s="17">
        <v>5</v>
      </c>
      <c r="R19" s="17" t="s">
        <v>79</v>
      </c>
      <c r="S19" s="17" t="s">
        <v>61</v>
      </c>
      <c r="T19" s="15" t="s">
        <v>89</v>
      </c>
      <c r="U19" s="17">
        <v>9426119622</v>
      </c>
      <c r="V19" s="17" t="s">
        <v>64</v>
      </c>
      <c r="W19" s="47">
        <f t="shared" ca="1" si="0"/>
        <v>37</v>
      </c>
      <c r="X19" s="42">
        <f t="shared" si="1"/>
        <v>5</v>
      </c>
      <c r="Y19" s="42" t="str">
        <f t="shared" si="2"/>
        <v xml:space="preserve">On Time </v>
      </c>
    </row>
    <row r="20" spans="1:25" x14ac:dyDescent="0.5">
      <c r="A20" s="15" t="s">
        <v>183</v>
      </c>
      <c r="B20" s="15" t="s">
        <v>83</v>
      </c>
      <c r="C20" s="15" t="s">
        <v>184</v>
      </c>
      <c r="D20" s="32">
        <v>45992</v>
      </c>
      <c r="E20" s="32">
        <v>45995</v>
      </c>
      <c r="F20" s="15" t="s">
        <v>180</v>
      </c>
      <c r="G20" s="15" t="s">
        <v>76</v>
      </c>
      <c r="H20" s="36">
        <v>33539</v>
      </c>
      <c r="I20" s="15" t="s">
        <v>105</v>
      </c>
      <c r="J20" s="15" t="s">
        <v>106</v>
      </c>
      <c r="K20" s="15" t="s">
        <v>46</v>
      </c>
      <c r="L20" s="15" t="s">
        <v>189</v>
      </c>
      <c r="M20" s="15">
        <v>9</v>
      </c>
      <c r="N20" s="25">
        <v>700</v>
      </c>
      <c r="O20" s="15">
        <v>5</v>
      </c>
      <c r="P20" s="25">
        <v>5985</v>
      </c>
      <c r="Q20" s="15">
        <v>3</v>
      </c>
      <c r="R20" s="15" t="s">
        <v>88</v>
      </c>
      <c r="S20" s="15" t="s">
        <v>35</v>
      </c>
      <c r="T20" s="15" t="s">
        <v>89</v>
      </c>
      <c r="U20" s="15">
        <v>9184436009</v>
      </c>
      <c r="V20" s="15" t="s">
        <v>64</v>
      </c>
      <c r="W20" s="46">
        <f t="shared" ca="1" si="0"/>
        <v>34</v>
      </c>
      <c r="X20" s="42">
        <f t="shared" si="1"/>
        <v>3</v>
      </c>
      <c r="Y20" s="42" t="str">
        <f t="shared" si="2"/>
        <v xml:space="preserve">On Time </v>
      </c>
    </row>
    <row r="21" spans="1:25" x14ac:dyDescent="0.5">
      <c r="A21" s="17" t="s">
        <v>192</v>
      </c>
      <c r="B21" s="17" t="s">
        <v>23</v>
      </c>
      <c r="C21" s="17" t="s">
        <v>54</v>
      </c>
      <c r="D21" s="33">
        <v>45833</v>
      </c>
      <c r="E21" s="33">
        <v>45841</v>
      </c>
      <c r="F21" s="15" t="s">
        <v>27</v>
      </c>
      <c r="G21" s="17" t="s">
        <v>28</v>
      </c>
      <c r="H21" s="37">
        <v>32933</v>
      </c>
      <c r="I21" s="17" t="s">
        <v>138</v>
      </c>
      <c r="J21" s="17" t="s">
        <v>106</v>
      </c>
      <c r="K21" s="17" t="s">
        <v>46</v>
      </c>
      <c r="L21" s="17" t="s">
        <v>60</v>
      </c>
      <c r="M21" s="17">
        <v>8</v>
      </c>
      <c r="N21" s="26">
        <v>55000</v>
      </c>
      <c r="O21" s="17">
        <v>20</v>
      </c>
      <c r="P21" s="26">
        <v>352000</v>
      </c>
      <c r="Q21" s="17">
        <v>1</v>
      </c>
      <c r="R21" s="17" t="s">
        <v>34</v>
      </c>
      <c r="S21" s="17" t="s">
        <v>151</v>
      </c>
      <c r="T21" s="15" t="s">
        <v>50</v>
      </c>
      <c r="U21" s="17">
        <v>9263774934</v>
      </c>
      <c r="V21" s="17" t="s">
        <v>38</v>
      </c>
      <c r="W21" s="47">
        <f t="shared" ca="1" si="0"/>
        <v>36</v>
      </c>
      <c r="X21" s="42">
        <f t="shared" si="1"/>
        <v>8</v>
      </c>
      <c r="Y21" s="42" t="str">
        <f t="shared" si="2"/>
        <v>Delayed</v>
      </c>
    </row>
    <row r="22" spans="1:25" x14ac:dyDescent="0.5">
      <c r="A22" s="15" t="s">
        <v>197</v>
      </c>
      <c r="B22" s="15" t="s">
        <v>127</v>
      </c>
      <c r="C22" s="15" t="s">
        <v>184</v>
      </c>
      <c r="D22" s="32">
        <v>45773</v>
      </c>
      <c r="E22" s="32">
        <v>45782</v>
      </c>
      <c r="F22" s="15" t="s">
        <v>200</v>
      </c>
      <c r="G22" s="15" t="s">
        <v>76</v>
      </c>
      <c r="H22" s="36">
        <v>37455</v>
      </c>
      <c r="I22" s="15" t="s">
        <v>44</v>
      </c>
      <c r="J22" s="15" t="s">
        <v>45</v>
      </c>
      <c r="K22" s="15" t="s">
        <v>202</v>
      </c>
      <c r="L22" s="15" t="s">
        <v>189</v>
      </c>
      <c r="M22" s="15">
        <v>10</v>
      </c>
      <c r="N22" s="25">
        <v>700</v>
      </c>
      <c r="O22" s="15">
        <v>20</v>
      </c>
      <c r="P22" s="25">
        <v>5600</v>
      </c>
      <c r="Q22" s="15">
        <v>4</v>
      </c>
      <c r="R22" s="15" t="s">
        <v>79</v>
      </c>
      <c r="S22" s="15" t="s">
        <v>61</v>
      </c>
      <c r="T22" s="15" t="s">
        <v>132</v>
      </c>
      <c r="U22" s="15">
        <v>9473159572</v>
      </c>
      <c r="V22" s="15" t="s">
        <v>69</v>
      </c>
      <c r="W22" s="46">
        <f t="shared" ca="1" si="0"/>
        <v>24</v>
      </c>
      <c r="X22" s="42">
        <f t="shared" si="1"/>
        <v>9</v>
      </c>
      <c r="Y22" s="42" t="str">
        <f t="shared" si="2"/>
        <v>Delayed</v>
      </c>
    </row>
    <row r="23" spans="1:25" x14ac:dyDescent="0.5">
      <c r="A23" s="17" t="s">
        <v>204</v>
      </c>
      <c r="B23" s="17" t="s">
        <v>23</v>
      </c>
      <c r="C23" s="17" t="s">
        <v>92</v>
      </c>
      <c r="D23" s="33">
        <v>45660</v>
      </c>
      <c r="E23" s="33">
        <v>45665</v>
      </c>
      <c r="F23" s="15" t="s">
        <v>27</v>
      </c>
      <c r="G23" s="17" t="s">
        <v>28</v>
      </c>
      <c r="H23" s="37">
        <v>38336</v>
      </c>
      <c r="I23" s="17" t="s">
        <v>59</v>
      </c>
      <c r="J23" s="17" t="s">
        <v>31</v>
      </c>
      <c r="K23" s="17" t="s">
        <v>32</v>
      </c>
      <c r="L23" s="17" t="s">
        <v>97</v>
      </c>
      <c r="M23" s="17">
        <v>1</v>
      </c>
      <c r="N23" s="26">
        <v>3500</v>
      </c>
      <c r="O23" s="17">
        <v>5</v>
      </c>
      <c r="P23" s="26">
        <v>3325</v>
      </c>
      <c r="Q23" s="17">
        <v>3</v>
      </c>
      <c r="R23" s="17" t="s">
        <v>88</v>
      </c>
      <c r="S23" s="17" t="s">
        <v>115</v>
      </c>
      <c r="T23" s="15" t="s">
        <v>50</v>
      </c>
      <c r="U23" s="17">
        <v>9660493688</v>
      </c>
      <c r="V23" s="17" t="s">
        <v>69</v>
      </c>
      <c r="W23" s="47">
        <f t="shared" ca="1" si="0"/>
        <v>21</v>
      </c>
      <c r="X23" s="42">
        <f t="shared" si="1"/>
        <v>5</v>
      </c>
      <c r="Y23" s="42" t="str">
        <f t="shared" si="2"/>
        <v xml:space="preserve">On Time </v>
      </c>
    </row>
    <row r="24" spans="1:25" x14ac:dyDescent="0.5">
      <c r="A24" s="15" t="s">
        <v>209</v>
      </c>
      <c r="B24" s="15" t="s">
        <v>100</v>
      </c>
      <c r="C24" s="15" t="s">
        <v>184</v>
      </c>
      <c r="D24" s="32">
        <v>45766</v>
      </c>
      <c r="E24" s="32">
        <v>45777</v>
      </c>
      <c r="F24" s="15" t="s">
        <v>103</v>
      </c>
      <c r="G24" s="15" t="s">
        <v>28</v>
      </c>
      <c r="H24" s="36">
        <v>30867</v>
      </c>
      <c r="I24" s="15" t="s">
        <v>212</v>
      </c>
      <c r="J24" s="15" t="s">
        <v>45</v>
      </c>
      <c r="K24" s="15" t="s">
        <v>46</v>
      </c>
      <c r="L24" s="15" t="s">
        <v>189</v>
      </c>
      <c r="M24" s="15">
        <v>19</v>
      </c>
      <c r="N24" s="25">
        <v>700</v>
      </c>
      <c r="O24" s="15">
        <v>15</v>
      </c>
      <c r="P24" s="25">
        <v>11305</v>
      </c>
      <c r="Q24" s="15">
        <v>3</v>
      </c>
      <c r="R24" s="15" t="s">
        <v>48</v>
      </c>
      <c r="S24" s="15" t="s">
        <v>151</v>
      </c>
      <c r="T24" s="15" t="s">
        <v>144</v>
      </c>
      <c r="U24" s="15">
        <v>9513325819</v>
      </c>
      <c r="V24" s="15" t="s">
        <v>64</v>
      </c>
      <c r="W24" s="46">
        <f t="shared" ca="1" si="0"/>
        <v>42</v>
      </c>
      <c r="X24" s="42">
        <f t="shared" si="1"/>
        <v>11</v>
      </c>
      <c r="Y24" s="42" t="str">
        <f t="shared" si="2"/>
        <v>Delayed</v>
      </c>
    </row>
    <row r="25" spans="1:25" x14ac:dyDescent="0.5">
      <c r="A25" s="17" t="s">
        <v>214</v>
      </c>
      <c r="B25" s="17" t="s">
        <v>71</v>
      </c>
      <c r="C25" s="17" t="s">
        <v>54</v>
      </c>
      <c r="D25" s="33">
        <v>46013</v>
      </c>
      <c r="E25" s="33">
        <v>46023</v>
      </c>
      <c r="F25" s="15" t="s">
        <v>217</v>
      </c>
      <c r="G25" s="17" t="s">
        <v>76</v>
      </c>
      <c r="H25" s="37">
        <v>28546</v>
      </c>
      <c r="I25" s="17" t="s">
        <v>59</v>
      </c>
      <c r="J25" s="17" t="s">
        <v>31</v>
      </c>
      <c r="K25" s="17" t="s">
        <v>46</v>
      </c>
      <c r="L25" s="17" t="s">
        <v>60</v>
      </c>
      <c r="M25" s="17">
        <v>12</v>
      </c>
      <c r="N25" s="26">
        <v>55000</v>
      </c>
      <c r="O25" s="17">
        <v>0</v>
      </c>
      <c r="P25" s="26">
        <v>660000</v>
      </c>
      <c r="Q25" s="17">
        <v>1</v>
      </c>
      <c r="R25" s="17" t="s">
        <v>79</v>
      </c>
      <c r="S25" s="17" t="s">
        <v>49</v>
      </c>
      <c r="T25" s="15" t="s">
        <v>80</v>
      </c>
      <c r="U25" s="17">
        <v>9641063242</v>
      </c>
      <c r="V25" s="17" t="s">
        <v>64</v>
      </c>
      <c r="W25" s="47">
        <f t="shared" ca="1" si="0"/>
        <v>48</v>
      </c>
      <c r="X25" s="42">
        <f t="shared" si="1"/>
        <v>10</v>
      </c>
      <c r="Y25" s="42" t="str">
        <f t="shared" si="2"/>
        <v>Delayed</v>
      </c>
    </row>
    <row r="26" spans="1:25" x14ac:dyDescent="0.5">
      <c r="A26" s="15" t="s">
        <v>220</v>
      </c>
      <c r="B26" s="15" t="s">
        <v>221</v>
      </c>
      <c r="C26" s="15" t="s">
        <v>222</v>
      </c>
      <c r="D26" s="32">
        <v>46121</v>
      </c>
      <c r="E26" s="32">
        <v>46132</v>
      </c>
      <c r="F26" s="15" t="s">
        <v>225</v>
      </c>
      <c r="G26" s="15" t="s">
        <v>76</v>
      </c>
      <c r="H26" s="36">
        <v>33453</v>
      </c>
      <c r="I26" s="15" t="s">
        <v>105</v>
      </c>
      <c r="J26" s="15" t="s">
        <v>106</v>
      </c>
      <c r="K26" s="15" t="s">
        <v>122</v>
      </c>
      <c r="L26" s="15" t="s">
        <v>227</v>
      </c>
      <c r="M26" s="15">
        <v>1</v>
      </c>
      <c r="N26" s="25">
        <v>20</v>
      </c>
      <c r="O26" s="15">
        <v>5</v>
      </c>
      <c r="P26" s="25">
        <v>19</v>
      </c>
      <c r="Q26" s="15">
        <v>5</v>
      </c>
      <c r="R26" s="15" t="s">
        <v>79</v>
      </c>
      <c r="S26" s="15" t="s">
        <v>35</v>
      </c>
      <c r="T26" s="15" t="s">
        <v>228</v>
      </c>
      <c r="U26" s="15">
        <v>9277372518</v>
      </c>
      <c r="V26" s="15" t="s">
        <v>69</v>
      </c>
      <c r="W26" s="46">
        <f t="shared" ca="1" si="0"/>
        <v>35</v>
      </c>
      <c r="X26" s="42">
        <f t="shared" si="1"/>
        <v>11</v>
      </c>
      <c r="Y26" s="42" t="str">
        <f t="shared" si="2"/>
        <v>Delayed</v>
      </c>
    </row>
    <row r="27" spans="1:25" x14ac:dyDescent="0.5">
      <c r="A27" s="17" t="s">
        <v>230</v>
      </c>
      <c r="B27" s="17" t="s">
        <v>83</v>
      </c>
      <c r="C27" s="17" t="s">
        <v>222</v>
      </c>
      <c r="D27" s="33">
        <v>45832</v>
      </c>
      <c r="E27" s="33">
        <v>45840</v>
      </c>
      <c r="F27" s="15" t="s">
        <v>180</v>
      </c>
      <c r="G27" s="17" t="s">
        <v>76</v>
      </c>
      <c r="H27" s="37">
        <v>28470</v>
      </c>
      <c r="I27" s="17" t="s">
        <v>105</v>
      </c>
      <c r="J27" s="17" t="s">
        <v>106</v>
      </c>
      <c r="K27" s="17" t="s">
        <v>122</v>
      </c>
      <c r="L27" s="17" t="s">
        <v>227</v>
      </c>
      <c r="M27" s="17">
        <v>2</v>
      </c>
      <c r="N27" s="26">
        <v>20</v>
      </c>
      <c r="O27" s="17">
        <v>15</v>
      </c>
      <c r="P27" s="26">
        <v>34</v>
      </c>
      <c r="Q27" s="17">
        <v>1</v>
      </c>
      <c r="R27" s="17" t="s">
        <v>88</v>
      </c>
      <c r="S27" s="17" t="s">
        <v>35</v>
      </c>
      <c r="T27" s="15" t="s">
        <v>89</v>
      </c>
      <c r="U27" s="17">
        <v>9193154372</v>
      </c>
      <c r="V27" s="17" t="s">
        <v>64</v>
      </c>
      <c r="W27" s="47">
        <f t="shared" ca="1" si="0"/>
        <v>48</v>
      </c>
      <c r="X27" s="42">
        <f t="shared" si="1"/>
        <v>8</v>
      </c>
      <c r="Y27" s="42" t="str">
        <f t="shared" si="2"/>
        <v>Delayed</v>
      </c>
    </row>
    <row r="28" spans="1:25" x14ac:dyDescent="0.5">
      <c r="A28" s="15" t="s">
        <v>235</v>
      </c>
      <c r="B28" s="15" t="s">
        <v>71</v>
      </c>
      <c r="C28" s="15" t="s">
        <v>92</v>
      </c>
      <c r="D28" s="32">
        <v>45799</v>
      </c>
      <c r="E28" s="32">
        <v>45802</v>
      </c>
      <c r="F28" s="15" t="s">
        <v>217</v>
      </c>
      <c r="G28" s="15" t="s">
        <v>76</v>
      </c>
      <c r="H28" s="36">
        <v>33642</v>
      </c>
      <c r="I28" s="15" t="s">
        <v>138</v>
      </c>
      <c r="J28" s="15" t="s">
        <v>106</v>
      </c>
      <c r="K28" s="15" t="s">
        <v>32</v>
      </c>
      <c r="L28" s="15" t="s">
        <v>97</v>
      </c>
      <c r="M28" s="15">
        <v>12</v>
      </c>
      <c r="N28" s="25">
        <v>3500</v>
      </c>
      <c r="O28" s="15">
        <v>15</v>
      </c>
      <c r="P28" s="25">
        <v>35700</v>
      </c>
      <c r="Q28" s="15">
        <v>4</v>
      </c>
      <c r="R28" s="15" t="s">
        <v>34</v>
      </c>
      <c r="S28" s="15" t="s">
        <v>49</v>
      </c>
      <c r="T28" s="15" t="s">
        <v>80</v>
      </c>
      <c r="U28" s="15">
        <v>9400073244</v>
      </c>
      <c r="V28" s="15" t="s">
        <v>69</v>
      </c>
      <c r="W28" s="46">
        <f t="shared" ca="1" si="0"/>
        <v>34</v>
      </c>
      <c r="X28" s="42">
        <f t="shared" si="1"/>
        <v>3</v>
      </c>
      <c r="Y28" s="42" t="str">
        <f t="shared" si="2"/>
        <v xml:space="preserve">On Time </v>
      </c>
    </row>
    <row r="29" spans="1:25" x14ac:dyDescent="0.5">
      <c r="A29" s="17" t="s">
        <v>240</v>
      </c>
      <c r="B29" s="17" t="s">
        <v>23</v>
      </c>
      <c r="C29" s="17" t="s">
        <v>72</v>
      </c>
      <c r="D29" s="33">
        <v>46094</v>
      </c>
      <c r="E29" s="33">
        <v>46101</v>
      </c>
      <c r="F29" s="15" t="s">
        <v>27</v>
      </c>
      <c r="G29" s="17" t="s">
        <v>28</v>
      </c>
      <c r="H29" s="37">
        <v>38143</v>
      </c>
      <c r="I29" s="17" t="s">
        <v>138</v>
      </c>
      <c r="J29" s="17" t="s">
        <v>106</v>
      </c>
      <c r="K29" s="17" t="s">
        <v>46</v>
      </c>
      <c r="L29" s="17" t="s">
        <v>78</v>
      </c>
      <c r="M29" s="17">
        <v>11</v>
      </c>
      <c r="N29" s="26">
        <v>1200</v>
      </c>
      <c r="O29" s="17">
        <v>0</v>
      </c>
      <c r="P29" s="26">
        <v>13200</v>
      </c>
      <c r="Q29" s="17">
        <v>2</v>
      </c>
      <c r="R29" s="17" t="s">
        <v>88</v>
      </c>
      <c r="S29" s="17" t="s">
        <v>151</v>
      </c>
      <c r="T29" s="15" t="s">
        <v>50</v>
      </c>
      <c r="U29" s="17">
        <v>9771556720</v>
      </c>
      <c r="V29" s="17" t="s">
        <v>38</v>
      </c>
      <c r="W29" s="47">
        <f t="shared" ca="1" si="0"/>
        <v>22</v>
      </c>
      <c r="X29" s="42">
        <f t="shared" si="1"/>
        <v>7</v>
      </c>
      <c r="Y29" s="42" t="str">
        <f t="shared" si="2"/>
        <v>Delayed</v>
      </c>
    </row>
    <row r="30" spans="1:25" x14ac:dyDescent="0.5">
      <c r="A30" s="15" t="s">
        <v>245</v>
      </c>
      <c r="B30" s="15" t="s">
        <v>127</v>
      </c>
      <c r="C30" s="15" t="s">
        <v>169</v>
      </c>
      <c r="D30" s="32">
        <v>45908</v>
      </c>
      <c r="E30" s="32">
        <v>45920</v>
      </c>
      <c r="F30" s="15" t="s">
        <v>200</v>
      </c>
      <c r="G30" s="15" t="s">
        <v>76</v>
      </c>
      <c r="H30" s="36">
        <v>37114</v>
      </c>
      <c r="I30" s="15" t="s">
        <v>114</v>
      </c>
      <c r="J30" s="15" t="s">
        <v>106</v>
      </c>
      <c r="K30" s="15" t="s">
        <v>32</v>
      </c>
      <c r="L30" s="15" t="s">
        <v>174</v>
      </c>
      <c r="M30" s="15">
        <v>6</v>
      </c>
      <c r="N30" s="25">
        <v>8500</v>
      </c>
      <c r="O30" s="15">
        <v>65</v>
      </c>
      <c r="P30" s="25">
        <v>51000</v>
      </c>
      <c r="Q30" s="15">
        <v>1</v>
      </c>
      <c r="R30" s="15" t="s">
        <v>79</v>
      </c>
      <c r="S30" s="15" t="s">
        <v>61</v>
      </c>
      <c r="T30" s="15" t="s">
        <v>132</v>
      </c>
      <c r="U30" s="15">
        <v>9127480734</v>
      </c>
      <c r="V30" s="15" t="s">
        <v>38</v>
      </c>
      <c r="W30" s="46">
        <f t="shared" ca="1" si="0"/>
        <v>25</v>
      </c>
      <c r="X30" s="42">
        <f t="shared" si="1"/>
        <v>12</v>
      </c>
      <c r="Y30" s="42" t="str">
        <f t="shared" si="2"/>
        <v>Delayed</v>
      </c>
    </row>
    <row r="31" spans="1:25" x14ac:dyDescent="0.5">
      <c r="A31" s="17" t="s">
        <v>250</v>
      </c>
      <c r="B31" s="17" t="s">
        <v>251</v>
      </c>
      <c r="C31" s="17" t="s">
        <v>118</v>
      </c>
      <c r="D31" s="33">
        <v>46033</v>
      </c>
      <c r="E31" s="33">
        <v>46038</v>
      </c>
      <c r="F31" s="15" t="s">
        <v>254</v>
      </c>
      <c r="G31" s="17" t="s">
        <v>28</v>
      </c>
      <c r="H31" s="37">
        <v>29680</v>
      </c>
      <c r="I31" s="17" t="s">
        <v>114</v>
      </c>
      <c r="J31" s="17" t="s">
        <v>106</v>
      </c>
      <c r="K31" s="17" t="s">
        <v>122</v>
      </c>
      <c r="L31" s="17" t="s">
        <v>123</v>
      </c>
      <c r="M31" s="17">
        <v>2</v>
      </c>
      <c r="N31" s="26">
        <v>60</v>
      </c>
      <c r="O31" s="17">
        <v>5</v>
      </c>
      <c r="P31" s="26">
        <v>114</v>
      </c>
      <c r="Q31" s="17">
        <v>3</v>
      </c>
      <c r="R31" s="17" t="s">
        <v>34</v>
      </c>
      <c r="S31" s="17" t="s">
        <v>151</v>
      </c>
      <c r="T31" s="15" t="s">
        <v>256</v>
      </c>
      <c r="U31" s="17">
        <v>9512997042</v>
      </c>
      <c r="V31" s="17" t="s">
        <v>69</v>
      </c>
      <c r="W31" s="47">
        <f t="shared" ca="1" si="0"/>
        <v>45</v>
      </c>
      <c r="X31" s="42">
        <f t="shared" si="1"/>
        <v>5</v>
      </c>
      <c r="Y31" s="42" t="str">
        <f t="shared" si="2"/>
        <v xml:space="preserve">On Time </v>
      </c>
    </row>
    <row r="32" spans="1:25" x14ac:dyDescent="0.5">
      <c r="A32" s="15" t="s">
        <v>258</v>
      </c>
      <c r="B32" s="15" t="s">
        <v>23</v>
      </c>
      <c r="C32" s="15" t="s">
        <v>259</v>
      </c>
      <c r="D32" s="32">
        <v>45824</v>
      </c>
      <c r="E32" s="32">
        <v>45834</v>
      </c>
      <c r="F32" s="15" t="s">
        <v>27</v>
      </c>
      <c r="G32" s="15" t="s">
        <v>28</v>
      </c>
      <c r="H32" s="36">
        <v>35248</v>
      </c>
      <c r="I32" s="15" t="s">
        <v>59</v>
      </c>
      <c r="J32" s="15" t="s">
        <v>31</v>
      </c>
      <c r="K32" s="15" t="s">
        <v>122</v>
      </c>
      <c r="L32" s="15" t="s">
        <v>263</v>
      </c>
      <c r="M32" s="15">
        <v>19</v>
      </c>
      <c r="N32" s="25">
        <v>45</v>
      </c>
      <c r="O32" s="15">
        <v>20</v>
      </c>
      <c r="P32" s="25">
        <v>684</v>
      </c>
      <c r="Q32" s="15">
        <v>4</v>
      </c>
      <c r="R32" s="15" t="s">
        <v>48</v>
      </c>
      <c r="S32" s="15" t="s">
        <v>61</v>
      </c>
      <c r="T32" s="15" t="s">
        <v>50</v>
      </c>
      <c r="U32" s="15">
        <v>9372748661</v>
      </c>
      <c r="V32" s="15" t="s">
        <v>69</v>
      </c>
      <c r="W32" s="46">
        <f t="shared" ca="1" si="0"/>
        <v>30</v>
      </c>
      <c r="X32" s="42">
        <f t="shared" si="1"/>
        <v>10</v>
      </c>
      <c r="Y32" s="42" t="str">
        <f t="shared" si="2"/>
        <v>Delayed</v>
      </c>
    </row>
    <row r="33" spans="1:25" x14ac:dyDescent="0.5">
      <c r="A33" s="17" t="s">
        <v>265</v>
      </c>
      <c r="B33" s="17" t="s">
        <v>100</v>
      </c>
      <c r="C33" s="17" t="s">
        <v>40</v>
      </c>
      <c r="D33" s="33">
        <v>45839</v>
      </c>
      <c r="E33" s="33">
        <v>45851</v>
      </c>
      <c r="F33" s="15" t="s">
        <v>103</v>
      </c>
      <c r="G33" s="17" t="s">
        <v>28</v>
      </c>
      <c r="H33" s="37">
        <v>28079</v>
      </c>
      <c r="I33" s="17" t="s">
        <v>138</v>
      </c>
      <c r="J33" s="17" t="s">
        <v>106</v>
      </c>
      <c r="K33" s="17" t="s">
        <v>46</v>
      </c>
      <c r="L33" s="17" t="s">
        <v>47</v>
      </c>
      <c r="M33" s="17">
        <v>11</v>
      </c>
      <c r="N33" s="26">
        <v>12000</v>
      </c>
      <c r="O33" s="17">
        <v>0</v>
      </c>
      <c r="P33" s="26">
        <v>132000</v>
      </c>
      <c r="Q33" s="17">
        <v>3</v>
      </c>
      <c r="R33" s="17" t="s">
        <v>88</v>
      </c>
      <c r="S33" s="17" t="s">
        <v>35</v>
      </c>
      <c r="T33" s="15" t="s">
        <v>144</v>
      </c>
      <c r="U33" s="17">
        <v>9570437805</v>
      </c>
      <c r="V33" s="17" t="s">
        <v>64</v>
      </c>
      <c r="W33" s="47">
        <f t="shared" ca="1" si="0"/>
        <v>49</v>
      </c>
      <c r="X33" s="42">
        <f t="shared" si="1"/>
        <v>12</v>
      </c>
      <c r="Y33" s="42" t="str">
        <f t="shared" si="2"/>
        <v>Delayed</v>
      </c>
    </row>
    <row r="34" spans="1:25" x14ac:dyDescent="0.5">
      <c r="A34" s="15" t="s">
        <v>271</v>
      </c>
      <c r="B34" s="15" t="s">
        <v>251</v>
      </c>
      <c r="C34" s="15" t="s">
        <v>24</v>
      </c>
      <c r="D34" s="32">
        <v>45723</v>
      </c>
      <c r="E34" s="32">
        <v>45731</v>
      </c>
      <c r="F34" s="15" t="s">
        <v>254</v>
      </c>
      <c r="G34" s="15" t="s">
        <v>28</v>
      </c>
      <c r="H34" s="36">
        <v>32444</v>
      </c>
      <c r="I34" s="15" t="s">
        <v>59</v>
      </c>
      <c r="J34" s="15" t="s">
        <v>31</v>
      </c>
      <c r="K34" s="15" t="s">
        <v>32</v>
      </c>
      <c r="L34" s="15" t="s">
        <v>33</v>
      </c>
      <c r="M34" s="15">
        <v>20</v>
      </c>
      <c r="N34" s="25">
        <v>2200</v>
      </c>
      <c r="O34" s="15">
        <v>5</v>
      </c>
      <c r="P34" s="25">
        <v>41800</v>
      </c>
      <c r="Q34" s="15">
        <v>1</v>
      </c>
      <c r="R34" s="15" t="s">
        <v>34</v>
      </c>
      <c r="S34" s="15" t="s">
        <v>49</v>
      </c>
      <c r="T34" s="15" t="s">
        <v>256</v>
      </c>
      <c r="U34" s="15">
        <v>9310669113</v>
      </c>
      <c r="V34" s="15" t="s">
        <v>64</v>
      </c>
      <c r="W34" s="46">
        <f t="shared" ca="1" si="0"/>
        <v>37</v>
      </c>
      <c r="X34" s="42">
        <f t="shared" si="1"/>
        <v>8</v>
      </c>
      <c r="Y34" s="42" t="str">
        <f t="shared" si="2"/>
        <v>Delayed</v>
      </c>
    </row>
    <row r="35" spans="1:25" x14ac:dyDescent="0.5">
      <c r="A35" s="17" t="s">
        <v>275</v>
      </c>
      <c r="B35" s="17" t="s">
        <v>83</v>
      </c>
      <c r="C35" s="17" t="s">
        <v>222</v>
      </c>
      <c r="D35" s="33">
        <v>45832</v>
      </c>
      <c r="E35" s="33">
        <v>45842</v>
      </c>
      <c r="F35" s="15" t="s">
        <v>180</v>
      </c>
      <c r="G35" s="17" t="s">
        <v>76</v>
      </c>
      <c r="H35" s="37">
        <v>38161</v>
      </c>
      <c r="I35" s="17" t="s">
        <v>138</v>
      </c>
      <c r="J35" s="17" t="s">
        <v>106</v>
      </c>
      <c r="K35" s="17" t="s">
        <v>122</v>
      </c>
      <c r="L35" s="17" t="s">
        <v>227</v>
      </c>
      <c r="M35" s="17">
        <v>3</v>
      </c>
      <c r="N35" s="26">
        <v>20</v>
      </c>
      <c r="O35" s="17">
        <v>0</v>
      </c>
      <c r="P35" s="26">
        <v>60</v>
      </c>
      <c r="Q35" s="17">
        <v>2</v>
      </c>
      <c r="R35" s="17" t="s">
        <v>79</v>
      </c>
      <c r="S35" s="17" t="s">
        <v>35</v>
      </c>
      <c r="T35" s="15" t="s">
        <v>2112</v>
      </c>
      <c r="U35" s="17">
        <v>9437132894</v>
      </c>
      <c r="V35" s="17" t="s">
        <v>69</v>
      </c>
      <c r="W35" s="47">
        <f t="shared" ca="1" si="0"/>
        <v>22</v>
      </c>
      <c r="X35" s="42">
        <f t="shared" si="1"/>
        <v>10</v>
      </c>
      <c r="Y35" s="42" t="str">
        <f t="shared" si="2"/>
        <v>Delayed</v>
      </c>
    </row>
    <row r="36" spans="1:25" x14ac:dyDescent="0.5">
      <c r="A36" s="15" t="s">
        <v>280</v>
      </c>
      <c r="B36" s="15" t="s">
        <v>127</v>
      </c>
      <c r="C36" s="15" t="s">
        <v>259</v>
      </c>
      <c r="D36" s="32">
        <v>45939</v>
      </c>
      <c r="E36" s="32">
        <v>45949</v>
      </c>
      <c r="F36" s="15" t="s">
        <v>200</v>
      </c>
      <c r="G36" s="15" t="s">
        <v>76</v>
      </c>
      <c r="H36" s="36">
        <v>35177</v>
      </c>
      <c r="I36" s="15" t="s">
        <v>114</v>
      </c>
      <c r="J36" s="15" t="s">
        <v>106</v>
      </c>
      <c r="K36" s="15" t="s">
        <v>122</v>
      </c>
      <c r="L36" s="15" t="s">
        <v>263</v>
      </c>
      <c r="M36" s="15">
        <v>18</v>
      </c>
      <c r="N36" s="25">
        <v>45</v>
      </c>
      <c r="O36" s="15">
        <v>20</v>
      </c>
      <c r="P36" s="25">
        <v>648</v>
      </c>
      <c r="Q36" s="15">
        <v>4</v>
      </c>
      <c r="R36" s="15" t="s">
        <v>48</v>
      </c>
      <c r="S36" s="15" t="s">
        <v>35</v>
      </c>
      <c r="T36" s="15" t="s">
        <v>132</v>
      </c>
      <c r="U36" s="15">
        <v>9762437243</v>
      </c>
      <c r="V36" s="15" t="s">
        <v>69</v>
      </c>
      <c r="W36" s="46">
        <f t="shared" ca="1" si="0"/>
        <v>30</v>
      </c>
      <c r="X36" s="42">
        <f t="shared" si="1"/>
        <v>10</v>
      </c>
      <c r="Y36" s="42" t="str">
        <f t="shared" si="2"/>
        <v>Delayed</v>
      </c>
    </row>
    <row r="37" spans="1:25" x14ac:dyDescent="0.5">
      <c r="A37" s="17" t="s">
        <v>285</v>
      </c>
      <c r="B37" s="17" t="s">
        <v>127</v>
      </c>
      <c r="C37" s="17" t="s">
        <v>72</v>
      </c>
      <c r="D37" s="33">
        <v>45980</v>
      </c>
      <c r="E37" s="33">
        <v>45987</v>
      </c>
      <c r="F37" s="15" t="s">
        <v>200</v>
      </c>
      <c r="G37" s="17" t="s">
        <v>76</v>
      </c>
      <c r="H37" s="37">
        <v>29043</v>
      </c>
      <c r="I37" s="17" t="s">
        <v>59</v>
      </c>
      <c r="J37" s="17" t="s">
        <v>31</v>
      </c>
      <c r="K37" s="17" t="s">
        <v>46</v>
      </c>
      <c r="L37" s="17" t="s">
        <v>78</v>
      </c>
      <c r="M37" s="17">
        <v>4</v>
      </c>
      <c r="N37" s="26">
        <v>1200</v>
      </c>
      <c r="O37" s="17">
        <v>20</v>
      </c>
      <c r="P37" s="26">
        <v>3840</v>
      </c>
      <c r="Q37" s="17">
        <v>3</v>
      </c>
      <c r="R37" s="17" t="s">
        <v>48</v>
      </c>
      <c r="S37" s="17" t="s">
        <v>61</v>
      </c>
      <c r="T37" s="15" t="s">
        <v>132</v>
      </c>
      <c r="U37" s="17">
        <v>9149046970</v>
      </c>
      <c r="V37" s="17" t="s">
        <v>38</v>
      </c>
      <c r="W37" s="47">
        <f t="shared" ca="1" si="0"/>
        <v>47</v>
      </c>
      <c r="X37" s="42">
        <f t="shared" si="1"/>
        <v>7</v>
      </c>
      <c r="Y37" s="42" t="str">
        <f t="shared" si="2"/>
        <v>Delayed</v>
      </c>
    </row>
    <row r="38" spans="1:25" x14ac:dyDescent="0.5">
      <c r="A38" s="15" t="s">
        <v>290</v>
      </c>
      <c r="B38" s="15" t="s">
        <v>71</v>
      </c>
      <c r="C38" s="15" t="s">
        <v>54</v>
      </c>
      <c r="D38" s="32">
        <v>45966</v>
      </c>
      <c r="E38" s="32">
        <v>45975</v>
      </c>
      <c r="F38" s="15" t="s">
        <v>217</v>
      </c>
      <c r="G38" s="15" t="s">
        <v>76</v>
      </c>
      <c r="H38" s="36">
        <v>29491</v>
      </c>
      <c r="I38" s="15" t="s">
        <v>294</v>
      </c>
      <c r="J38" s="15" t="s">
        <v>295</v>
      </c>
      <c r="K38" s="15" t="s">
        <v>46</v>
      </c>
      <c r="L38" s="15" t="s">
        <v>60</v>
      </c>
      <c r="M38" s="15">
        <v>10</v>
      </c>
      <c r="N38" s="25">
        <v>55000</v>
      </c>
      <c r="O38" s="15">
        <v>0</v>
      </c>
      <c r="P38" s="25">
        <v>550000</v>
      </c>
      <c r="Q38" s="15">
        <v>1</v>
      </c>
      <c r="R38" s="15" t="s">
        <v>88</v>
      </c>
      <c r="S38" s="15" t="s">
        <v>49</v>
      </c>
      <c r="T38" s="15" t="s">
        <v>80</v>
      </c>
      <c r="U38" s="15">
        <v>9869182901</v>
      </c>
      <c r="V38" s="15" t="s">
        <v>69</v>
      </c>
      <c r="W38" s="46">
        <f t="shared" ca="1" si="0"/>
        <v>46</v>
      </c>
      <c r="X38" s="42">
        <f t="shared" si="1"/>
        <v>9</v>
      </c>
      <c r="Y38" s="42" t="str">
        <f t="shared" si="2"/>
        <v>Delayed</v>
      </c>
    </row>
    <row r="39" spans="1:25" x14ac:dyDescent="0.5">
      <c r="A39" s="17" t="s">
        <v>297</v>
      </c>
      <c r="B39" s="17" t="s">
        <v>251</v>
      </c>
      <c r="C39" s="17" t="s">
        <v>92</v>
      </c>
      <c r="D39" s="33">
        <v>46089</v>
      </c>
      <c r="E39" s="33">
        <v>46101</v>
      </c>
      <c r="F39" s="15" t="s">
        <v>254</v>
      </c>
      <c r="G39" s="17" t="s">
        <v>28</v>
      </c>
      <c r="H39" s="37">
        <v>29393</v>
      </c>
      <c r="I39" s="17" t="s">
        <v>44</v>
      </c>
      <c r="J39" s="17" t="s">
        <v>45</v>
      </c>
      <c r="K39" s="17" t="s">
        <v>32</v>
      </c>
      <c r="L39" s="17" t="s">
        <v>97</v>
      </c>
      <c r="M39" s="17">
        <v>20</v>
      </c>
      <c r="N39" s="26">
        <v>3500</v>
      </c>
      <c r="O39" s="17">
        <v>10</v>
      </c>
      <c r="P39" s="26">
        <v>63000</v>
      </c>
      <c r="Q39" s="17">
        <v>3</v>
      </c>
      <c r="R39" s="17" t="s">
        <v>79</v>
      </c>
      <c r="S39" s="17" t="s">
        <v>49</v>
      </c>
      <c r="T39" s="15" t="s">
        <v>256</v>
      </c>
      <c r="U39" s="17">
        <v>9283578533</v>
      </c>
      <c r="V39" s="17" t="s">
        <v>69</v>
      </c>
      <c r="W39" s="47">
        <f t="shared" ca="1" si="0"/>
        <v>46</v>
      </c>
      <c r="X39" s="42">
        <f t="shared" si="1"/>
        <v>12</v>
      </c>
      <c r="Y39" s="42" t="str">
        <f t="shared" si="2"/>
        <v>Delayed</v>
      </c>
    </row>
    <row r="40" spans="1:25" x14ac:dyDescent="0.5">
      <c r="A40" s="15" t="s">
        <v>301</v>
      </c>
      <c r="B40" s="15" t="s">
        <v>23</v>
      </c>
      <c r="C40" s="15" t="s">
        <v>222</v>
      </c>
      <c r="D40" s="32">
        <v>45701</v>
      </c>
      <c r="E40" s="32">
        <v>45707</v>
      </c>
      <c r="F40" s="15" t="s">
        <v>27</v>
      </c>
      <c r="G40" s="15" t="s">
        <v>28</v>
      </c>
      <c r="H40" s="36">
        <v>29023</v>
      </c>
      <c r="I40" s="15" t="s">
        <v>114</v>
      </c>
      <c r="J40" s="15" t="s">
        <v>106</v>
      </c>
      <c r="K40" s="15" t="s">
        <v>122</v>
      </c>
      <c r="L40" s="15" t="s">
        <v>227</v>
      </c>
      <c r="M40" s="15">
        <v>5</v>
      </c>
      <c r="N40" s="25" t="s">
        <v>305</v>
      </c>
      <c r="O40" s="15">
        <v>0</v>
      </c>
      <c r="P40" s="25">
        <v>100</v>
      </c>
      <c r="Q40" s="15">
        <v>1</v>
      </c>
      <c r="R40" s="15" t="s">
        <v>34</v>
      </c>
      <c r="S40" s="15" t="s">
        <v>49</v>
      </c>
      <c r="T40" s="15" t="s">
        <v>50</v>
      </c>
      <c r="U40" s="15">
        <v>9963005771</v>
      </c>
      <c r="V40" s="15" t="s">
        <v>69</v>
      </c>
      <c r="W40" s="46">
        <f t="shared" ca="1" si="0"/>
        <v>47</v>
      </c>
      <c r="X40" s="42">
        <f t="shared" si="1"/>
        <v>6</v>
      </c>
      <c r="Y40" s="42" t="str">
        <f t="shared" si="2"/>
        <v>Delayed</v>
      </c>
    </row>
    <row r="41" spans="1:25" x14ac:dyDescent="0.5">
      <c r="A41" s="17" t="s">
        <v>307</v>
      </c>
      <c r="B41" s="17" t="s">
        <v>53</v>
      </c>
      <c r="C41" s="17" t="s">
        <v>169</v>
      </c>
      <c r="D41" s="33">
        <v>45935</v>
      </c>
      <c r="E41" s="33">
        <v>45945</v>
      </c>
      <c r="F41" s="15" t="s">
        <v>163</v>
      </c>
      <c r="G41" s="17" t="s">
        <v>28</v>
      </c>
      <c r="H41" s="37">
        <v>33773</v>
      </c>
      <c r="I41" s="17" t="s">
        <v>105</v>
      </c>
      <c r="J41" s="17" t="s">
        <v>106</v>
      </c>
      <c r="K41" s="17" t="s">
        <v>32</v>
      </c>
      <c r="L41" s="17" t="s">
        <v>174</v>
      </c>
      <c r="M41" s="17">
        <v>20</v>
      </c>
      <c r="N41" s="26">
        <v>8500</v>
      </c>
      <c r="O41" s="17">
        <v>0</v>
      </c>
      <c r="P41" s="26">
        <v>170000</v>
      </c>
      <c r="Q41" s="17">
        <v>1</v>
      </c>
      <c r="R41" s="17" t="s">
        <v>88</v>
      </c>
      <c r="S41" s="17" t="s">
        <v>115</v>
      </c>
      <c r="T41" s="15" t="s">
        <v>62</v>
      </c>
      <c r="U41" s="17">
        <v>9484632635</v>
      </c>
      <c r="V41" s="17" t="s">
        <v>69</v>
      </c>
      <c r="W41" s="47">
        <f t="shared" ca="1" si="0"/>
        <v>34</v>
      </c>
      <c r="X41" s="42">
        <f t="shared" si="1"/>
        <v>10</v>
      </c>
      <c r="Y41" s="42" t="str">
        <f t="shared" si="2"/>
        <v>Delayed</v>
      </c>
    </row>
    <row r="42" spans="1:25" x14ac:dyDescent="0.5">
      <c r="A42" s="15" t="s">
        <v>312</v>
      </c>
      <c r="B42" s="15" t="s">
        <v>83</v>
      </c>
      <c r="C42" s="15" t="s">
        <v>118</v>
      </c>
      <c r="D42" s="32">
        <v>46063</v>
      </c>
      <c r="E42" s="32">
        <v>46065</v>
      </c>
      <c r="F42" s="15" t="s">
        <v>180</v>
      </c>
      <c r="G42" s="15" t="s">
        <v>76</v>
      </c>
      <c r="H42" s="36">
        <v>34491</v>
      </c>
      <c r="I42" s="15" t="s">
        <v>59</v>
      </c>
      <c r="J42" s="15" t="s">
        <v>31</v>
      </c>
      <c r="K42" s="15" t="s">
        <v>122</v>
      </c>
      <c r="L42" s="15" t="s">
        <v>123</v>
      </c>
      <c r="M42" s="15">
        <v>8</v>
      </c>
      <c r="N42" s="25">
        <v>60</v>
      </c>
      <c r="O42" s="15">
        <v>15</v>
      </c>
      <c r="P42" s="25">
        <v>408</v>
      </c>
      <c r="Q42" s="15">
        <v>5</v>
      </c>
      <c r="R42" s="15" t="s">
        <v>88</v>
      </c>
      <c r="S42" s="15" t="s">
        <v>49</v>
      </c>
      <c r="T42" s="15" t="s">
        <v>89</v>
      </c>
      <c r="U42" s="15">
        <v>9276319484</v>
      </c>
      <c r="V42" s="15" t="s">
        <v>64</v>
      </c>
      <c r="W42" s="46">
        <f t="shared" ca="1" si="0"/>
        <v>32</v>
      </c>
      <c r="X42" s="42">
        <f t="shared" si="1"/>
        <v>2</v>
      </c>
      <c r="Y42" s="42" t="str">
        <f t="shared" si="2"/>
        <v xml:space="preserve">On Time </v>
      </c>
    </row>
    <row r="43" spans="1:25" x14ac:dyDescent="0.5">
      <c r="A43" s="17" t="s">
        <v>317</v>
      </c>
      <c r="B43" s="17" t="s">
        <v>53</v>
      </c>
      <c r="C43" s="17" t="s">
        <v>92</v>
      </c>
      <c r="D43" s="33">
        <v>45812</v>
      </c>
      <c r="E43" s="33">
        <v>45824</v>
      </c>
      <c r="F43" s="15" t="s">
        <v>163</v>
      </c>
      <c r="G43" s="17" t="s">
        <v>28</v>
      </c>
      <c r="H43" s="37">
        <v>32408</v>
      </c>
      <c r="I43" s="17" t="s">
        <v>114</v>
      </c>
      <c r="J43" s="17" t="s">
        <v>106</v>
      </c>
      <c r="K43" s="17" t="s">
        <v>32</v>
      </c>
      <c r="L43" s="17" t="s">
        <v>97</v>
      </c>
      <c r="M43" s="17">
        <v>8</v>
      </c>
      <c r="N43" s="26">
        <v>3500</v>
      </c>
      <c r="O43" s="17">
        <v>5</v>
      </c>
      <c r="P43" s="26">
        <v>26600</v>
      </c>
      <c r="Q43" s="17">
        <v>1</v>
      </c>
      <c r="R43" s="17" t="s">
        <v>79</v>
      </c>
      <c r="S43" s="17" t="s">
        <v>115</v>
      </c>
      <c r="T43" s="15" t="s">
        <v>62</v>
      </c>
      <c r="U43" s="17">
        <v>9619034852</v>
      </c>
      <c r="V43" s="17" t="s">
        <v>64</v>
      </c>
      <c r="W43" s="47">
        <f t="shared" ca="1" si="0"/>
        <v>38</v>
      </c>
      <c r="X43" s="42">
        <f t="shared" si="1"/>
        <v>12</v>
      </c>
      <c r="Y43" s="42" t="str">
        <f t="shared" si="2"/>
        <v>Delayed</v>
      </c>
    </row>
    <row r="44" spans="1:25" x14ac:dyDescent="0.5">
      <c r="A44" s="15" t="s">
        <v>321</v>
      </c>
      <c r="B44" s="15" t="s">
        <v>71</v>
      </c>
      <c r="C44" s="15" t="s">
        <v>169</v>
      </c>
      <c r="D44" s="32">
        <v>46061</v>
      </c>
      <c r="E44" s="32">
        <v>46067</v>
      </c>
      <c r="F44" s="15" t="s">
        <v>217</v>
      </c>
      <c r="G44" s="15" t="s">
        <v>76</v>
      </c>
      <c r="H44" s="36">
        <v>37086</v>
      </c>
      <c r="I44" s="15" t="s">
        <v>212</v>
      </c>
      <c r="J44" s="15" t="s">
        <v>45</v>
      </c>
      <c r="K44" s="15" t="s">
        <v>32</v>
      </c>
      <c r="L44" s="15" t="s">
        <v>174</v>
      </c>
      <c r="M44" s="15">
        <v>1</v>
      </c>
      <c r="N44" s="25">
        <v>8500</v>
      </c>
      <c r="O44" s="15">
        <v>0</v>
      </c>
      <c r="P44" s="25">
        <v>8500</v>
      </c>
      <c r="Q44" s="15">
        <v>2</v>
      </c>
      <c r="R44" s="15" t="s">
        <v>79</v>
      </c>
      <c r="S44" s="15" t="s">
        <v>115</v>
      </c>
      <c r="T44" s="15" t="s">
        <v>80</v>
      </c>
      <c r="U44" s="15">
        <v>9636416962</v>
      </c>
      <c r="V44" s="15" t="s">
        <v>64</v>
      </c>
      <c r="W44" s="46">
        <f t="shared" ca="1" si="0"/>
        <v>25</v>
      </c>
      <c r="X44" s="42">
        <f t="shared" si="1"/>
        <v>6</v>
      </c>
      <c r="Y44" s="42" t="str">
        <f t="shared" si="2"/>
        <v>Delayed</v>
      </c>
    </row>
    <row r="45" spans="1:25" x14ac:dyDescent="0.5">
      <c r="A45" s="17" t="s">
        <v>326</v>
      </c>
      <c r="B45" s="17" t="s">
        <v>327</v>
      </c>
      <c r="C45" s="17" t="s">
        <v>259</v>
      </c>
      <c r="D45" s="33">
        <v>45746</v>
      </c>
      <c r="E45" s="33">
        <v>45747</v>
      </c>
      <c r="F45" s="15" t="s">
        <v>394</v>
      </c>
      <c r="G45" s="17" t="s">
        <v>76</v>
      </c>
      <c r="H45" s="37">
        <v>33459</v>
      </c>
      <c r="I45" s="17" t="s">
        <v>114</v>
      </c>
      <c r="J45" s="17" t="s">
        <v>106</v>
      </c>
      <c r="K45" s="17" t="s">
        <v>122</v>
      </c>
      <c r="L45" s="17" t="s">
        <v>263</v>
      </c>
      <c r="M45" s="17">
        <v>8</v>
      </c>
      <c r="N45" s="26">
        <v>45</v>
      </c>
      <c r="O45" s="17">
        <v>15</v>
      </c>
      <c r="P45" s="26">
        <v>306</v>
      </c>
      <c r="Q45" s="17">
        <v>2</v>
      </c>
      <c r="R45" s="17" t="s">
        <v>79</v>
      </c>
      <c r="S45" s="17" t="s">
        <v>61</v>
      </c>
      <c r="T45" s="15" t="s">
        <v>332</v>
      </c>
      <c r="U45" s="17">
        <v>9357133880</v>
      </c>
      <c r="V45" s="17" t="s">
        <v>38</v>
      </c>
      <c r="W45" s="47">
        <f t="shared" ca="1" si="0"/>
        <v>35</v>
      </c>
      <c r="X45" s="42">
        <f t="shared" si="1"/>
        <v>1</v>
      </c>
      <c r="Y45" s="42" t="str">
        <f t="shared" si="2"/>
        <v xml:space="preserve">On Time </v>
      </c>
    </row>
    <row r="46" spans="1:25" x14ac:dyDescent="0.5">
      <c r="A46" s="15" t="s">
        <v>334</v>
      </c>
      <c r="B46" s="15" t="s">
        <v>251</v>
      </c>
      <c r="C46" s="15" t="s">
        <v>24</v>
      </c>
      <c r="D46" s="32">
        <v>45772</v>
      </c>
      <c r="E46" s="32">
        <v>45775</v>
      </c>
      <c r="F46" s="15" t="s">
        <v>254</v>
      </c>
      <c r="G46" s="15" t="s">
        <v>28</v>
      </c>
      <c r="H46" s="36">
        <v>32437</v>
      </c>
      <c r="I46" s="15" t="s">
        <v>114</v>
      </c>
      <c r="J46" s="15" t="s">
        <v>106</v>
      </c>
      <c r="K46" s="15" t="s">
        <v>32</v>
      </c>
      <c r="L46" s="15" t="s">
        <v>33</v>
      </c>
      <c r="M46" s="15">
        <v>16</v>
      </c>
      <c r="N46" s="25">
        <v>2200</v>
      </c>
      <c r="O46" s="15">
        <v>5</v>
      </c>
      <c r="P46" s="25">
        <v>33440</v>
      </c>
      <c r="Q46" s="15">
        <v>5</v>
      </c>
      <c r="R46" s="15" t="s">
        <v>79</v>
      </c>
      <c r="S46" s="15" t="s">
        <v>61</v>
      </c>
      <c r="T46" s="15" t="s">
        <v>256</v>
      </c>
      <c r="U46" s="15">
        <v>9575210324</v>
      </c>
      <c r="V46" s="15" t="s">
        <v>69</v>
      </c>
      <c r="W46" s="46">
        <f t="shared" ca="1" si="0"/>
        <v>37</v>
      </c>
      <c r="X46" s="42">
        <f t="shared" si="1"/>
        <v>3</v>
      </c>
      <c r="Y46" s="42" t="str">
        <f t="shared" si="2"/>
        <v xml:space="preserve">On Time </v>
      </c>
    </row>
    <row r="47" spans="1:25" x14ac:dyDescent="0.5">
      <c r="A47" s="17" t="s">
        <v>339</v>
      </c>
      <c r="B47" s="17" t="s">
        <v>71</v>
      </c>
      <c r="C47" s="17" t="s">
        <v>92</v>
      </c>
      <c r="D47" s="33">
        <v>45943</v>
      </c>
      <c r="E47" s="33">
        <v>45953</v>
      </c>
      <c r="F47" s="15" t="s">
        <v>217</v>
      </c>
      <c r="G47" s="17" t="s">
        <v>76</v>
      </c>
      <c r="H47" s="37">
        <v>37579</v>
      </c>
      <c r="I47" s="17" t="s">
        <v>59</v>
      </c>
      <c r="J47" s="17" t="s">
        <v>31</v>
      </c>
      <c r="K47" s="17" t="s">
        <v>32</v>
      </c>
      <c r="L47" s="17" t="s">
        <v>97</v>
      </c>
      <c r="M47" s="17">
        <v>19</v>
      </c>
      <c r="N47" s="26">
        <v>3500</v>
      </c>
      <c r="O47" s="17">
        <v>20</v>
      </c>
      <c r="P47" s="26">
        <v>53200</v>
      </c>
      <c r="Q47" s="17">
        <v>3</v>
      </c>
      <c r="R47" s="17" t="s">
        <v>34</v>
      </c>
      <c r="S47" s="17" t="s">
        <v>151</v>
      </c>
      <c r="T47" s="15" t="s">
        <v>80</v>
      </c>
      <c r="U47" s="17">
        <v>9276080204</v>
      </c>
      <c r="V47" s="17" t="s">
        <v>69</v>
      </c>
      <c r="W47" s="47">
        <f t="shared" ca="1" si="0"/>
        <v>23</v>
      </c>
      <c r="X47" s="42">
        <f t="shared" si="1"/>
        <v>10</v>
      </c>
      <c r="Y47" s="42" t="str">
        <f t="shared" si="2"/>
        <v>Delayed</v>
      </c>
    </row>
    <row r="48" spans="1:25" x14ac:dyDescent="0.5">
      <c r="A48" s="15" t="s">
        <v>344</v>
      </c>
      <c r="B48" s="15" t="s">
        <v>251</v>
      </c>
      <c r="C48" s="15" t="s">
        <v>184</v>
      </c>
      <c r="D48" s="32">
        <v>45941</v>
      </c>
      <c r="E48" s="32">
        <v>45944</v>
      </c>
      <c r="F48" s="15" t="s">
        <v>254</v>
      </c>
      <c r="G48" s="15" t="s">
        <v>28</v>
      </c>
      <c r="H48" s="36">
        <v>36713</v>
      </c>
      <c r="I48" s="15" t="s">
        <v>114</v>
      </c>
      <c r="J48" s="15" t="s">
        <v>106</v>
      </c>
      <c r="K48" s="15" t="s">
        <v>46</v>
      </c>
      <c r="L48" s="15" t="s">
        <v>189</v>
      </c>
      <c r="M48" s="15">
        <v>15</v>
      </c>
      <c r="N48" s="25">
        <v>700</v>
      </c>
      <c r="O48" s="15">
        <v>15</v>
      </c>
      <c r="P48" s="25">
        <v>8925</v>
      </c>
      <c r="Q48" s="15">
        <v>4</v>
      </c>
      <c r="R48" s="15" t="s">
        <v>88</v>
      </c>
      <c r="S48" s="15" t="s">
        <v>115</v>
      </c>
      <c r="T48" s="15" t="s">
        <v>2112</v>
      </c>
      <c r="U48" s="15">
        <v>9856624471</v>
      </c>
      <c r="V48" s="15" t="s">
        <v>38</v>
      </c>
      <c r="W48" s="46">
        <f t="shared" ca="1" si="0"/>
        <v>26</v>
      </c>
      <c r="X48" s="42">
        <f t="shared" si="1"/>
        <v>3</v>
      </c>
      <c r="Y48" s="42" t="str">
        <f t="shared" si="2"/>
        <v xml:space="preserve">On Time </v>
      </c>
    </row>
    <row r="49" spans="1:25" x14ac:dyDescent="0.5">
      <c r="A49" s="17" t="s">
        <v>350</v>
      </c>
      <c r="B49" s="17" t="s">
        <v>251</v>
      </c>
      <c r="C49" s="17" t="s">
        <v>184</v>
      </c>
      <c r="D49" s="33">
        <v>45988</v>
      </c>
      <c r="E49" s="33">
        <v>45994</v>
      </c>
      <c r="F49" s="15" t="s">
        <v>254</v>
      </c>
      <c r="G49" s="17" t="s">
        <v>28</v>
      </c>
      <c r="H49" s="37">
        <v>36125</v>
      </c>
      <c r="I49" s="17" t="s">
        <v>212</v>
      </c>
      <c r="J49" s="17" t="s">
        <v>45</v>
      </c>
      <c r="K49" s="17" t="s">
        <v>46</v>
      </c>
      <c r="L49" s="17" t="s">
        <v>189</v>
      </c>
      <c r="M49" s="17">
        <v>19</v>
      </c>
      <c r="N49" s="26">
        <v>700</v>
      </c>
      <c r="O49" s="17">
        <v>20</v>
      </c>
      <c r="P49" s="26">
        <v>10640</v>
      </c>
      <c r="Q49" s="17">
        <v>1</v>
      </c>
      <c r="R49" s="17" t="s">
        <v>34</v>
      </c>
      <c r="S49" s="17" t="s">
        <v>115</v>
      </c>
      <c r="T49" s="15" t="s">
        <v>256</v>
      </c>
      <c r="U49" s="17">
        <v>9238141322</v>
      </c>
      <c r="V49" s="17" t="s">
        <v>38</v>
      </c>
      <c r="W49" s="47">
        <f t="shared" ca="1" si="0"/>
        <v>27</v>
      </c>
      <c r="X49" s="42">
        <f t="shared" si="1"/>
        <v>6</v>
      </c>
      <c r="Y49" s="42" t="str">
        <f t="shared" si="2"/>
        <v>Delayed</v>
      </c>
    </row>
    <row r="50" spans="1:25" x14ac:dyDescent="0.5">
      <c r="A50" s="15" t="s">
        <v>355</v>
      </c>
      <c r="B50" s="15" t="s">
        <v>71</v>
      </c>
      <c r="C50" s="15" t="s">
        <v>40</v>
      </c>
      <c r="D50" s="32">
        <v>46131</v>
      </c>
      <c r="E50" s="40"/>
      <c r="F50" s="15" t="s">
        <v>217</v>
      </c>
      <c r="G50" s="15" t="s">
        <v>76</v>
      </c>
      <c r="H50" s="36">
        <v>35219</v>
      </c>
      <c r="I50" s="15" t="s">
        <v>44</v>
      </c>
      <c r="J50" s="15" t="s">
        <v>45</v>
      </c>
      <c r="K50" s="15" t="s">
        <v>46</v>
      </c>
      <c r="L50" s="15" t="s">
        <v>47</v>
      </c>
      <c r="M50" s="15">
        <v>19</v>
      </c>
      <c r="N50" s="25">
        <v>12000</v>
      </c>
      <c r="O50" s="15">
        <v>0</v>
      </c>
      <c r="P50" s="25">
        <v>228000</v>
      </c>
      <c r="Q50" s="15">
        <v>1</v>
      </c>
      <c r="R50" s="15" t="s">
        <v>48</v>
      </c>
      <c r="S50" s="15" t="s">
        <v>61</v>
      </c>
      <c r="T50" s="15" t="s">
        <v>80</v>
      </c>
      <c r="U50" s="15">
        <v>9890380030</v>
      </c>
      <c r="V50" s="15" t="s">
        <v>38</v>
      </c>
      <c r="W50" s="46">
        <f t="shared" ca="1" si="0"/>
        <v>30</v>
      </c>
      <c r="X50" s="42" t="str">
        <f t="shared" si="1"/>
        <v>Not Available</v>
      </c>
      <c r="Y50" s="42" t="str">
        <f t="shared" si="2"/>
        <v>Pending</v>
      </c>
    </row>
    <row r="51" spans="1:25" x14ac:dyDescent="0.5">
      <c r="A51" s="17" t="s">
        <v>359</v>
      </c>
      <c r="B51" s="17" t="s">
        <v>168</v>
      </c>
      <c r="C51" s="17" t="s">
        <v>72</v>
      </c>
      <c r="D51" s="33">
        <v>46131</v>
      </c>
      <c r="E51" s="33">
        <v>46133</v>
      </c>
      <c r="F51" s="15" t="s">
        <v>361</v>
      </c>
      <c r="G51" s="17" t="s">
        <v>28</v>
      </c>
      <c r="H51" s="37">
        <v>31851</v>
      </c>
      <c r="I51" s="17" t="s">
        <v>114</v>
      </c>
      <c r="J51" s="17" t="s">
        <v>106</v>
      </c>
      <c r="K51" s="17" t="s">
        <v>46</v>
      </c>
      <c r="L51" s="17" t="s">
        <v>78</v>
      </c>
      <c r="M51" s="17">
        <v>6</v>
      </c>
      <c r="N51" s="26">
        <v>1200</v>
      </c>
      <c r="O51" s="17">
        <v>5</v>
      </c>
      <c r="P51" s="26">
        <v>6840</v>
      </c>
      <c r="Q51" s="17">
        <v>2</v>
      </c>
      <c r="R51" s="17" t="s">
        <v>34</v>
      </c>
      <c r="S51" s="17" t="s">
        <v>35</v>
      </c>
      <c r="T51" s="15" t="s">
        <v>175</v>
      </c>
      <c r="U51" s="17">
        <v>9495893170</v>
      </c>
      <c r="V51" s="17" t="s">
        <v>64</v>
      </c>
      <c r="W51" s="47">
        <f t="shared" ca="1" si="0"/>
        <v>39</v>
      </c>
      <c r="X51" s="42">
        <f t="shared" si="1"/>
        <v>2</v>
      </c>
      <c r="Y51" s="42" t="str">
        <f t="shared" si="2"/>
        <v xml:space="preserve">On Time </v>
      </c>
    </row>
    <row r="52" spans="1:25" x14ac:dyDescent="0.5">
      <c r="A52" s="15" t="s">
        <v>364</v>
      </c>
      <c r="B52" s="15" t="s">
        <v>53</v>
      </c>
      <c r="C52" s="15" t="s">
        <v>24</v>
      </c>
      <c r="D52" s="32">
        <v>45744</v>
      </c>
      <c r="E52" s="32">
        <v>45754</v>
      </c>
      <c r="F52" s="15" t="s">
        <v>163</v>
      </c>
      <c r="G52" s="15" t="s">
        <v>28</v>
      </c>
      <c r="H52" s="36">
        <v>28906</v>
      </c>
      <c r="I52" s="15" t="s">
        <v>59</v>
      </c>
      <c r="J52" s="15" t="s">
        <v>31</v>
      </c>
      <c r="K52" s="15" t="s">
        <v>32</v>
      </c>
      <c r="L52" s="15" t="s">
        <v>33</v>
      </c>
      <c r="M52" s="15">
        <v>7</v>
      </c>
      <c r="N52" s="25">
        <v>2200</v>
      </c>
      <c r="O52" s="15">
        <v>15</v>
      </c>
      <c r="P52" s="25">
        <v>13090</v>
      </c>
      <c r="Q52" s="15">
        <v>1</v>
      </c>
      <c r="R52" s="15" t="s">
        <v>88</v>
      </c>
      <c r="S52" s="15" t="s">
        <v>61</v>
      </c>
      <c r="T52" s="15" t="s">
        <v>62</v>
      </c>
      <c r="U52" s="15">
        <v>9485166307</v>
      </c>
      <c r="V52" s="15" t="s">
        <v>38</v>
      </c>
      <c r="W52" s="46">
        <f t="shared" ca="1" si="0"/>
        <v>47</v>
      </c>
      <c r="X52" s="42">
        <f t="shared" si="1"/>
        <v>10</v>
      </c>
      <c r="Y52" s="42" t="str">
        <f t="shared" si="2"/>
        <v>Delayed</v>
      </c>
    </row>
    <row r="53" spans="1:25" x14ac:dyDescent="0.5">
      <c r="A53" s="17" t="s">
        <v>370</v>
      </c>
      <c r="B53" s="17" t="s">
        <v>100</v>
      </c>
      <c r="C53" s="17" t="s">
        <v>118</v>
      </c>
      <c r="D53" s="33">
        <v>45894</v>
      </c>
      <c r="E53" s="33">
        <v>45897</v>
      </c>
      <c r="F53" s="15" t="s">
        <v>103</v>
      </c>
      <c r="G53" s="17" t="s">
        <v>28</v>
      </c>
      <c r="H53" s="37">
        <v>36747</v>
      </c>
      <c r="I53" s="17" t="s">
        <v>212</v>
      </c>
      <c r="J53" s="17" t="s">
        <v>45</v>
      </c>
      <c r="K53" s="17" t="s">
        <v>122</v>
      </c>
      <c r="L53" s="17" t="s">
        <v>123</v>
      </c>
      <c r="M53" s="17">
        <v>8</v>
      </c>
      <c r="N53" s="26">
        <v>60</v>
      </c>
      <c r="O53" s="17">
        <v>10</v>
      </c>
      <c r="P53" s="26">
        <v>432</v>
      </c>
      <c r="Q53" s="17">
        <v>5</v>
      </c>
      <c r="R53" s="17" t="s">
        <v>79</v>
      </c>
      <c r="S53" s="17" t="s">
        <v>61</v>
      </c>
      <c r="T53" s="15" t="s">
        <v>144</v>
      </c>
      <c r="U53" s="17">
        <v>9924709648</v>
      </c>
      <c r="V53" s="17" t="s">
        <v>69</v>
      </c>
      <c r="W53" s="47">
        <f t="shared" ca="1" si="0"/>
        <v>26</v>
      </c>
      <c r="X53" s="42">
        <f t="shared" si="1"/>
        <v>3</v>
      </c>
      <c r="Y53" s="42" t="str">
        <f t="shared" si="2"/>
        <v xml:space="preserve">On Time </v>
      </c>
    </row>
    <row r="54" spans="1:25" x14ac:dyDescent="0.5">
      <c r="A54" s="15" t="s">
        <v>375</v>
      </c>
      <c r="B54" s="15" t="s">
        <v>221</v>
      </c>
      <c r="C54" s="15" t="s">
        <v>54</v>
      </c>
      <c r="D54" s="32">
        <v>45888</v>
      </c>
      <c r="E54" s="32">
        <v>45892</v>
      </c>
      <c r="F54" s="15" t="s">
        <v>225</v>
      </c>
      <c r="G54" s="15" t="s">
        <v>76</v>
      </c>
      <c r="H54" s="36">
        <v>27776</v>
      </c>
      <c r="I54" s="15" t="s">
        <v>294</v>
      </c>
      <c r="J54" s="15" t="s">
        <v>295</v>
      </c>
      <c r="K54" s="15" t="s">
        <v>46</v>
      </c>
      <c r="L54" s="15" t="s">
        <v>60</v>
      </c>
      <c r="M54" s="15">
        <v>12</v>
      </c>
      <c r="N54" s="25">
        <v>55000</v>
      </c>
      <c r="O54" s="15">
        <v>5</v>
      </c>
      <c r="P54" s="25">
        <v>627000</v>
      </c>
      <c r="Q54" s="15">
        <v>2</v>
      </c>
      <c r="R54" s="15" t="s">
        <v>88</v>
      </c>
      <c r="S54" s="15" t="s">
        <v>49</v>
      </c>
      <c r="T54" s="15" t="s">
        <v>228</v>
      </c>
      <c r="U54" s="15">
        <v>9350554626</v>
      </c>
      <c r="V54" s="15" t="s">
        <v>64</v>
      </c>
      <c r="W54" s="46">
        <f t="shared" ca="1" si="0"/>
        <v>50</v>
      </c>
      <c r="X54" s="42">
        <f t="shared" si="1"/>
        <v>4</v>
      </c>
      <c r="Y54" s="42" t="str">
        <f t="shared" si="2"/>
        <v xml:space="preserve">On Time </v>
      </c>
    </row>
    <row r="55" spans="1:25" x14ac:dyDescent="0.5">
      <c r="A55" s="17" t="s">
        <v>380</v>
      </c>
      <c r="B55" s="17" t="s">
        <v>23</v>
      </c>
      <c r="C55" s="17" t="s">
        <v>184</v>
      </c>
      <c r="D55" s="33">
        <v>45865</v>
      </c>
      <c r="E55" s="33">
        <v>45874</v>
      </c>
      <c r="F55" s="15" t="s">
        <v>27</v>
      </c>
      <c r="G55" s="17" t="s">
        <v>28</v>
      </c>
      <c r="H55" s="37">
        <v>27488</v>
      </c>
      <c r="I55" s="17" t="s">
        <v>212</v>
      </c>
      <c r="J55" s="17" t="s">
        <v>45</v>
      </c>
      <c r="K55" s="17" t="s">
        <v>46</v>
      </c>
      <c r="L55" s="17" t="s">
        <v>189</v>
      </c>
      <c r="M55" s="17">
        <v>3</v>
      </c>
      <c r="N55" s="26">
        <v>700</v>
      </c>
      <c r="O55" s="17">
        <v>0</v>
      </c>
      <c r="P55" s="26">
        <v>2100</v>
      </c>
      <c r="Q55" s="17">
        <v>3</v>
      </c>
      <c r="R55" s="17" t="s">
        <v>79</v>
      </c>
      <c r="S55" s="17" t="s">
        <v>151</v>
      </c>
      <c r="T55" s="15" t="s">
        <v>50</v>
      </c>
      <c r="U55" s="17">
        <v>9743295580</v>
      </c>
      <c r="V55" s="17" t="s">
        <v>69</v>
      </c>
      <c r="W55" s="47">
        <f t="shared" ca="1" si="0"/>
        <v>51</v>
      </c>
      <c r="X55" s="42">
        <f t="shared" si="1"/>
        <v>9</v>
      </c>
      <c r="Y55" s="42" t="str">
        <f t="shared" si="2"/>
        <v>Delayed</v>
      </c>
    </row>
    <row r="56" spans="1:25" x14ac:dyDescent="0.5">
      <c r="A56" s="15" t="s">
        <v>385</v>
      </c>
      <c r="B56" s="15" t="s">
        <v>127</v>
      </c>
      <c r="C56" s="15" t="s">
        <v>118</v>
      </c>
      <c r="D56" s="32">
        <v>45709</v>
      </c>
      <c r="E56" s="32">
        <v>45714</v>
      </c>
      <c r="F56" s="15" t="s">
        <v>200</v>
      </c>
      <c r="G56" s="15" t="s">
        <v>76</v>
      </c>
      <c r="H56" s="36">
        <v>28105</v>
      </c>
      <c r="I56" s="15" t="s">
        <v>138</v>
      </c>
      <c r="J56" s="15" t="s">
        <v>106</v>
      </c>
      <c r="K56" s="15" t="s">
        <v>122</v>
      </c>
      <c r="L56" s="15" t="s">
        <v>123</v>
      </c>
      <c r="M56" s="15">
        <v>19</v>
      </c>
      <c r="N56" s="25">
        <v>60</v>
      </c>
      <c r="O56" s="15">
        <v>15</v>
      </c>
      <c r="P56" s="25">
        <v>969</v>
      </c>
      <c r="Q56" s="15">
        <v>4</v>
      </c>
      <c r="R56" s="15" t="s">
        <v>79</v>
      </c>
      <c r="S56" s="15" t="s">
        <v>49</v>
      </c>
      <c r="T56" s="15" t="s">
        <v>132</v>
      </c>
      <c r="U56" s="15">
        <v>9822926495</v>
      </c>
      <c r="V56" s="15" t="s">
        <v>69</v>
      </c>
      <c r="W56" s="46">
        <f t="shared" ca="1" si="0"/>
        <v>49</v>
      </c>
      <c r="X56" s="42">
        <f t="shared" si="1"/>
        <v>5</v>
      </c>
      <c r="Y56" s="42" t="str">
        <f t="shared" si="2"/>
        <v xml:space="preserve">On Time </v>
      </c>
    </row>
    <row r="57" spans="1:25" x14ac:dyDescent="0.5">
      <c r="A57" s="17" t="s">
        <v>391</v>
      </c>
      <c r="B57" s="17" t="s">
        <v>327</v>
      </c>
      <c r="C57" s="17" t="s">
        <v>118</v>
      </c>
      <c r="D57" s="33">
        <v>45879</v>
      </c>
      <c r="E57" s="33">
        <v>45880</v>
      </c>
      <c r="F57" s="15" t="s">
        <v>394</v>
      </c>
      <c r="G57" s="17" t="s">
        <v>76</v>
      </c>
      <c r="H57" s="37">
        <v>29192</v>
      </c>
      <c r="I57" s="17" t="s">
        <v>212</v>
      </c>
      <c r="J57" s="17" t="s">
        <v>45</v>
      </c>
      <c r="K57" s="17" t="s">
        <v>122</v>
      </c>
      <c r="L57" s="17" t="s">
        <v>123</v>
      </c>
      <c r="M57" s="17">
        <v>9</v>
      </c>
      <c r="N57" s="26">
        <v>60</v>
      </c>
      <c r="O57" s="17">
        <v>20</v>
      </c>
      <c r="P57" s="26">
        <v>432</v>
      </c>
      <c r="Q57" s="17">
        <v>1</v>
      </c>
      <c r="R57" s="17" t="s">
        <v>48</v>
      </c>
      <c r="S57" s="17" t="s">
        <v>115</v>
      </c>
      <c r="T57" s="15" t="s">
        <v>332</v>
      </c>
      <c r="U57" s="17">
        <v>9518298190</v>
      </c>
      <c r="V57" s="17" t="s">
        <v>64</v>
      </c>
      <c r="W57" s="47">
        <f t="shared" ca="1" si="0"/>
        <v>46</v>
      </c>
      <c r="X57" s="42">
        <f t="shared" si="1"/>
        <v>1</v>
      </c>
      <c r="Y57" s="42" t="str">
        <f t="shared" si="2"/>
        <v xml:space="preserve">On Time </v>
      </c>
    </row>
    <row r="58" spans="1:25" x14ac:dyDescent="0.5">
      <c r="A58" s="15" t="s">
        <v>397</v>
      </c>
      <c r="B58" s="15" t="s">
        <v>327</v>
      </c>
      <c r="C58" s="15" t="s">
        <v>184</v>
      </c>
      <c r="D58" s="32">
        <v>46105</v>
      </c>
      <c r="E58" s="32">
        <v>46111</v>
      </c>
      <c r="F58" s="15" t="s">
        <v>394</v>
      </c>
      <c r="G58" s="15" t="s">
        <v>76</v>
      </c>
      <c r="H58" s="36">
        <v>28851</v>
      </c>
      <c r="I58" s="15" t="s">
        <v>59</v>
      </c>
      <c r="J58" s="15" t="s">
        <v>31</v>
      </c>
      <c r="K58" s="15" t="s">
        <v>46</v>
      </c>
      <c r="L58" s="15" t="s">
        <v>189</v>
      </c>
      <c r="M58" s="15">
        <v>6</v>
      </c>
      <c r="N58" s="25">
        <v>700</v>
      </c>
      <c r="O58" s="15">
        <v>0</v>
      </c>
      <c r="P58" s="25">
        <v>4200</v>
      </c>
      <c r="Q58" s="15">
        <v>4</v>
      </c>
      <c r="R58" s="15" t="s">
        <v>88</v>
      </c>
      <c r="S58" s="15" t="s">
        <v>49</v>
      </c>
      <c r="T58" s="15" t="s">
        <v>2112</v>
      </c>
      <c r="U58" s="15">
        <v>9366223547</v>
      </c>
      <c r="V58" s="15" t="s">
        <v>69</v>
      </c>
      <c r="W58" s="46">
        <f t="shared" ca="1" si="0"/>
        <v>47</v>
      </c>
      <c r="X58" s="42">
        <f t="shared" si="1"/>
        <v>6</v>
      </c>
      <c r="Y58" s="42" t="str">
        <f t="shared" si="2"/>
        <v>Delayed</v>
      </c>
    </row>
    <row r="59" spans="1:25" x14ac:dyDescent="0.5">
      <c r="A59" s="17" t="s">
        <v>403</v>
      </c>
      <c r="B59" s="17" t="s">
        <v>127</v>
      </c>
      <c r="C59" s="17" t="s">
        <v>259</v>
      </c>
      <c r="D59" s="33">
        <v>46094</v>
      </c>
      <c r="E59" s="33">
        <v>46100</v>
      </c>
      <c r="F59" s="15" t="s">
        <v>200</v>
      </c>
      <c r="G59" s="17" t="s">
        <v>76</v>
      </c>
      <c r="H59" s="37">
        <v>27499</v>
      </c>
      <c r="I59" s="17" t="s">
        <v>44</v>
      </c>
      <c r="J59" s="17" t="s">
        <v>45</v>
      </c>
      <c r="K59" s="17" t="s">
        <v>122</v>
      </c>
      <c r="L59" s="17" t="s">
        <v>263</v>
      </c>
      <c r="M59" s="17">
        <v>18</v>
      </c>
      <c r="N59" s="26">
        <v>45</v>
      </c>
      <c r="O59" s="17">
        <v>5</v>
      </c>
      <c r="P59" s="26">
        <v>769.5</v>
      </c>
      <c r="Q59" s="17">
        <v>1</v>
      </c>
      <c r="R59" s="17" t="s">
        <v>79</v>
      </c>
      <c r="S59" s="17" t="s">
        <v>61</v>
      </c>
      <c r="T59" s="15" t="s">
        <v>132</v>
      </c>
      <c r="U59" s="17">
        <v>9701988524</v>
      </c>
      <c r="V59" s="17" t="s">
        <v>64</v>
      </c>
      <c r="W59" s="47">
        <f t="shared" ca="1" si="0"/>
        <v>51</v>
      </c>
      <c r="X59" s="42">
        <f t="shared" si="1"/>
        <v>6</v>
      </c>
      <c r="Y59" s="42" t="str">
        <f t="shared" si="2"/>
        <v>Delayed</v>
      </c>
    </row>
    <row r="60" spans="1:25" x14ac:dyDescent="0.5">
      <c r="A60" s="15" t="s">
        <v>407</v>
      </c>
      <c r="B60" s="15" t="s">
        <v>83</v>
      </c>
      <c r="C60" s="15" t="s">
        <v>222</v>
      </c>
      <c r="D60" s="32">
        <v>45823</v>
      </c>
      <c r="E60" s="32">
        <v>45834</v>
      </c>
      <c r="F60" s="15" t="s">
        <v>180</v>
      </c>
      <c r="G60" s="15" t="s">
        <v>76</v>
      </c>
      <c r="H60" s="36">
        <v>32496</v>
      </c>
      <c r="I60" s="15" t="s">
        <v>212</v>
      </c>
      <c r="J60" s="15" t="s">
        <v>45</v>
      </c>
      <c r="K60" s="15" t="s">
        <v>122</v>
      </c>
      <c r="L60" s="15" t="s">
        <v>227</v>
      </c>
      <c r="M60" s="15">
        <v>8</v>
      </c>
      <c r="N60" s="25">
        <v>20</v>
      </c>
      <c r="O60" s="15">
        <v>5</v>
      </c>
      <c r="P60" s="25">
        <v>152</v>
      </c>
      <c r="Q60" s="15">
        <v>1</v>
      </c>
      <c r="R60" s="15" t="s">
        <v>79</v>
      </c>
      <c r="S60" s="15" t="s">
        <v>35</v>
      </c>
      <c r="T60" s="15" t="s">
        <v>89</v>
      </c>
      <c r="U60" s="15">
        <v>9836327649</v>
      </c>
      <c r="V60" s="15" t="s">
        <v>411</v>
      </c>
      <c r="W60" s="46">
        <f t="shared" ca="1" si="0"/>
        <v>37</v>
      </c>
      <c r="X60" s="42">
        <f t="shared" si="1"/>
        <v>11</v>
      </c>
      <c r="Y60" s="42" t="str">
        <f t="shared" si="2"/>
        <v>Delayed</v>
      </c>
    </row>
    <row r="61" spans="1:25" x14ac:dyDescent="0.5">
      <c r="A61" s="17" t="s">
        <v>412</v>
      </c>
      <c r="B61" s="17" t="s">
        <v>221</v>
      </c>
      <c r="C61" s="17" t="s">
        <v>184</v>
      </c>
      <c r="D61" s="33">
        <v>45721</v>
      </c>
      <c r="E61" s="33">
        <v>45722</v>
      </c>
      <c r="F61" s="15" t="s">
        <v>225</v>
      </c>
      <c r="G61" s="17" t="s">
        <v>76</v>
      </c>
      <c r="H61" s="37">
        <v>28921</v>
      </c>
      <c r="I61" s="17" t="s">
        <v>212</v>
      </c>
      <c r="J61" s="17" t="s">
        <v>45</v>
      </c>
      <c r="K61" s="17" t="s">
        <v>46</v>
      </c>
      <c r="L61" s="17" t="s">
        <v>189</v>
      </c>
      <c r="M61" s="17">
        <v>8</v>
      </c>
      <c r="N61" s="26">
        <v>700</v>
      </c>
      <c r="O61" s="17">
        <v>10</v>
      </c>
      <c r="P61" s="26">
        <v>5040</v>
      </c>
      <c r="Q61" s="17">
        <v>1</v>
      </c>
      <c r="R61" s="17" t="s">
        <v>48</v>
      </c>
      <c r="S61" s="17" t="s">
        <v>61</v>
      </c>
      <c r="T61" s="15" t="s">
        <v>228</v>
      </c>
      <c r="U61" s="17">
        <v>9261800516</v>
      </c>
      <c r="V61" s="17" t="s">
        <v>69</v>
      </c>
      <c r="W61" s="47">
        <f t="shared" ca="1" si="0"/>
        <v>47</v>
      </c>
      <c r="X61" s="42">
        <f t="shared" si="1"/>
        <v>1</v>
      </c>
      <c r="Y61" s="42" t="str">
        <f t="shared" si="2"/>
        <v xml:space="preserve">On Time </v>
      </c>
    </row>
    <row r="62" spans="1:25" x14ac:dyDescent="0.5">
      <c r="A62" s="15" t="s">
        <v>418</v>
      </c>
      <c r="B62" s="15" t="s">
        <v>23</v>
      </c>
      <c r="C62" s="15" t="s">
        <v>222</v>
      </c>
      <c r="D62" s="32">
        <v>46121</v>
      </c>
      <c r="E62" s="32">
        <v>46131</v>
      </c>
      <c r="F62" s="15" t="s">
        <v>27</v>
      </c>
      <c r="G62" s="15" t="s">
        <v>28</v>
      </c>
      <c r="H62" s="36">
        <v>37972</v>
      </c>
      <c r="I62" s="15" t="s">
        <v>44</v>
      </c>
      <c r="J62" s="15" t="s">
        <v>45</v>
      </c>
      <c r="K62" s="15" t="s">
        <v>122</v>
      </c>
      <c r="L62" s="15" t="s">
        <v>227</v>
      </c>
      <c r="M62" s="15">
        <v>7</v>
      </c>
      <c r="N62" s="25">
        <v>20</v>
      </c>
      <c r="O62" s="15">
        <v>15</v>
      </c>
      <c r="P62" s="25">
        <v>119</v>
      </c>
      <c r="Q62" s="15">
        <v>5</v>
      </c>
      <c r="R62" s="15" t="s">
        <v>79</v>
      </c>
      <c r="S62" s="15" t="s">
        <v>49</v>
      </c>
      <c r="T62" s="15" t="s">
        <v>50</v>
      </c>
      <c r="U62" s="15">
        <v>9950802015</v>
      </c>
      <c r="V62" s="15" t="s">
        <v>38</v>
      </c>
      <c r="W62" s="46">
        <f t="shared" ca="1" si="0"/>
        <v>22</v>
      </c>
      <c r="X62" s="42">
        <f t="shared" si="1"/>
        <v>10</v>
      </c>
      <c r="Y62" s="42" t="str">
        <f t="shared" si="2"/>
        <v>Delayed</v>
      </c>
    </row>
    <row r="63" spans="1:25" x14ac:dyDescent="0.5">
      <c r="A63" s="17" t="s">
        <v>421</v>
      </c>
      <c r="B63" s="17" t="s">
        <v>100</v>
      </c>
      <c r="C63" s="17" t="s">
        <v>222</v>
      </c>
      <c r="D63" s="33">
        <v>45885</v>
      </c>
      <c r="E63" s="33">
        <v>45894</v>
      </c>
      <c r="F63" s="15" t="s">
        <v>103</v>
      </c>
      <c r="G63" s="17" t="s">
        <v>28</v>
      </c>
      <c r="H63" s="37">
        <v>30777</v>
      </c>
      <c r="I63" s="17" t="s">
        <v>114</v>
      </c>
      <c r="J63" s="17" t="s">
        <v>106</v>
      </c>
      <c r="K63" s="17" t="s">
        <v>122</v>
      </c>
      <c r="L63" s="17" t="s">
        <v>227</v>
      </c>
      <c r="M63" s="17">
        <v>16</v>
      </c>
      <c r="N63" s="26">
        <v>20</v>
      </c>
      <c r="O63" s="17">
        <v>0</v>
      </c>
      <c r="P63" s="26">
        <v>320</v>
      </c>
      <c r="Q63" s="17">
        <v>5</v>
      </c>
      <c r="R63" s="17" t="s">
        <v>48</v>
      </c>
      <c r="S63" s="17" t="s">
        <v>61</v>
      </c>
      <c r="T63" s="15" t="s">
        <v>144</v>
      </c>
      <c r="U63" s="17">
        <v>9595183767</v>
      </c>
      <c r="V63" s="17" t="s">
        <v>64</v>
      </c>
      <c r="W63" s="47">
        <f t="shared" ca="1" si="0"/>
        <v>42</v>
      </c>
      <c r="X63" s="42">
        <f t="shared" si="1"/>
        <v>9</v>
      </c>
      <c r="Y63" s="42" t="str">
        <f t="shared" si="2"/>
        <v>Delayed</v>
      </c>
    </row>
    <row r="64" spans="1:25" x14ac:dyDescent="0.5">
      <c r="A64" s="15" t="s">
        <v>425</v>
      </c>
      <c r="B64" s="15" t="s">
        <v>53</v>
      </c>
      <c r="C64" s="15" t="s">
        <v>259</v>
      </c>
      <c r="D64" s="32">
        <v>46155</v>
      </c>
      <c r="E64" s="32">
        <v>46162</v>
      </c>
      <c r="F64" s="15" t="s">
        <v>163</v>
      </c>
      <c r="G64" s="15" t="s">
        <v>28</v>
      </c>
      <c r="H64" s="36">
        <v>35168</v>
      </c>
      <c r="I64" s="15" t="s">
        <v>105</v>
      </c>
      <c r="J64" s="15" t="s">
        <v>106</v>
      </c>
      <c r="K64" s="15" t="s">
        <v>122</v>
      </c>
      <c r="L64" s="15" t="s">
        <v>263</v>
      </c>
      <c r="M64" s="15">
        <v>15</v>
      </c>
      <c r="N64" s="25">
        <v>45</v>
      </c>
      <c r="O64" s="15">
        <v>0</v>
      </c>
      <c r="P64" s="25">
        <v>675</v>
      </c>
      <c r="Q64" s="15">
        <v>4</v>
      </c>
      <c r="R64" s="15" t="s">
        <v>34</v>
      </c>
      <c r="S64" s="15" t="s">
        <v>61</v>
      </c>
      <c r="T64" s="15" t="s">
        <v>62</v>
      </c>
      <c r="U64" s="15">
        <v>9560201307</v>
      </c>
      <c r="V64" s="15" t="s">
        <v>69</v>
      </c>
      <c r="W64" s="46">
        <f t="shared" ca="1" si="0"/>
        <v>30</v>
      </c>
      <c r="X64" s="42">
        <f t="shared" si="1"/>
        <v>7</v>
      </c>
      <c r="Y64" s="42" t="str">
        <f t="shared" si="2"/>
        <v>Delayed</v>
      </c>
    </row>
    <row r="65" spans="1:25" x14ac:dyDescent="0.5">
      <c r="A65" s="17" t="s">
        <v>430</v>
      </c>
      <c r="B65" s="17" t="s">
        <v>251</v>
      </c>
      <c r="C65" s="17" t="s">
        <v>184</v>
      </c>
      <c r="D65" s="33">
        <v>45717</v>
      </c>
      <c r="E65" s="33">
        <v>45721</v>
      </c>
      <c r="F65" s="15" t="s">
        <v>254</v>
      </c>
      <c r="G65" s="17" t="s">
        <v>28</v>
      </c>
      <c r="H65" s="37">
        <v>37872</v>
      </c>
      <c r="I65" s="17" t="s">
        <v>138</v>
      </c>
      <c r="J65" s="17" t="s">
        <v>106</v>
      </c>
      <c r="K65" s="17" t="s">
        <v>46</v>
      </c>
      <c r="L65" s="17" t="s">
        <v>189</v>
      </c>
      <c r="M65" s="17">
        <v>15</v>
      </c>
      <c r="N65" s="26">
        <v>700</v>
      </c>
      <c r="O65" s="17">
        <v>10</v>
      </c>
      <c r="P65" s="26">
        <v>9450</v>
      </c>
      <c r="Q65" s="17">
        <v>3</v>
      </c>
      <c r="R65" s="17" t="s">
        <v>48</v>
      </c>
      <c r="S65" s="17" t="s">
        <v>151</v>
      </c>
      <c r="T65" s="15" t="s">
        <v>256</v>
      </c>
      <c r="U65" s="17">
        <v>9826484650</v>
      </c>
      <c r="V65" s="17" t="s">
        <v>38</v>
      </c>
      <c r="W65" s="47">
        <f t="shared" ca="1" si="0"/>
        <v>23</v>
      </c>
      <c r="X65" s="42">
        <f t="shared" si="1"/>
        <v>4</v>
      </c>
      <c r="Y65" s="42" t="str">
        <f t="shared" si="2"/>
        <v xml:space="preserve">On Time </v>
      </c>
    </row>
    <row r="66" spans="1:25" x14ac:dyDescent="0.5">
      <c r="A66" s="15" t="s">
        <v>434</v>
      </c>
      <c r="B66" s="15" t="s">
        <v>53</v>
      </c>
      <c r="C66" s="15" t="s">
        <v>259</v>
      </c>
      <c r="D66" s="32">
        <v>45697</v>
      </c>
      <c r="E66" s="32">
        <v>45700</v>
      </c>
      <c r="F66" s="15" t="s">
        <v>163</v>
      </c>
      <c r="G66" s="15" t="s">
        <v>28</v>
      </c>
      <c r="H66" s="36">
        <v>33871</v>
      </c>
      <c r="I66" s="15" t="s">
        <v>294</v>
      </c>
      <c r="J66" s="15" t="s">
        <v>295</v>
      </c>
      <c r="K66" s="15" t="s">
        <v>122</v>
      </c>
      <c r="L66" s="15" t="s">
        <v>263</v>
      </c>
      <c r="M66" s="15">
        <v>3</v>
      </c>
      <c r="N66" s="25">
        <v>45</v>
      </c>
      <c r="O66" s="15">
        <v>15</v>
      </c>
      <c r="P66" s="25">
        <v>114.75</v>
      </c>
      <c r="Q66" s="15">
        <v>2</v>
      </c>
      <c r="R66" s="15" t="s">
        <v>88</v>
      </c>
      <c r="S66" s="15" t="s">
        <v>115</v>
      </c>
      <c r="T66" s="15" t="s">
        <v>62</v>
      </c>
      <c r="U66" s="15">
        <v>9219978007</v>
      </c>
      <c r="V66" s="15" t="s">
        <v>64</v>
      </c>
      <c r="W66" s="46">
        <f t="shared" ca="1" si="0"/>
        <v>34</v>
      </c>
      <c r="X66" s="42">
        <f t="shared" si="1"/>
        <v>3</v>
      </c>
      <c r="Y66" s="42" t="str">
        <f t="shared" si="2"/>
        <v xml:space="preserve">On Time </v>
      </c>
    </row>
    <row r="67" spans="1:25" x14ac:dyDescent="0.5">
      <c r="A67" s="17" t="s">
        <v>439</v>
      </c>
      <c r="B67" s="17" t="s">
        <v>100</v>
      </c>
      <c r="C67" s="17" t="s">
        <v>24</v>
      </c>
      <c r="D67" s="33">
        <v>46031</v>
      </c>
      <c r="E67" s="33">
        <v>46032</v>
      </c>
      <c r="F67" s="15" t="s">
        <v>103</v>
      </c>
      <c r="G67" s="17" t="s">
        <v>28</v>
      </c>
      <c r="H67" s="37">
        <v>31674</v>
      </c>
      <c r="I67" s="17" t="s">
        <v>294</v>
      </c>
      <c r="J67" s="17" t="s">
        <v>295</v>
      </c>
      <c r="K67" s="17" t="s">
        <v>32</v>
      </c>
      <c r="L67" s="17" t="s">
        <v>33</v>
      </c>
      <c r="M67" s="17">
        <v>7</v>
      </c>
      <c r="N67" s="26">
        <v>2200</v>
      </c>
      <c r="O67" s="17">
        <v>15</v>
      </c>
      <c r="P67" s="26">
        <v>13090</v>
      </c>
      <c r="Q67" s="17">
        <v>5</v>
      </c>
      <c r="R67" s="17" t="s">
        <v>88</v>
      </c>
      <c r="S67" s="17" t="s">
        <v>115</v>
      </c>
      <c r="T67" s="15" t="s">
        <v>144</v>
      </c>
      <c r="U67" s="17">
        <v>9662063276</v>
      </c>
      <c r="V67" s="17" t="s">
        <v>38</v>
      </c>
      <c r="W67" s="47">
        <f t="shared" ref="W67:W130" ca="1" si="3">DATEDIF(H67, TODAY(), "y")</f>
        <v>40</v>
      </c>
      <c r="X67" s="42">
        <f t="shared" ref="X67:X130" si="4">IF(OR(ISBLANK(D67), ISBLANK(E67)), "Not Available", E67-D67)</f>
        <v>1</v>
      </c>
      <c r="Y67" s="42" t="str">
        <f t="shared" ref="Y67:Y130" si="5">IF(ISBLANK(E67), "Pending", IF(E67-D67&lt;=5, "On Time ",  "Delayed"))</f>
        <v xml:space="preserve">On Time </v>
      </c>
    </row>
    <row r="68" spans="1:25" x14ac:dyDescent="0.5">
      <c r="A68" s="15" t="s">
        <v>444</v>
      </c>
      <c r="B68" s="15" t="s">
        <v>23</v>
      </c>
      <c r="C68" s="15" t="s">
        <v>259</v>
      </c>
      <c r="D68" s="32">
        <v>45901</v>
      </c>
      <c r="E68" s="32">
        <v>45905</v>
      </c>
      <c r="F68" s="15" t="s">
        <v>27</v>
      </c>
      <c r="G68" s="15" t="s">
        <v>28</v>
      </c>
      <c r="H68" s="36">
        <v>31195</v>
      </c>
      <c r="I68" s="15" t="s">
        <v>44</v>
      </c>
      <c r="J68" s="15" t="s">
        <v>45</v>
      </c>
      <c r="K68" s="15" t="s">
        <v>122</v>
      </c>
      <c r="L68" s="15" t="s">
        <v>263</v>
      </c>
      <c r="M68" s="15">
        <v>19</v>
      </c>
      <c r="N68" s="25">
        <v>45</v>
      </c>
      <c r="O68" s="15">
        <v>10</v>
      </c>
      <c r="P68" s="25">
        <v>769.5</v>
      </c>
      <c r="Q68" s="15">
        <v>5</v>
      </c>
      <c r="R68" s="15" t="s">
        <v>79</v>
      </c>
      <c r="S68" s="15" t="s">
        <v>115</v>
      </c>
      <c r="T68" s="15" t="s">
        <v>50</v>
      </c>
      <c r="U68" s="15">
        <v>9190393639</v>
      </c>
      <c r="V68" s="15" t="s">
        <v>69</v>
      </c>
      <c r="W68" s="46">
        <f t="shared" ca="1" si="3"/>
        <v>41</v>
      </c>
      <c r="X68" s="42">
        <f t="shared" si="4"/>
        <v>4</v>
      </c>
      <c r="Y68" s="42" t="str">
        <f t="shared" si="5"/>
        <v xml:space="preserve">On Time </v>
      </c>
    </row>
    <row r="69" spans="1:25" x14ac:dyDescent="0.5">
      <c r="A69" s="17" t="s">
        <v>449</v>
      </c>
      <c r="B69" s="17" t="s">
        <v>251</v>
      </c>
      <c r="C69" s="17" t="s">
        <v>92</v>
      </c>
      <c r="D69" s="33">
        <v>46062</v>
      </c>
      <c r="E69" s="33">
        <v>46067</v>
      </c>
      <c r="F69" s="15" t="s">
        <v>254</v>
      </c>
      <c r="G69" s="17" t="s">
        <v>28</v>
      </c>
      <c r="H69" s="37">
        <v>29094</v>
      </c>
      <c r="I69" s="17" t="s">
        <v>30</v>
      </c>
      <c r="J69" s="17" t="s">
        <v>31</v>
      </c>
      <c r="K69" s="17" t="s">
        <v>32</v>
      </c>
      <c r="L69" s="17" t="s">
        <v>97</v>
      </c>
      <c r="M69" s="17">
        <v>7</v>
      </c>
      <c r="N69" s="26">
        <v>3500</v>
      </c>
      <c r="O69" s="17">
        <v>15</v>
      </c>
      <c r="P69" s="26">
        <v>20825</v>
      </c>
      <c r="Q69" s="17">
        <v>1</v>
      </c>
      <c r="R69" s="17" t="s">
        <v>34</v>
      </c>
      <c r="S69" s="17" t="s">
        <v>151</v>
      </c>
      <c r="T69" s="15" t="s">
        <v>256</v>
      </c>
      <c r="U69" s="17">
        <v>9106328582</v>
      </c>
      <c r="V69" s="17" t="s">
        <v>64</v>
      </c>
      <c r="W69" s="47">
        <f t="shared" ca="1" si="3"/>
        <v>47</v>
      </c>
      <c r="X69" s="42">
        <f t="shared" si="4"/>
        <v>5</v>
      </c>
      <c r="Y69" s="42" t="str">
        <f t="shared" si="5"/>
        <v xml:space="preserve">On Time </v>
      </c>
    </row>
    <row r="70" spans="1:25" x14ac:dyDescent="0.5">
      <c r="A70" s="15" t="s">
        <v>453</v>
      </c>
      <c r="B70" s="15" t="s">
        <v>53</v>
      </c>
      <c r="C70" s="15" t="s">
        <v>169</v>
      </c>
      <c r="D70" s="32">
        <v>46005</v>
      </c>
      <c r="E70" s="32">
        <v>46010</v>
      </c>
      <c r="F70" s="15" t="s">
        <v>163</v>
      </c>
      <c r="G70" s="15" t="s">
        <v>28</v>
      </c>
      <c r="H70" s="36">
        <v>28116</v>
      </c>
      <c r="I70" s="15" t="s">
        <v>212</v>
      </c>
      <c r="J70" s="15" t="s">
        <v>45</v>
      </c>
      <c r="K70" s="15" t="s">
        <v>32</v>
      </c>
      <c r="L70" s="15" t="s">
        <v>174</v>
      </c>
      <c r="M70" s="15">
        <v>7</v>
      </c>
      <c r="N70" s="25">
        <v>8500</v>
      </c>
      <c r="O70" s="15">
        <v>20</v>
      </c>
      <c r="P70" s="25">
        <v>47600</v>
      </c>
      <c r="Q70" s="15">
        <v>4</v>
      </c>
      <c r="R70" s="15" t="s">
        <v>48</v>
      </c>
      <c r="S70" s="15" t="s">
        <v>115</v>
      </c>
      <c r="T70" s="15" t="s">
        <v>62</v>
      </c>
      <c r="U70" s="15">
        <v>9264401015</v>
      </c>
      <c r="V70" s="15" t="s">
        <v>38</v>
      </c>
      <c r="W70" s="46">
        <f t="shared" ca="1" si="3"/>
        <v>49</v>
      </c>
      <c r="X70" s="42">
        <f t="shared" si="4"/>
        <v>5</v>
      </c>
      <c r="Y70" s="42" t="str">
        <f t="shared" si="5"/>
        <v xml:space="preserve">On Time </v>
      </c>
    </row>
    <row r="71" spans="1:25" x14ac:dyDescent="0.5">
      <c r="A71" s="17" t="s">
        <v>458</v>
      </c>
      <c r="B71" s="17" t="s">
        <v>23</v>
      </c>
      <c r="C71" s="17" t="s">
        <v>54</v>
      </c>
      <c r="D71" s="33">
        <v>45754</v>
      </c>
      <c r="E71" s="33">
        <v>45757</v>
      </c>
      <c r="F71" s="15" t="s">
        <v>27</v>
      </c>
      <c r="G71" s="17" t="s">
        <v>28</v>
      </c>
      <c r="H71" s="37">
        <v>36561</v>
      </c>
      <c r="I71" s="17" t="s">
        <v>59</v>
      </c>
      <c r="J71" s="17" t="s">
        <v>31</v>
      </c>
      <c r="K71" s="17" t="s">
        <v>46</v>
      </c>
      <c r="L71" s="17" t="s">
        <v>60</v>
      </c>
      <c r="M71" s="17">
        <v>16</v>
      </c>
      <c r="N71" s="26">
        <v>55000</v>
      </c>
      <c r="O71" s="17">
        <v>10</v>
      </c>
      <c r="P71" s="26">
        <v>792000</v>
      </c>
      <c r="Q71" s="17">
        <v>1</v>
      </c>
      <c r="R71" s="17" t="s">
        <v>79</v>
      </c>
      <c r="S71" s="17" t="s">
        <v>61</v>
      </c>
      <c r="T71" s="15" t="s">
        <v>50</v>
      </c>
      <c r="U71" s="17">
        <v>9959237375</v>
      </c>
      <c r="V71" s="17" t="s">
        <v>38</v>
      </c>
      <c r="W71" s="47">
        <f t="shared" ca="1" si="3"/>
        <v>26</v>
      </c>
      <c r="X71" s="42">
        <f t="shared" si="4"/>
        <v>3</v>
      </c>
      <c r="Y71" s="42" t="str">
        <f t="shared" si="5"/>
        <v xml:space="preserve">On Time </v>
      </c>
    </row>
    <row r="72" spans="1:25" x14ac:dyDescent="0.5">
      <c r="A72" s="15" t="s">
        <v>462</v>
      </c>
      <c r="B72" s="15" t="s">
        <v>168</v>
      </c>
      <c r="C72" s="15" t="s">
        <v>40</v>
      </c>
      <c r="D72" s="32">
        <v>46015</v>
      </c>
      <c r="E72" s="32">
        <v>46025</v>
      </c>
      <c r="F72" s="15" t="s">
        <v>361</v>
      </c>
      <c r="G72" s="15" t="s">
        <v>28</v>
      </c>
      <c r="H72" s="36">
        <v>31832</v>
      </c>
      <c r="I72" s="15" t="s">
        <v>105</v>
      </c>
      <c r="J72" s="15" t="s">
        <v>106</v>
      </c>
      <c r="K72" s="15" t="s">
        <v>46</v>
      </c>
      <c r="L72" s="15" t="s">
        <v>47</v>
      </c>
      <c r="M72" s="15">
        <v>2</v>
      </c>
      <c r="N72" s="25">
        <v>12000</v>
      </c>
      <c r="O72" s="15">
        <v>20</v>
      </c>
      <c r="P72" s="25">
        <v>19200</v>
      </c>
      <c r="Q72" s="15">
        <v>1</v>
      </c>
      <c r="R72" s="15" t="s">
        <v>34</v>
      </c>
      <c r="S72" s="15" t="s">
        <v>151</v>
      </c>
      <c r="T72" s="15" t="s">
        <v>175</v>
      </c>
      <c r="U72" s="15">
        <v>9561836580</v>
      </c>
      <c r="V72" s="15" t="s">
        <v>64</v>
      </c>
      <c r="W72" s="46">
        <f t="shared" ca="1" si="3"/>
        <v>39</v>
      </c>
      <c r="X72" s="42">
        <f t="shared" si="4"/>
        <v>10</v>
      </c>
      <c r="Y72" s="42" t="str">
        <f t="shared" si="5"/>
        <v>Delayed</v>
      </c>
    </row>
    <row r="73" spans="1:25" x14ac:dyDescent="0.5">
      <c r="A73" s="17" t="s">
        <v>468</v>
      </c>
      <c r="B73" s="17" t="s">
        <v>127</v>
      </c>
      <c r="C73" s="17" t="s">
        <v>259</v>
      </c>
      <c r="D73" s="33">
        <v>45899</v>
      </c>
      <c r="E73" s="33">
        <v>45905</v>
      </c>
      <c r="F73" s="15" t="s">
        <v>200</v>
      </c>
      <c r="G73" s="17" t="s">
        <v>76</v>
      </c>
      <c r="H73" s="37">
        <v>30887</v>
      </c>
      <c r="I73" s="17" t="s">
        <v>59</v>
      </c>
      <c r="J73" s="17" t="s">
        <v>31</v>
      </c>
      <c r="K73" s="17" t="s">
        <v>122</v>
      </c>
      <c r="L73" s="17" t="s">
        <v>263</v>
      </c>
      <c r="M73" s="17">
        <v>4</v>
      </c>
      <c r="N73" s="26">
        <v>45</v>
      </c>
      <c r="O73" s="17">
        <v>5</v>
      </c>
      <c r="P73" s="26">
        <v>171</v>
      </c>
      <c r="Q73" s="17">
        <v>1</v>
      </c>
      <c r="R73" s="17" t="s">
        <v>79</v>
      </c>
      <c r="S73" s="17" t="s">
        <v>49</v>
      </c>
      <c r="T73" s="15" t="s">
        <v>132</v>
      </c>
      <c r="U73" s="17">
        <v>9512666401</v>
      </c>
      <c r="V73" s="17" t="s">
        <v>64</v>
      </c>
      <c r="W73" s="47">
        <f t="shared" ca="1" si="3"/>
        <v>42</v>
      </c>
      <c r="X73" s="42">
        <f t="shared" si="4"/>
        <v>6</v>
      </c>
      <c r="Y73" s="42" t="str">
        <f t="shared" si="5"/>
        <v>Delayed</v>
      </c>
    </row>
    <row r="74" spans="1:25" x14ac:dyDescent="0.5">
      <c r="A74" s="15" t="s">
        <v>472</v>
      </c>
      <c r="B74" s="15" t="s">
        <v>23</v>
      </c>
      <c r="C74" s="15" t="s">
        <v>72</v>
      </c>
      <c r="D74" s="32">
        <v>46004</v>
      </c>
      <c r="E74" s="32">
        <v>46014</v>
      </c>
      <c r="F74" s="15" t="s">
        <v>27</v>
      </c>
      <c r="G74" s="15" t="s">
        <v>28</v>
      </c>
      <c r="H74" s="36">
        <v>29851</v>
      </c>
      <c r="I74" s="15" t="s">
        <v>212</v>
      </c>
      <c r="J74" s="15" t="s">
        <v>45</v>
      </c>
      <c r="K74" s="15" t="s">
        <v>46</v>
      </c>
      <c r="L74" s="15" t="s">
        <v>78</v>
      </c>
      <c r="M74" s="15">
        <v>1</v>
      </c>
      <c r="N74" s="25">
        <v>1200</v>
      </c>
      <c r="O74" s="15">
        <v>5</v>
      </c>
      <c r="P74" s="25">
        <v>1140</v>
      </c>
      <c r="Q74" s="15">
        <v>3</v>
      </c>
      <c r="R74" s="15" t="s">
        <v>88</v>
      </c>
      <c r="S74" s="15" t="s">
        <v>61</v>
      </c>
      <c r="T74" s="15" t="s">
        <v>50</v>
      </c>
      <c r="U74" s="15">
        <v>9808988530</v>
      </c>
      <c r="V74" s="15" t="s">
        <v>69</v>
      </c>
      <c r="W74" s="46">
        <f t="shared" ca="1" si="3"/>
        <v>45</v>
      </c>
      <c r="X74" s="42">
        <f t="shared" si="4"/>
        <v>10</v>
      </c>
      <c r="Y74" s="42" t="str">
        <f t="shared" si="5"/>
        <v>Delayed</v>
      </c>
    </row>
    <row r="75" spans="1:25" x14ac:dyDescent="0.5">
      <c r="A75" s="17" t="s">
        <v>477</v>
      </c>
      <c r="B75" s="17" t="s">
        <v>53</v>
      </c>
      <c r="C75" s="17" t="s">
        <v>24</v>
      </c>
      <c r="D75" s="33">
        <v>46057</v>
      </c>
      <c r="E75" s="33">
        <v>46069</v>
      </c>
      <c r="F75" s="15" t="s">
        <v>163</v>
      </c>
      <c r="G75" s="17" t="s">
        <v>28</v>
      </c>
      <c r="H75" s="37">
        <v>29392</v>
      </c>
      <c r="I75" s="17"/>
      <c r="J75" s="17" t="s">
        <v>31</v>
      </c>
      <c r="K75" s="17" t="s">
        <v>32</v>
      </c>
      <c r="L75" s="17" t="s">
        <v>33</v>
      </c>
      <c r="M75" s="17">
        <v>1</v>
      </c>
      <c r="N75" s="26">
        <v>2200</v>
      </c>
      <c r="O75" s="17">
        <v>15</v>
      </c>
      <c r="P75" s="26">
        <v>1870</v>
      </c>
      <c r="Q75" s="17">
        <v>4</v>
      </c>
      <c r="R75" s="17" t="s">
        <v>79</v>
      </c>
      <c r="S75" s="17" t="s">
        <v>61</v>
      </c>
      <c r="T75" s="15" t="s">
        <v>62</v>
      </c>
      <c r="U75" s="17">
        <v>9286410494</v>
      </c>
      <c r="V75" s="17" t="s">
        <v>38</v>
      </c>
      <c r="W75" s="47">
        <f t="shared" ca="1" si="3"/>
        <v>46</v>
      </c>
      <c r="X75" s="42">
        <f t="shared" si="4"/>
        <v>12</v>
      </c>
      <c r="Y75" s="42" t="str">
        <f t="shared" si="5"/>
        <v>Delayed</v>
      </c>
    </row>
    <row r="76" spans="1:25" x14ac:dyDescent="0.5">
      <c r="A76" s="15" t="s">
        <v>482</v>
      </c>
      <c r="B76" s="15" t="s">
        <v>127</v>
      </c>
      <c r="C76" s="15" t="s">
        <v>72</v>
      </c>
      <c r="D76" s="32">
        <v>46048</v>
      </c>
      <c r="E76" s="32">
        <v>46050</v>
      </c>
      <c r="F76" s="15" t="s">
        <v>200</v>
      </c>
      <c r="G76" s="15" t="s">
        <v>76</v>
      </c>
      <c r="H76" s="36">
        <v>30257</v>
      </c>
      <c r="I76" s="15" t="s">
        <v>114</v>
      </c>
      <c r="J76" s="15" t="s">
        <v>106</v>
      </c>
      <c r="K76" s="15" t="s">
        <v>46</v>
      </c>
      <c r="L76" s="15" t="s">
        <v>78</v>
      </c>
      <c r="M76" s="15">
        <v>3</v>
      </c>
      <c r="N76" s="25">
        <v>1200</v>
      </c>
      <c r="O76" s="15">
        <v>10</v>
      </c>
      <c r="P76" s="25">
        <v>3240</v>
      </c>
      <c r="Q76" s="15">
        <v>5</v>
      </c>
      <c r="R76" s="15" t="s">
        <v>34</v>
      </c>
      <c r="S76" s="15" t="s">
        <v>49</v>
      </c>
      <c r="T76" s="15" t="s">
        <v>132</v>
      </c>
      <c r="U76" s="15">
        <v>9311555196</v>
      </c>
      <c r="V76" s="15" t="s">
        <v>38</v>
      </c>
      <c r="W76" s="46">
        <f t="shared" ca="1" si="3"/>
        <v>43</v>
      </c>
      <c r="X76" s="42">
        <f t="shared" si="4"/>
        <v>2</v>
      </c>
      <c r="Y76" s="42" t="str">
        <f t="shared" si="5"/>
        <v xml:space="preserve">On Time </v>
      </c>
    </row>
    <row r="77" spans="1:25" x14ac:dyDescent="0.5">
      <c r="A77" s="17" t="s">
        <v>487</v>
      </c>
      <c r="B77" s="17" t="s">
        <v>23</v>
      </c>
      <c r="C77" s="17" t="s">
        <v>92</v>
      </c>
      <c r="D77" s="33">
        <v>45835</v>
      </c>
      <c r="E77" s="33">
        <v>45845</v>
      </c>
      <c r="F77" s="15" t="s">
        <v>27</v>
      </c>
      <c r="G77" s="17" t="s">
        <v>28</v>
      </c>
      <c r="H77" s="37">
        <v>29230</v>
      </c>
      <c r="I77" s="17" t="s">
        <v>59</v>
      </c>
      <c r="J77" s="17" t="s">
        <v>31</v>
      </c>
      <c r="K77" s="17" t="s">
        <v>32</v>
      </c>
      <c r="L77" s="17" t="s">
        <v>97</v>
      </c>
      <c r="M77" s="17">
        <v>10</v>
      </c>
      <c r="N77" s="26">
        <v>3500</v>
      </c>
      <c r="O77" s="17">
        <v>20</v>
      </c>
      <c r="P77" s="26">
        <v>28000</v>
      </c>
      <c r="Q77" s="17">
        <v>5</v>
      </c>
      <c r="R77" s="17" t="s">
        <v>79</v>
      </c>
      <c r="S77" s="17" t="s">
        <v>35</v>
      </c>
      <c r="T77" s="15" t="s">
        <v>50</v>
      </c>
      <c r="U77" s="17">
        <v>9101810266</v>
      </c>
      <c r="V77" s="17" t="s">
        <v>38</v>
      </c>
      <c r="W77" s="47">
        <f t="shared" ca="1" si="3"/>
        <v>46</v>
      </c>
      <c r="X77" s="42">
        <f t="shared" si="4"/>
        <v>10</v>
      </c>
      <c r="Y77" s="42" t="str">
        <f t="shared" si="5"/>
        <v>Delayed</v>
      </c>
    </row>
    <row r="78" spans="1:25" x14ac:dyDescent="0.5">
      <c r="A78" s="15" t="s">
        <v>492</v>
      </c>
      <c r="B78" s="15" t="s">
        <v>83</v>
      </c>
      <c r="C78" s="15" t="s">
        <v>184</v>
      </c>
      <c r="D78" s="32">
        <v>46098</v>
      </c>
      <c r="E78" s="32">
        <v>46100</v>
      </c>
      <c r="F78" s="15" t="s">
        <v>180</v>
      </c>
      <c r="G78" s="15" t="s">
        <v>76</v>
      </c>
      <c r="H78" s="36">
        <v>29703</v>
      </c>
      <c r="I78" s="15" t="s">
        <v>44</v>
      </c>
      <c r="J78" s="15" t="s">
        <v>45</v>
      </c>
      <c r="K78" s="15" t="s">
        <v>46</v>
      </c>
      <c r="L78" s="15" t="s">
        <v>189</v>
      </c>
      <c r="M78" s="15">
        <v>18</v>
      </c>
      <c r="N78" s="25">
        <v>700</v>
      </c>
      <c r="O78" s="15">
        <v>5</v>
      </c>
      <c r="P78" s="25">
        <v>11970</v>
      </c>
      <c r="Q78" s="15">
        <v>3</v>
      </c>
      <c r="R78" s="15" t="s">
        <v>79</v>
      </c>
      <c r="S78" s="15" t="s">
        <v>115</v>
      </c>
      <c r="T78" s="15" t="s">
        <v>89</v>
      </c>
      <c r="U78" s="15">
        <v>9464556593</v>
      </c>
      <c r="V78" s="15" t="s">
        <v>69</v>
      </c>
      <c r="W78" s="46">
        <f t="shared" ca="1" si="3"/>
        <v>45</v>
      </c>
      <c r="X78" s="42">
        <f t="shared" si="4"/>
        <v>2</v>
      </c>
      <c r="Y78" s="42" t="str">
        <f t="shared" si="5"/>
        <v xml:space="preserve">On Time </v>
      </c>
    </row>
    <row r="79" spans="1:25" x14ac:dyDescent="0.5">
      <c r="A79" s="17" t="s">
        <v>496</v>
      </c>
      <c r="B79" s="17" t="s">
        <v>221</v>
      </c>
      <c r="C79" s="17" t="s">
        <v>184</v>
      </c>
      <c r="D79" s="33">
        <v>45817</v>
      </c>
      <c r="E79" s="33">
        <v>45826</v>
      </c>
      <c r="F79" s="15" t="s">
        <v>225</v>
      </c>
      <c r="G79" s="17" t="s">
        <v>76</v>
      </c>
      <c r="H79" s="37">
        <v>31118</v>
      </c>
      <c r="I79" s="17" t="s">
        <v>59</v>
      </c>
      <c r="J79" s="17" t="s">
        <v>31</v>
      </c>
      <c r="K79" s="17" t="s">
        <v>46</v>
      </c>
      <c r="L79" s="17" t="s">
        <v>189</v>
      </c>
      <c r="M79" s="17">
        <v>12</v>
      </c>
      <c r="N79" s="26">
        <v>700</v>
      </c>
      <c r="O79" s="17">
        <v>15</v>
      </c>
      <c r="P79" s="26">
        <v>7140</v>
      </c>
      <c r="Q79" s="17">
        <v>2</v>
      </c>
      <c r="R79" s="17" t="s">
        <v>88</v>
      </c>
      <c r="S79" s="17" t="s">
        <v>49</v>
      </c>
      <c r="T79" s="15" t="s">
        <v>228</v>
      </c>
      <c r="U79" s="17">
        <v>9338278358</v>
      </c>
      <c r="V79" s="17" t="s">
        <v>38</v>
      </c>
      <c r="W79" s="47">
        <f t="shared" ca="1" si="3"/>
        <v>41</v>
      </c>
      <c r="X79" s="42">
        <f t="shared" si="4"/>
        <v>9</v>
      </c>
      <c r="Y79" s="42" t="str">
        <f t="shared" si="5"/>
        <v>Delayed</v>
      </c>
    </row>
    <row r="80" spans="1:25" x14ac:dyDescent="0.5">
      <c r="A80" s="15" t="s">
        <v>501</v>
      </c>
      <c r="B80" s="15" t="s">
        <v>71</v>
      </c>
      <c r="C80" s="15" t="s">
        <v>72</v>
      </c>
      <c r="D80" s="32">
        <v>45976</v>
      </c>
      <c r="E80" s="32">
        <v>45977</v>
      </c>
      <c r="F80" s="15" t="s">
        <v>217</v>
      </c>
      <c r="G80" s="15" t="s">
        <v>76</v>
      </c>
      <c r="H80" s="36">
        <v>36234</v>
      </c>
      <c r="I80" s="15" t="s">
        <v>105</v>
      </c>
      <c r="J80" s="15" t="s">
        <v>106</v>
      </c>
      <c r="K80" s="15" t="s">
        <v>46</v>
      </c>
      <c r="L80" s="15" t="s">
        <v>78</v>
      </c>
      <c r="M80" s="15">
        <v>8</v>
      </c>
      <c r="N80" s="25">
        <v>1200</v>
      </c>
      <c r="O80" s="15">
        <v>0</v>
      </c>
      <c r="P80" s="25">
        <v>9600</v>
      </c>
      <c r="Q80" s="15">
        <v>4</v>
      </c>
      <c r="R80" s="15" t="s">
        <v>79</v>
      </c>
      <c r="S80" s="15" t="s">
        <v>49</v>
      </c>
      <c r="T80" s="15" t="s">
        <v>80</v>
      </c>
      <c r="U80" s="15">
        <v>9621410770</v>
      </c>
      <c r="V80" s="15" t="s">
        <v>64</v>
      </c>
      <c r="W80" s="46">
        <f t="shared" ca="1" si="3"/>
        <v>27</v>
      </c>
      <c r="X80" s="42">
        <f t="shared" si="4"/>
        <v>1</v>
      </c>
      <c r="Y80" s="42" t="str">
        <f t="shared" si="5"/>
        <v xml:space="preserve">On Time </v>
      </c>
    </row>
    <row r="81" spans="1:25" x14ac:dyDescent="0.5">
      <c r="A81" s="17" t="s">
        <v>506</v>
      </c>
      <c r="B81" s="17" t="s">
        <v>127</v>
      </c>
      <c r="C81" s="17" t="s">
        <v>118</v>
      </c>
      <c r="D81" s="33">
        <v>45967</v>
      </c>
      <c r="E81" s="33">
        <v>45971</v>
      </c>
      <c r="F81" s="15" t="s">
        <v>200</v>
      </c>
      <c r="G81" s="17" t="s">
        <v>76</v>
      </c>
      <c r="H81" s="37">
        <v>30504</v>
      </c>
      <c r="I81" s="17" t="s">
        <v>114</v>
      </c>
      <c r="J81" s="17" t="s">
        <v>106</v>
      </c>
      <c r="K81" s="17" t="s">
        <v>122</v>
      </c>
      <c r="L81" s="17" t="s">
        <v>123</v>
      </c>
      <c r="M81" s="17">
        <v>2</v>
      </c>
      <c r="N81" s="26">
        <v>60</v>
      </c>
      <c r="O81" s="17">
        <v>0</v>
      </c>
      <c r="P81" s="26">
        <v>120</v>
      </c>
      <c r="Q81" s="17">
        <v>2</v>
      </c>
      <c r="R81" s="17" t="s">
        <v>88</v>
      </c>
      <c r="S81" s="17" t="s">
        <v>49</v>
      </c>
      <c r="T81" s="15" t="s">
        <v>132</v>
      </c>
      <c r="U81" s="17">
        <v>9981333189</v>
      </c>
      <c r="V81" s="17" t="s">
        <v>38</v>
      </c>
      <c r="W81" s="47">
        <f t="shared" ca="1" si="3"/>
        <v>43</v>
      </c>
      <c r="X81" s="42">
        <f t="shared" si="4"/>
        <v>4</v>
      </c>
      <c r="Y81" s="42" t="str">
        <f t="shared" si="5"/>
        <v xml:space="preserve">On Time </v>
      </c>
    </row>
    <row r="82" spans="1:25" x14ac:dyDescent="0.5">
      <c r="A82" s="15" t="s">
        <v>511</v>
      </c>
      <c r="B82" s="15" t="s">
        <v>327</v>
      </c>
      <c r="C82" s="15" t="s">
        <v>259</v>
      </c>
      <c r="D82" s="32">
        <v>45658</v>
      </c>
      <c r="E82" s="32">
        <v>45664</v>
      </c>
      <c r="F82" s="15" t="s">
        <v>394</v>
      </c>
      <c r="G82" s="15" t="s">
        <v>76</v>
      </c>
      <c r="H82" s="36">
        <v>32573</v>
      </c>
      <c r="I82" s="15" t="s">
        <v>114</v>
      </c>
      <c r="J82" s="15" t="s">
        <v>106</v>
      </c>
      <c r="K82" s="15" t="s">
        <v>122</v>
      </c>
      <c r="L82" s="15" t="s">
        <v>263</v>
      </c>
      <c r="M82" s="15">
        <v>10</v>
      </c>
      <c r="N82" s="25">
        <v>45</v>
      </c>
      <c r="O82" s="15">
        <v>15</v>
      </c>
      <c r="P82" s="25">
        <v>382.5</v>
      </c>
      <c r="Q82" s="15">
        <v>3</v>
      </c>
      <c r="R82" s="15" t="s">
        <v>48</v>
      </c>
      <c r="S82" s="15" t="s">
        <v>35</v>
      </c>
      <c r="T82" s="15" t="s">
        <v>332</v>
      </c>
      <c r="U82" s="15">
        <v>9723450355</v>
      </c>
      <c r="V82" s="15" t="s">
        <v>69</v>
      </c>
      <c r="W82" s="46">
        <f t="shared" ca="1" si="3"/>
        <v>37</v>
      </c>
      <c r="X82" s="42">
        <f t="shared" si="4"/>
        <v>6</v>
      </c>
      <c r="Y82" s="42" t="str">
        <f t="shared" si="5"/>
        <v>Delayed</v>
      </c>
    </row>
    <row r="83" spans="1:25" x14ac:dyDescent="0.5">
      <c r="A83" s="17" t="s">
        <v>516</v>
      </c>
      <c r="B83" s="17" t="s">
        <v>221</v>
      </c>
      <c r="C83" s="17" t="s">
        <v>92</v>
      </c>
      <c r="D83" s="33">
        <v>46137</v>
      </c>
      <c r="E83" s="33">
        <v>46145</v>
      </c>
      <c r="F83" s="15" t="s">
        <v>225</v>
      </c>
      <c r="G83" s="17" t="s">
        <v>76</v>
      </c>
      <c r="H83" s="37">
        <v>30122</v>
      </c>
      <c r="I83" s="17" t="s">
        <v>294</v>
      </c>
      <c r="J83" s="17" t="s">
        <v>295</v>
      </c>
      <c r="K83" s="17" t="s">
        <v>32</v>
      </c>
      <c r="L83" s="17" t="s">
        <v>97</v>
      </c>
      <c r="M83" s="17">
        <v>12</v>
      </c>
      <c r="N83" s="26">
        <v>3500</v>
      </c>
      <c r="O83" s="17">
        <v>5</v>
      </c>
      <c r="P83" s="26">
        <v>39900</v>
      </c>
      <c r="Q83" s="17">
        <v>3</v>
      </c>
      <c r="R83" s="17" t="s">
        <v>48</v>
      </c>
      <c r="S83" s="17" t="s">
        <v>61</v>
      </c>
      <c r="T83" s="15" t="s">
        <v>228</v>
      </c>
      <c r="U83" s="17">
        <v>9886243907</v>
      </c>
      <c r="V83" s="17" t="s">
        <v>64</v>
      </c>
      <c r="W83" s="47">
        <f t="shared" ca="1" si="3"/>
        <v>44</v>
      </c>
      <c r="X83" s="42">
        <f t="shared" si="4"/>
        <v>8</v>
      </c>
      <c r="Y83" s="42" t="str">
        <f t="shared" si="5"/>
        <v>Delayed</v>
      </c>
    </row>
    <row r="84" spans="1:25" x14ac:dyDescent="0.5">
      <c r="A84" s="15" t="s">
        <v>521</v>
      </c>
      <c r="B84" s="15" t="s">
        <v>127</v>
      </c>
      <c r="C84" s="15" t="s">
        <v>118</v>
      </c>
      <c r="D84" s="32">
        <v>45919</v>
      </c>
      <c r="E84" s="32">
        <v>45927</v>
      </c>
      <c r="F84" s="15" t="s">
        <v>200</v>
      </c>
      <c r="G84" s="15" t="s">
        <v>76</v>
      </c>
      <c r="H84" s="36">
        <v>37065</v>
      </c>
      <c r="I84" s="15" t="s">
        <v>105</v>
      </c>
      <c r="J84" s="15" t="s">
        <v>106</v>
      </c>
      <c r="K84" s="15" t="s">
        <v>122</v>
      </c>
      <c r="L84" s="15" t="s">
        <v>123</v>
      </c>
      <c r="M84" s="15">
        <v>2</v>
      </c>
      <c r="N84" s="25">
        <v>60</v>
      </c>
      <c r="O84" s="15">
        <v>15</v>
      </c>
      <c r="P84" s="25">
        <v>102</v>
      </c>
      <c r="Q84" s="15">
        <v>1</v>
      </c>
      <c r="R84" s="15" t="s">
        <v>88</v>
      </c>
      <c r="S84" s="15" t="s">
        <v>115</v>
      </c>
      <c r="T84" s="15" t="s">
        <v>132</v>
      </c>
      <c r="U84" s="15">
        <v>9473931904</v>
      </c>
      <c r="V84" s="15" t="s">
        <v>38</v>
      </c>
      <c r="W84" s="46">
        <f t="shared" ca="1" si="3"/>
        <v>25</v>
      </c>
      <c r="X84" s="42">
        <f t="shared" si="4"/>
        <v>8</v>
      </c>
      <c r="Y84" s="42" t="str">
        <f t="shared" si="5"/>
        <v>Delayed</v>
      </c>
    </row>
    <row r="85" spans="1:25" x14ac:dyDescent="0.5">
      <c r="A85" s="17" t="s">
        <v>524</v>
      </c>
      <c r="B85" s="17" t="s">
        <v>127</v>
      </c>
      <c r="C85" s="17" t="s">
        <v>72</v>
      </c>
      <c r="D85" s="33">
        <v>45734</v>
      </c>
      <c r="E85" s="33">
        <v>45737</v>
      </c>
      <c r="F85" s="15" t="s">
        <v>200</v>
      </c>
      <c r="G85" s="17" t="s">
        <v>76</v>
      </c>
      <c r="H85" s="37">
        <v>30516</v>
      </c>
      <c r="I85" s="17" t="s">
        <v>30</v>
      </c>
      <c r="J85" s="17" t="s">
        <v>31</v>
      </c>
      <c r="K85" s="17" t="s">
        <v>46</v>
      </c>
      <c r="L85" s="17" t="s">
        <v>78</v>
      </c>
      <c r="M85" s="17">
        <v>18</v>
      </c>
      <c r="N85" s="26">
        <v>1200</v>
      </c>
      <c r="O85" s="17">
        <v>15</v>
      </c>
      <c r="P85" s="26">
        <v>18360</v>
      </c>
      <c r="Q85" s="17">
        <v>3</v>
      </c>
      <c r="R85" s="17" t="s">
        <v>79</v>
      </c>
      <c r="S85" s="17" t="s">
        <v>115</v>
      </c>
      <c r="T85" s="15" t="s">
        <v>132</v>
      </c>
      <c r="U85" s="17">
        <v>9287159610</v>
      </c>
      <c r="V85" s="17" t="s">
        <v>64</v>
      </c>
      <c r="W85" s="47">
        <f t="shared" ca="1" si="3"/>
        <v>43</v>
      </c>
      <c r="X85" s="42">
        <f t="shared" si="4"/>
        <v>3</v>
      </c>
      <c r="Y85" s="42" t="str">
        <f t="shared" si="5"/>
        <v xml:space="preserve">On Time </v>
      </c>
    </row>
    <row r="86" spans="1:25" x14ac:dyDescent="0.5">
      <c r="A86" s="15" t="s">
        <v>529</v>
      </c>
      <c r="B86" s="15" t="s">
        <v>23</v>
      </c>
      <c r="C86" s="15" t="s">
        <v>40</v>
      </c>
      <c r="D86" s="32">
        <v>45960</v>
      </c>
      <c r="E86" s="32">
        <v>45961</v>
      </c>
      <c r="F86" s="15" t="s">
        <v>27</v>
      </c>
      <c r="G86" s="15" t="s">
        <v>28</v>
      </c>
      <c r="H86" s="36">
        <v>34052</v>
      </c>
      <c r="I86" s="15" t="s">
        <v>105</v>
      </c>
      <c r="J86" s="15" t="s">
        <v>106</v>
      </c>
      <c r="K86" s="15" t="s">
        <v>46</v>
      </c>
      <c r="L86" s="15" t="s">
        <v>47</v>
      </c>
      <c r="M86" s="15">
        <v>18</v>
      </c>
      <c r="N86" s="25">
        <v>12000</v>
      </c>
      <c r="O86" s="15">
        <v>15</v>
      </c>
      <c r="P86" s="25">
        <v>183600</v>
      </c>
      <c r="Q86" s="15">
        <v>2</v>
      </c>
      <c r="R86" s="15" t="s">
        <v>34</v>
      </c>
      <c r="S86" s="15" t="s">
        <v>49</v>
      </c>
      <c r="T86" s="15" t="s">
        <v>50</v>
      </c>
      <c r="U86" s="15">
        <v>9876513858</v>
      </c>
      <c r="V86" s="15" t="s">
        <v>38</v>
      </c>
      <c r="W86" s="46">
        <f t="shared" ca="1" si="3"/>
        <v>33</v>
      </c>
      <c r="X86" s="42">
        <f t="shared" si="4"/>
        <v>1</v>
      </c>
      <c r="Y86" s="42" t="str">
        <f t="shared" si="5"/>
        <v xml:space="preserve">On Time </v>
      </c>
    </row>
    <row r="87" spans="1:25" x14ac:dyDescent="0.5">
      <c r="A87" s="17" t="s">
        <v>534</v>
      </c>
      <c r="B87" s="17" t="s">
        <v>83</v>
      </c>
      <c r="C87" s="17" t="s">
        <v>222</v>
      </c>
      <c r="D87" s="33">
        <v>45961</v>
      </c>
      <c r="E87" s="33">
        <v>45972</v>
      </c>
      <c r="F87" s="15" t="s">
        <v>180</v>
      </c>
      <c r="G87" s="17" t="s">
        <v>76</v>
      </c>
      <c r="H87" s="37">
        <v>34829</v>
      </c>
      <c r="I87" s="17" t="s">
        <v>138</v>
      </c>
      <c r="J87" s="17" t="s">
        <v>106</v>
      </c>
      <c r="K87" s="17" t="s">
        <v>122</v>
      </c>
      <c r="L87" s="17" t="s">
        <v>227</v>
      </c>
      <c r="M87" s="17">
        <v>7</v>
      </c>
      <c r="N87" s="26">
        <v>20</v>
      </c>
      <c r="O87" s="17">
        <v>0</v>
      </c>
      <c r="P87" s="26">
        <v>140</v>
      </c>
      <c r="Q87" s="17">
        <v>2</v>
      </c>
      <c r="R87" s="17" t="s">
        <v>79</v>
      </c>
      <c r="S87" s="17" t="s">
        <v>35</v>
      </c>
      <c r="T87" s="15" t="s">
        <v>89</v>
      </c>
      <c r="U87" s="17">
        <v>9237400853</v>
      </c>
      <c r="V87" s="17" t="s">
        <v>69</v>
      </c>
      <c r="W87" s="47">
        <f t="shared" ca="1" si="3"/>
        <v>31</v>
      </c>
      <c r="X87" s="42">
        <f t="shared" si="4"/>
        <v>11</v>
      </c>
      <c r="Y87" s="42" t="str">
        <f t="shared" si="5"/>
        <v>Delayed</v>
      </c>
    </row>
    <row r="88" spans="1:25" x14ac:dyDescent="0.5">
      <c r="A88" s="15" t="s">
        <v>538</v>
      </c>
      <c r="B88" s="15" t="s">
        <v>251</v>
      </c>
      <c r="C88" s="15" t="s">
        <v>92</v>
      </c>
      <c r="D88" s="32">
        <v>45757</v>
      </c>
      <c r="E88" s="32">
        <v>45765</v>
      </c>
      <c r="F88" s="15" t="s">
        <v>254</v>
      </c>
      <c r="G88" s="15" t="s">
        <v>28</v>
      </c>
      <c r="H88" s="36">
        <v>36937</v>
      </c>
      <c r="I88" s="15" t="s">
        <v>114</v>
      </c>
      <c r="J88" s="15" t="s">
        <v>106</v>
      </c>
      <c r="K88" s="15" t="s">
        <v>32</v>
      </c>
      <c r="L88" s="15" t="s">
        <v>97</v>
      </c>
      <c r="M88" s="15">
        <v>20</v>
      </c>
      <c r="N88" s="25">
        <v>3500</v>
      </c>
      <c r="O88" s="15">
        <v>20</v>
      </c>
      <c r="P88" s="25">
        <v>56000</v>
      </c>
      <c r="Q88" s="15">
        <v>4</v>
      </c>
      <c r="R88" s="15" t="s">
        <v>79</v>
      </c>
      <c r="S88" s="15" t="s">
        <v>115</v>
      </c>
      <c r="T88" s="15" t="s">
        <v>256</v>
      </c>
      <c r="U88" s="15">
        <v>9599597595</v>
      </c>
      <c r="V88" s="15" t="s">
        <v>64</v>
      </c>
      <c r="W88" s="46">
        <f t="shared" ca="1" si="3"/>
        <v>25</v>
      </c>
      <c r="X88" s="42">
        <f t="shared" si="4"/>
        <v>8</v>
      </c>
      <c r="Y88" s="42" t="str">
        <f t="shared" si="5"/>
        <v>Delayed</v>
      </c>
    </row>
    <row r="89" spans="1:25" x14ac:dyDescent="0.5">
      <c r="A89" s="17" t="s">
        <v>542</v>
      </c>
      <c r="B89" s="17" t="s">
        <v>100</v>
      </c>
      <c r="C89" s="17" t="s">
        <v>169</v>
      </c>
      <c r="D89" s="33">
        <v>46097</v>
      </c>
      <c r="E89" s="33">
        <v>46107</v>
      </c>
      <c r="F89" s="15" t="s">
        <v>103</v>
      </c>
      <c r="G89" s="17" t="s">
        <v>28</v>
      </c>
      <c r="H89" s="37">
        <v>36386</v>
      </c>
      <c r="I89" s="17" t="s">
        <v>138</v>
      </c>
      <c r="J89" s="17" t="s">
        <v>106</v>
      </c>
      <c r="K89" s="17" t="s">
        <v>32</v>
      </c>
      <c r="L89" s="17" t="s">
        <v>174</v>
      </c>
      <c r="M89" s="17">
        <v>8</v>
      </c>
      <c r="N89" s="26">
        <v>8500</v>
      </c>
      <c r="O89" s="17">
        <v>20</v>
      </c>
      <c r="P89" s="26">
        <v>54400</v>
      </c>
      <c r="Q89" s="17">
        <v>3</v>
      </c>
      <c r="R89" s="17" t="s">
        <v>79</v>
      </c>
      <c r="S89" s="17" t="s">
        <v>115</v>
      </c>
      <c r="T89" s="15" t="s">
        <v>144</v>
      </c>
      <c r="U89" s="17">
        <v>9230007509</v>
      </c>
      <c r="V89" s="17" t="s">
        <v>64</v>
      </c>
      <c r="W89" s="47">
        <f t="shared" ca="1" si="3"/>
        <v>27</v>
      </c>
      <c r="X89" s="42">
        <f t="shared" si="4"/>
        <v>10</v>
      </c>
      <c r="Y89" s="42" t="str">
        <f t="shared" si="5"/>
        <v>Delayed</v>
      </c>
    </row>
    <row r="90" spans="1:25" x14ac:dyDescent="0.5">
      <c r="A90" s="15" t="s">
        <v>547</v>
      </c>
      <c r="B90" s="15" t="s">
        <v>327</v>
      </c>
      <c r="C90" s="15" t="s">
        <v>40</v>
      </c>
      <c r="D90" s="32">
        <v>45915</v>
      </c>
      <c r="E90" s="32">
        <v>45924</v>
      </c>
      <c r="F90" s="15" t="s">
        <v>394</v>
      </c>
      <c r="G90" s="15" t="s">
        <v>76</v>
      </c>
      <c r="H90" s="36">
        <v>37335</v>
      </c>
      <c r="I90" s="15" t="s">
        <v>138</v>
      </c>
      <c r="J90" s="15" t="s">
        <v>551</v>
      </c>
      <c r="K90" s="15" t="s">
        <v>46</v>
      </c>
      <c r="L90" s="15" t="s">
        <v>47</v>
      </c>
      <c r="M90" s="15">
        <v>6</v>
      </c>
      <c r="N90" s="25">
        <v>12000</v>
      </c>
      <c r="O90" s="15">
        <v>5</v>
      </c>
      <c r="P90" s="25">
        <v>68400</v>
      </c>
      <c r="Q90" s="15">
        <v>4</v>
      </c>
      <c r="R90" s="15" t="s">
        <v>48</v>
      </c>
      <c r="S90" s="15" t="s">
        <v>35</v>
      </c>
      <c r="T90" s="15" t="s">
        <v>332</v>
      </c>
      <c r="U90" s="15">
        <v>9823428025</v>
      </c>
      <c r="V90" s="15" t="s">
        <v>38</v>
      </c>
      <c r="W90" s="46">
        <f t="shared" ca="1" si="3"/>
        <v>24</v>
      </c>
      <c r="X90" s="42">
        <f t="shared" si="4"/>
        <v>9</v>
      </c>
      <c r="Y90" s="42" t="str">
        <f t="shared" si="5"/>
        <v>Delayed</v>
      </c>
    </row>
    <row r="91" spans="1:25" x14ac:dyDescent="0.5">
      <c r="A91" s="17" t="s">
        <v>553</v>
      </c>
      <c r="B91" s="17" t="s">
        <v>23</v>
      </c>
      <c r="C91" s="17" t="s">
        <v>169</v>
      </c>
      <c r="D91" s="33">
        <v>46092</v>
      </c>
      <c r="E91" s="33">
        <v>46100</v>
      </c>
      <c r="F91" s="15" t="s">
        <v>27</v>
      </c>
      <c r="G91" s="17" t="s">
        <v>28</v>
      </c>
      <c r="H91" s="37">
        <v>33768</v>
      </c>
      <c r="I91" s="17" t="s">
        <v>114</v>
      </c>
      <c r="J91" s="17" t="s">
        <v>106</v>
      </c>
      <c r="K91" s="17" t="s">
        <v>32</v>
      </c>
      <c r="L91" s="17" t="s">
        <v>174</v>
      </c>
      <c r="M91" s="17">
        <v>15</v>
      </c>
      <c r="N91" s="26">
        <v>8500</v>
      </c>
      <c r="O91" s="17">
        <v>0</v>
      </c>
      <c r="P91" s="26">
        <v>127500</v>
      </c>
      <c r="Q91" s="17">
        <v>4</v>
      </c>
      <c r="R91" s="17" t="s">
        <v>48</v>
      </c>
      <c r="S91" s="17" t="s">
        <v>35</v>
      </c>
      <c r="T91" s="15" t="s">
        <v>50</v>
      </c>
      <c r="U91" s="17">
        <v>9505048912</v>
      </c>
      <c r="V91" s="17" t="s">
        <v>69</v>
      </c>
      <c r="W91" s="47">
        <f t="shared" ca="1" si="3"/>
        <v>34</v>
      </c>
      <c r="X91" s="42">
        <f t="shared" si="4"/>
        <v>8</v>
      </c>
      <c r="Y91" s="42" t="str">
        <f t="shared" si="5"/>
        <v>Delayed</v>
      </c>
    </row>
    <row r="92" spans="1:25" x14ac:dyDescent="0.5">
      <c r="A92" s="15" t="s">
        <v>557</v>
      </c>
      <c r="B92" s="15" t="s">
        <v>53</v>
      </c>
      <c r="C92" s="15" t="s">
        <v>72</v>
      </c>
      <c r="D92" s="32">
        <v>45889</v>
      </c>
      <c r="E92" s="32">
        <v>45892</v>
      </c>
      <c r="F92" s="15" t="s">
        <v>163</v>
      </c>
      <c r="G92" s="15" t="s">
        <v>28</v>
      </c>
      <c r="H92" s="36">
        <v>35234</v>
      </c>
      <c r="I92" s="15" t="s">
        <v>212</v>
      </c>
      <c r="J92" s="15" t="s">
        <v>45</v>
      </c>
      <c r="K92" s="15" t="s">
        <v>46</v>
      </c>
      <c r="L92" s="15" t="s">
        <v>78</v>
      </c>
      <c r="M92" s="15">
        <v>5</v>
      </c>
      <c r="N92" s="25">
        <v>1200</v>
      </c>
      <c r="O92" s="15">
        <v>15</v>
      </c>
      <c r="P92" s="25">
        <v>5100</v>
      </c>
      <c r="Q92" s="15">
        <v>1</v>
      </c>
      <c r="R92" s="15" t="s">
        <v>48</v>
      </c>
      <c r="S92" s="15" t="s">
        <v>35</v>
      </c>
      <c r="T92" s="15" t="s">
        <v>62</v>
      </c>
      <c r="U92" s="15">
        <v>9508068393</v>
      </c>
      <c r="V92" s="15" t="s">
        <v>69</v>
      </c>
      <c r="W92" s="46">
        <f t="shared" ca="1" si="3"/>
        <v>30</v>
      </c>
      <c r="X92" s="42">
        <f t="shared" si="4"/>
        <v>3</v>
      </c>
      <c r="Y92" s="42" t="str">
        <f t="shared" si="5"/>
        <v xml:space="preserve">On Time </v>
      </c>
    </row>
    <row r="93" spans="1:25" x14ac:dyDescent="0.5">
      <c r="A93" s="17" t="s">
        <v>561</v>
      </c>
      <c r="B93" s="17" t="s">
        <v>53</v>
      </c>
      <c r="C93" s="17" t="s">
        <v>222</v>
      </c>
      <c r="D93" s="33">
        <v>45882</v>
      </c>
      <c r="E93" s="33">
        <v>45883</v>
      </c>
      <c r="F93" s="15" t="s">
        <v>163</v>
      </c>
      <c r="G93" s="17" t="s">
        <v>28</v>
      </c>
      <c r="H93" s="37">
        <v>30263</v>
      </c>
      <c r="I93" s="17" t="s">
        <v>30</v>
      </c>
      <c r="J93" s="17" t="s">
        <v>31</v>
      </c>
      <c r="K93" s="17" t="s">
        <v>122</v>
      </c>
      <c r="L93" s="17" t="s">
        <v>227</v>
      </c>
      <c r="M93" s="17">
        <v>4</v>
      </c>
      <c r="N93" s="26">
        <v>20</v>
      </c>
      <c r="O93" s="17">
        <v>0</v>
      </c>
      <c r="P93" s="26">
        <v>80</v>
      </c>
      <c r="Q93" s="17">
        <v>4</v>
      </c>
      <c r="R93" s="17" t="s">
        <v>48</v>
      </c>
      <c r="S93" s="17" t="s">
        <v>49</v>
      </c>
      <c r="T93" s="15" t="s">
        <v>62</v>
      </c>
      <c r="U93" s="17">
        <v>9785807771</v>
      </c>
      <c r="V93" s="17" t="s">
        <v>38</v>
      </c>
      <c r="W93" s="47">
        <f t="shared" ca="1" si="3"/>
        <v>43</v>
      </c>
      <c r="X93" s="42">
        <f t="shared" si="4"/>
        <v>1</v>
      </c>
      <c r="Y93" s="42" t="str">
        <f t="shared" si="5"/>
        <v xml:space="preserve">On Time </v>
      </c>
    </row>
    <row r="94" spans="1:25" x14ac:dyDescent="0.5">
      <c r="A94" s="15" t="s">
        <v>566</v>
      </c>
      <c r="B94" s="15" t="s">
        <v>23</v>
      </c>
      <c r="C94" s="15" t="s">
        <v>222</v>
      </c>
      <c r="D94" s="32">
        <v>45732</v>
      </c>
      <c r="E94" s="32">
        <v>45736</v>
      </c>
      <c r="F94" s="15" t="s">
        <v>27</v>
      </c>
      <c r="G94" s="15" t="s">
        <v>28</v>
      </c>
      <c r="H94" s="36">
        <v>30858</v>
      </c>
      <c r="I94" s="15" t="s">
        <v>59</v>
      </c>
      <c r="J94" s="15" t="s">
        <v>31</v>
      </c>
      <c r="K94" s="15" t="s">
        <v>122</v>
      </c>
      <c r="L94" s="15" t="s">
        <v>227</v>
      </c>
      <c r="M94" s="15">
        <v>10</v>
      </c>
      <c r="N94" s="25">
        <v>20</v>
      </c>
      <c r="O94" s="15">
        <v>0</v>
      </c>
      <c r="P94" s="25">
        <v>200</v>
      </c>
      <c r="Q94" s="15">
        <v>3</v>
      </c>
      <c r="R94" s="15" t="s">
        <v>34</v>
      </c>
      <c r="S94" s="15" t="s">
        <v>151</v>
      </c>
      <c r="T94" s="15" t="s">
        <v>50</v>
      </c>
      <c r="U94" s="15">
        <v>9215250979</v>
      </c>
      <c r="V94" s="15" t="s">
        <v>64</v>
      </c>
      <c r="W94" s="46">
        <f t="shared" ca="1" si="3"/>
        <v>42</v>
      </c>
      <c r="X94" s="42">
        <f t="shared" si="4"/>
        <v>4</v>
      </c>
      <c r="Y94" s="42" t="str">
        <f t="shared" si="5"/>
        <v xml:space="preserve">On Time </v>
      </c>
    </row>
    <row r="95" spans="1:25" x14ac:dyDescent="0.5">
      <c r="A95" s="17" t="s">
        <v>571</v>
      </c>
      <c r="B95" s="17" t="s">
        <v>168</v>
      </c>
      <c r="C95" s="17" t="s">
        <v>24</v>
      </c>
      <c r="D95" s="33">
        <v>45904</v>
      </c>
      <c r="E95" s="33">
        <v>45910</v>
      </c>
      <c r="F95" s="15" t="s">
        <v>361</v>
      </c>
      <c r="G95" s="17" t="s">
        <v>28</v>
      </c>
      <c r="H95" s="37">
        <v>34506</v>
      </c>
      <c r="I95" s="17" t="s">
        <v>44</v>
      </c>
      <c r="J95" s="17" t="s">
        <v>45</v>
      </c>
      <c r="K95" s="17" t="s">
        <v>32</v>
      </c>
      <c r="L95" s="17" t="s">
        <v>33</v>
      </c>
      <c r="M95" s="17">
        <v>18</v>
      </c>
      <c r="N95" s="26">
        <v>2200</v>
      </c>
      <c r="O95" s="17">
        <v>10</v>
      </c>
      <c r="P95" s="26">
        <v>35640</v>
      </c>
      <c r="Q95" s="17">
        <v>3</v>
      </c>
      <c r="R95" s="17" t="s">
        <v>34</v>
      </c>
      <c r="S95" s="17" t="s">
        <v>35</v>
      </c>
      <c r="T95" s="15" t="s">
        <v>175</v>
      </c>
      <c r="U95" s="17">
        <v>9845884906</v>
      </c>
      <c r="V95" s="17" t="s">
        <v>69</v>
      </c>
      <c r="W95" s="47">
        <f t="shared" ca="1" si="3"/>
        <v>32</v>
      </c>
      <c r="X95" s="42">
        <f t="shared" si="4"/>
        <v>6</v>
      </c>
      <c r="Y95" s="42" t="str">
        <f t="shared" si="5"/>
        <v>Delayed</v>
      </c>
    </row>
    <row r="96" spans="1:25" x14ac:dyDescent="0.5">
      <c r="A96" s="15" t="s">
        <v>576</v>
      </c>
      <c r="B96" s="15" t="s">
        <v>327</v>
      </c>
      <c r="C96" s="15" t="s">
        <v>92</v>
      </c>
      <c r="D96" s="32">
        <v>45759</v>
      </c>
      <c r="E96" s="32">
        <v>45762</v>
      </c>
      <c r="F96" s="15" t="s">
        <v>394</v>
      </c>
      <c r="G96" s="15" t="s">
        <v>76</v>
      </c>
      <c r="H96" s="36">
        <v>33163</v>
      </c>
      <c r="I96" s="15" t="s">
        <v>44</v>
      </c>
      <c r="J96" s="15" t="s">
        <v>45</v>
      </c>
      <c r="K96" s="15" t="s">
        <v>32</v>
      </c>
      <c r="L96" s="15" t="s">
        <v>97</v>
      </c>
      <c r="M96" s="15">
        <v>7</v>
      </c>
      <c r="N96" s="25">
        <v>3500</v>
      </c>
      <c r="O96" s="15">
        <v>15</v>
      </c>
      <c r="P96" s="25">
        <v>20825</v>
      </c>
      <c r="Q96" s="15">
        <v>3</v>
      </c>
      <c r="R96" s="15" t="s">
        <v>48</v>
      </c>
      <c r="S96" s="15" t="s">
        <v>49</v>
      </c>
      <c r="T96" s="15" t="s">
        <v>332</v>
      </c>
      <c r="U96" s="15">
        <v>9393097397</v>
      </c>
      <c r="V96" s="15" t="s">
        <v>38</v>
      </c>
      <c r="W96" s="46">
        <f t="shared" ca="1" si="3"/>
        <v>35</v>
      </c>
      <c r="X96" s="42">
        <f t="shared" si="4"/>
        <v>3</v>
      </c>
      <c r="Y96" s="42" t="str">
        <f t="shared" si="5"/>
        <v xml:space="preserve">On Time </v>
      </c>
    </row>
    <row r="97" spans="1:25" x14ac:dyDescent="0.5">
      <c r="A97" s="17" t="s">
        <v>581</v>
      </c>
      <c r="B97" s="17" t="s">
        <v>100</v>
      </c>
      <c r="C97" s="17" t="s">
        <v>169</v>
      </c>
      <c r="D97" s="33">
        <v>46146</v>
      </c>
      <c r="E97" s="33">
        <v>46149</v>
      </c>
      <c r="F97" s="15" t="s">
        <v>103</v>
      </c>
      <c r="G97" s="17" t="s">
        <v>28</v>
      </c>
      <c r="H97" s="37">
        <v>31805</v>
      </c>
      <c r="I97" s="17" t="s">
        <v>294</v>
      </c>
      <c r="J97" s="17" t="s">
        <v>295</v>
      </c>
      <c r="K97" s="17" t="s">
        <v>32</v>
      </c>
      <c r="L97" s="17" t="s">
        <v>174</v>
      </c>
      <c r="M97" s="17">
        <v>19</v>
      </c>
      <c r="N97" s="26">
        <v>8500</v>
      </c>
      <c r="O97" s="17">
        <v>15</v>
      </c>
      <c r="P97" s="26">
        <v>137275</v>
      </c>
      <c r="Q97" s="17">
        <v>4</v>
      </c>
      <c r="R97" s="17" t="s">
        <v>79</v>
      </c>
      <c r="S97" s="17" t="s">
        <v>151</v>
      </c>
      <c r="T97" s="15" t="s">
        <v>144</v>
      </c>
      <c r="U97" s="17">
        <v>9958032109</v>
      </c>
      <c r="V97" s="17" t="s">
        <v>64</v>
      </c>
      <c r="W97" s="47">
        <f t="shared" ca="1" si="3"/>
        <v>39</v>
      </c>
      <c r="X97" s="42">
        <f t="shared" si="4"/>
        <v>3</v>
      </c>
      <c r="Y97" s="42" t="str">
        <f t="shared" si="5"/>
        <v xml:space="preserve">On Time </v>
      </c>
    </row>
    <row r="98" spans="1:25" x14ac:dyDescent="0.5">
      <c r="A98" s="15" t="s">
        <v>586</v>
      </c>
      <c r="B98" s="15" t="s">
        <v>251</v>
      </c>
      <c r="C98" s="15" t="s">
        <v>40</v>
      </c>
      <c r="D98" s="32">
        <v>46040</v>
      </c>
      <c r="E98" s="32">
        <v>46049</v>
      </c>
      <c r="F98" s="15" t="s">
        <v>254</v>
      </c>
      <c r="G98" s="15" t="s">
        <v>28</v>
      </c>
      <c r="H98" s="36">
        <v>30580</v>
      </c>
      <c r="I98" s="15" t="s">
        <v>138</v>
      </c>
      <c r="J98" s="15" t="s">
        <v>106</v>
      </c>
      <c r="K98" s="15" t="s">
        <v>46</v>
      </c>
      <c r="L98" s="15" t="s">
        <v>47</v>
      </c>
      <c r="M98" s="15">
        <v>13</v>
      </c>
      <c r="N98" s="25">
        <v>12000</v>
      </c>
      <c r="O98" s="15">
        <v>15</v>
      </c>
      <c r="P98" s="25">
        <v>132600</v>
      </c>
      <c r="Q98" s="15">
        <v>4</v>
      </c>
      <c r="R98" s="15" t="s">
        <v>34</v>
      </c>
      <c r="S98" s="15" t="s">
        <v>49</v>
      </c>
      <c r="T98" s="15" t="s">
        <v>256</v>
      </c>
      <c r="U98" s="15">
        <v>9755082957</v>
      </c>
      <c r="V98" s="15" t="s">
        <v>38</v>
      </c>
      <c r="W98" s="46">
        <f t="shared" ca="1" si="3"/>
        <v>43</v>
      </c>
      <c r="X98" s="42">
        <f t="shared" si="4"/>
        <v>9</v>
      </c>
      <c r="Y98" s="42" t="str">
        <f t="shared" si="5"/>
        <v>Delayed</v>
      </c>
    </row>
    <row r="99" spans="1:25" x14ac:dyDescent="0.5">
      <c r="A99" s="17" t="s">
        <v>591</v>
      </c>
      <c r="B99" s="17" t="s">
        <v>327</v>
      </c>
      <c r="C99" s="17" t="s">
        <v>222</v>
      </c>
      <c r="D99" s="33">
        <v>46095</v>
      </c>
      <c r="E99" s="33">
        <v>46105</v>
      </c>
      <c r="F99" s="15" t="s">
        <v>394</v>
      </c>
      <c r="G99" s="17" t="s">
        <v>76</v>
      </c>
      <c r="H99" s="37">
        <v>32602</v>
      </c>
      <c r="I99" s="17" t="s">
        <v>114</v>
      </c>
      <c r="J99" s="17" t="s">
        <v>106</v>
      </c>
      <c r="K99" s="17" t="s">
        <v>122</v>
      </c>
      <c r="L99" s="17" t="s">
        <v>227</v>
      </c>
      <c r="M99" s="17">
        <v>7</v>
      </c>
      <c r="N99" s="26">
        <v>20</v>
      </c>
      <c r="O99" s="17">
        <v>0</v>
      </c>
      <c r="P99" s="26">
        <v>140</v>
      </c>
      <c r="Q99" s="17">
        <v>1</v>
      </c>
      <c r="R99" s="17" t="s">
        <v>79</v>
      </c>
      <c r="S99" s="17" t="s">
        <v>151</v>
      </c>
      <c r="T99" s="15" t="s">
        <v>332</v>
      </c>
      <c r="U99" s="17">
        <v>9872235856</v>
      </c>
      <c r="V99" s="17" t="s">
        <v>69</v>
      </c>
      <c r="W99" s="47">
        <f t="shared" ca="1" si="3"/>
        <v>37</v>
      </c>
      <c r="X99" s="42">
        <f t="shared" si="4"/>
        <v>10</v>
      </c>
      <c r="Y99" s="42" t="str">
        <f t="shared" si="5"/>
        <v>Delayed</v>
      </c>
    </row>
    <row r="100" spans="1:25" x14ac:dyDescent="0.5">
      <c r="A100" s="15" t="s">
        <v>595</v>
      </c>
      <c r="B100" s="15" t="s">
        <v>168</v>
      </c>
      <c r="C100" s="15" t="s">
        <v>184</v>
      </c>
      <c r="D100" s="32">
        <v>45786</v>
      </c>
      <c r="E100" s="32">
        <v>45788</v>
      </c>
      <c r="F100" s="15" t="s">
        <v>361</v>
      </c>
      <c r="G100" s="15" t="s">
        <v>28</v>
      </c>
      <c r="H100" s="36">
        <v>32045</v>
      </c>
      <c r="I100" s="15" t="s">
        <v>44</v>
      </c>
      <c r="J100" s="15" t="s">
        <v>45</v>
      </c>
      <c r="K100" s="15" t="s">
        <v>46</v>
      </c>
      <c r="L100" s="15" t="s">
        <v>189</v>
      </c>
      <c r="M100" s="15">
        <v>5</v>
      </c>
      <c r="N100" s="25">
        <v>700</v>
      </c>
      <c r="O100" s="15">
        <v>15</v>
      </c>
      <c r="P100" s="25">
        <v>999999</v>
      </c>
      <c r="Q100" s="15">
        <v>4</v>
      </c>
      <c r="R100" s="15" t="s">
        <v>79</v>
      </c>
      <c r="S100" s="15" t="s">
        <v>35</v>
      </c>
      <c r="T100" s="15" t="s">
        <v>175</v>
      </c>
      <c r="U100" s="15">
        <v>9335138816</v>
      </c>
      <c r="V100" s="15" t="s">
        <v>64</v>
      </c>
      <c r="W100" s="46">
        <f t="shared" ca="1" si="3"/>
        <v>39</v>
      </c>
      <c r="X100" s="42">
        <f t="shared" si="4"/>
        <v>2</v>
      </c>
      <c r="Y100" s="42" t="str">
        <f t="shared" si="5"/>
        <v xml:space="preserve">On Time </v>
      </c>
    </row>
    <row r="101" spans="1:25" x14ac:dyDescent="0.5">
      <c r="A101" s="17" t="s">
        <v>600</v>
      </c>
      <c r="B101" s="17" t="s">
        <v>83</v>
      </c>
      <c r="C101" s="17" t="s">
        <v>259</v>
      </c>
      <c r="D101" s="33">
        <v>46149</v>
      </c>
      <c r="E101" s="33">
        <v>46152</v>
      </c>
      <c r="F101" s="15" t="s">
        <v>180</v>
      </c>
      <c r="G101" s="17" t="s">
        <v>76</v>
      </c>
      <c r="H101" s="37">
        <v>30170</v>
      </c>
      <c r="I101" s="17" t="s">
        <v>59</v>
      </c>
      <c r="J101" s="17" t="s">
        <v>31</v>
      </c>
      <c r="K101" s="17" t="s">
        <v>122</v>
      </c>
      <c r="L101" s="17" t="s">
        <v>263</v>
      </c>
      <c r="M101" s="17">
        <v>9</v>
      </c>
      <c r="N101" s="26">
        <v>45</v>
      </c>
      <c r="O101" s="17">
        <v>5</v>
      </c>
      <c r="P101" s="26">
        <v>384.75</v>
      </c>
      <c r="Q101" s="17">
        <v>3</v>
      </c>
      <c r="R101" s="17" t="s">
        <v>34</v>
      </c>
      <c r="S101" s="17" t="s">
        <v>35</v>
      </c>
      <c r="T101" s="15" t="s">
        <v>89</v>
      </c>
      <c r="U101" s="17">
        <v>9750365609</v>
      </c>
      <c r="V101" s="17" t="s">
        <v>38</v>
      </c>
      <c r="W101" s="47">
        <f t="shared" ca="1" si="3"/>
        <v>44</v>
      </c>
      <c r="X101" s="42">
        <f t="shared" si="4"/>
        <v>3</v>
      </c>
      <c r="Y101" s="42" t="str">
        <f t="shared" si="5"/>
        <v xml:space="preserve">On Time </v>
      </c>
    </row>
    <row r="102" spans="1:25" x14ac:dyDescent="0.5">
      <c r="A102" s="15" t="s">
        <v>604</v>
      </c>
      <c r="B102" s="15" t="s">
        <v>127</v>
      </c>
      <c r="C102" s="15" t="s">
        <v>118</v>
      </c>
      <c r="D102" s="32">
        <v>45768</v>
      </c>
      <c r="E102" s="32">
        <v>45776</v>
      </c>
      <c r="F102" s="15" t="s">
        <v>200</v>
      </c>
      <c r="G102" s="15" t="s">
        <v>76</v>
      </c>
      <c r="H102" s="36">
        <v>31610</v>
      </c>
      <c r="I102" s="15" t="s">
        <v>294</v>
      </c>
      <c r="J102" s="15" t="s">
        <v>295</v>
      </c>
      <c r="K102" s="15" t="s">
        <v>122</v>
      </c>
      <c r="L102" s="15" t="s">
        <v>123</v>
      </c>
      <c r="M102" s="15">
        <v>19</v>
      </c>
      <c r="N102" s="25">
        <v>60</v>
      </c>
      <c r="O102" s="15">
        <v>10</v>
      </c>
      <c r="P102" s="25">
        <v>1026</v>
      </c>
      <c r="Q102" s="15">
        <v>5</v>
      </c>
      <c r="R102" s="15" t="s">
        <v>48</v>
      </c>
      <c r="S102" s="15" t="s">
        <v>115</v>
      </c>
      <c r="T102" s="15" t="s">
        <v>132</v>
      </c>
      <c r="U102" s="15">
        <v>9736812737</v>
      </c>
      <c r="V102" s="15" t="s">
        <v>38</v>
      </c>
      <c r="W102" s="46">
        <f t="shared" ca="1" si="3"/>
        <v>40</v>
      </c>
      <c r="X102" s="42">
        <f t="shared" si="4"/>
        <v>8</v>
      </c>
      <c r="Y102" s="42" t="str">
        <f t="shared" si="5"/>
        <v>Delayed</v>
      </c>
    </row>
    <row r="103" spans="1:25" x14ac:dyDescent="0.5">
      <c r="A103" s="17" t="s">
        <v>609</v>
      </c>
      <c r="B103" s="17" t="s">
        <v>327</v>
      </c>
      <c r="C103" s="17" t="s">
        <v>184</v>
      </c>
      <c r="D103" s="33">
        <v>46002</v>
      </c>
      <c r="E103" s="33">
        <v>46011</v>
      </c>
      <c r="F103" s="15" t="s">
        <v>394</v>
      </c>
      <c r="G103" s="17" t="s">
        <v>76</v>
      </c>
      <c r="H103" s="37">
        <v>31873</v>
      </c>
      <c r="I103" s="17" t="s">
        <v>138</v>
      </c>
      <c r="J103" s="17" t="s">
        <v>106</v>
      </c>
      <c r="K103" s="17" t="s">
        <v>46</v>
      </c>
      <c r="L103" s="17" t="s">
        <v>189</v>
      </c>
      <c r="M103" s="17">
        <v>4</v>
      </c>
      <c r="N103" s="26">
        <v>700</v>
      </c>
      <c r="O103" s="17">
        <v>5</v>
      </c>
      <c r="P103" s="26">
        <v>2660</v>
      </c>
      <c r="Q103" s="17">
        <v>3</v>
      </c>
      <c r="R103" s="17" t="s">
        <v>48</v>
      </c>
      <c r="S103" s="17" t="s">
        <v>61</v>
      </c>
      <c r="T103" s="15" t="s">
        <v>332</v>
      </c>
      <c r="U103" s="17">
        <v>9271420931</v>
      </c>
      <c r="V103" s="17" t="s">
        <v>38</v>
      </c>
      <c r="W103" s="47">
        <f t="shared" ca="1" si="3"/>
        <v>39</v>
      </c>
      <c r="X103" s="42">
        <f t="shared" si="4"/>
        <v>9</v>
      </c>
      <c r="Y103" s="42" t="str">
        <f t="shared" si="5"/>
        <v>Delayed</v>
      </c>
    </row>
    <row r="104" spans="1:25" x14ac:dyDescent="0.5">
      <c r="A104" s="15" t="s">
        <v>614</v>
      </c>
      <c r="B104" s="15" t="s">
        <v>327</v>
      </c>
      <c r="C104" s="15" t="s">
        <v>92</v>
      </c>
      <c r="D104" s="32">
        <v>46149</v>
      </c>
      <c r="E104" s="32">
        <v>46157</v>
      </c>
      <c r="F104" s="15" t="s">
        <v>394</v>
      </c>
      <c r="G104" s="15" t="s">
        <v>76</v>
      </c>
      <c r="H104" s="36">
        <v>38042</v>
      </c>
      <c r="I104" s="15" t="s">
        <v>114</v>
      </c>
      <c r="J104" s="15" t="s">
        <v>106</v>
      </c>
      <c r="K104" s="15" t="s">
        <v>32</v>
      </c>
      <c r="L104" s="15" t="s">
        <v>97</v>
      </c>
      <c r="M104" s="15">
        <v>16</v>
      </c>
      <c r="N104" s="25">
        <v>3500</v>
      </c>
      <c r="O104" s="15">
        <v>0</v>
      </c>
      <c r="P104" s="25">
        <v>56000</v>
      </c>
      <c r="Q104" s="15">
        <v>2</v>
      </c>
      <c r="R104" s="15" t="s">
        <v>79</v>
      </c>
      <c r="S104" s="15" t="s">
        <v>49</v>
      </c>
      <c r="T104" s="15" t="s">
        <v>332</v>
      </c>
      <c r="U104" s="15">
        <v>9781411370</v>
      </c>
      <c r="V104" s="15" t="s">
        <v>38</v>
      </c>
      <c r="W104" s="46">
        <f t="shared" ca="1" si="3"/>
        <v>22</v>
      </c>
      <c r="X104" s="42">
        <f t="shared" si="4"/>
        <v>8</v>
      </c>
      <c r="Y104" s="42" t="str">
        <f t="shared" si="5"/>
        <v>Delayed</v>
      </c>
    </row>
    <row r="105" spans="1:25" x14ac:dyDescent="0.5">
      <c r="A105" s="17" t="s">
        <v>618</v>
      </c>
      <c r="B105" s="17" t="s">
        <v>251</v>
      </c>
      <c r="C105" s="17" t="s">
        <v>259</v>
      </c>
      <c r="D105" s="33">
        <v>45670</v>
      </c>
      <c r="E105" s="33">
        <v>45677</v>
      </c>
      <c r="F105" s="15" t="s">
        <v>254</v>
      </c>
      <c r="G105" s="17" t="s">
        <v>28</v>
      </c>
      <c r="H105" s="37">
        <v>37005</v>
      </c>
      <c r="I105" s="17" t="s">
        <v>59</v>
      </c>
      <c r="J105" s="17" t="s">
        <v>31</v>
      </c>
      <c r="K105" s="17" t="s">
        <v>122</v>
      </c>
      <c r="L105" s="17" t="s">
        <v>263</v>
      </c>
      <c r="M105" s="17">
        <v>5</v>
      </c>
      <c r="N105" s="26">
        <v>45</v>
      </c>
      <c r="O105" s="17">
        <v>20</v>
      </c>
      <c r="P105" s="26">
        <v>180</v>
      </c>
      <c r="Q105" s="17">
        <v>3</v>
      </c>
      <c r="R105" s="17" t="s">
        <v>79</v>
      </c>
      <c r="S105" s="17" t="s">
        <v>35</v>
      </c>
      <c r="T105" s="15" t="s">
        <v>256</v>
      </c>
      <c r="U105" s="17">
        <v>9584152818</v>
      </c>
      <c r="V105" s="17" t="s">
        <v>38</v>
      </c>
      <c r="W105" s="47">
        <f t="shared" ca="1" si="3"/>
        <v>25</v>
      </c>
      <c r="X105" s="42">
        <f t="shared" si="4"/>
        <v>7</v>
      </c>
      <c r="Y105" s="42" t="str">
        <f t="shared" si="5"/>
        <v>Delayed</v>
      </c>
    </row>
    <row r="106" spans="1:25" x14ac:dyDescent="0.5">
      <c r="A106" s="15" t="s">
        <v>623</v>
      </c>
      <c r="B106" s="15" t="s">
        <v>83</v>
      </c>
      <c r="C106" s="15" t="s">
        <v>222</v>
      </c>
      <c r="D106" s="32">
        <v>45733</v>
      </c>
      <c r="E106" s="32">
        <v>45734</v>
      </c>
      <c r="F106" s="15" t="s">
        <v>180</v>
      </c>
      <c r="G106" s="15" t="s">
        <v>76</v>
      </c>
      <c r="H106" s="36">
        <v>35247</v>
      </c>
      <c r="I106" s="15" t="s">
        <v>105</v>
      </c>
      <c r="J106" s="15" t="s">
        <v>106</v>
      </c>
      <c r="K106" s="15" t="s">
        <v>122</v>
      </c>
      <c r="L106" s="15" t="s">
        <v>227</v>
      </c>
      <c r="M106" s="15">
        <v>9</v>
      </c>
      <c r="N106" s="25">
        <v>20</v>
      </c>
      <c r="O106" s="15">
        <v>10</v>
      </c>
      <c r="P106" s="25">
        <v>162</v>
      </c>
      <c r="Q106" s="15">
        <v>4</v>
      </c>
      <c r="R106" s="15" t="s">
        <v>79</v>
      </c>
      <c r="S106" s="15" t="s">
        <v>35</v>
      </c>
      <c r="T106" s="15" t="s">
        <v>89</v>
      </c>
      <c r="U106" s="15">
        <v>9507986836</v>
      </c>
      <c r="V106" s="15" t="s">
        <v>64</v>
      </c>
      <c r="W106" s="46">
        <f t="shared" ca="1" si="3"/>
        <v>30</v>
      </c>
      <c r="X106" s="42">
        <f t="shared" si="4"/>
        <v>1</v>
      </c>
      <c r="Y106" s="42" t="str">
        <f t="shared" si="5"/>
        <v xml:space="preserve">On Time </v>
      </c>
    </row>
    <row r="107" spans="1:25" x14ac:dyDescent="0.5">
      <c r="A107" s="17" t="s">
        <v>627</v>
      </c>
      <c r="B107" s="17" t="s">
        <v>53</v>
      </c>
      <c r="C107" s="17" t="s">
        <v>72</v>
      </c>
      <c r="D107" s="33">
        <v>45713</v>
      </c>
      <c r="E107" s="33">
        <v>45717</v>
      </c>
      <c r="F107" s="15" t="s">
        <v>163</v>
      </c>
      <c r="G107" s="17" t="s">
        <v>28</v>
      </c>
      <c r="H107" s="37">
        <v>28892</v>
      </c>
      <c r="I107" s="17" t="s">
        <v>44</v>
      </c>
      <c r="J107" s="17" t="s">
        <v>45</v>
      </c>
      <c r="K107" s="17" t="s">
        <v>46</v>
      </c>
      <c r="L107" s="17" t="s">
        <v>78</v>
      </c>
      <c r="M107" s="17">
        <v>9</v>
      </c>
      <c r="N107" s="26">
        <v>1200</v>
      </c>
      <c r="O107" s="17">
        <v>5</v>
      </c>
      <c r="P107" s="26">
        <v>10260</v>
      </c>
      <c r="Q107" s="17">
        <v>3</v>
      </c>
      <c r="R107" s="17" t="s">
        <v>88</v>
      </c>
      <c r="S107" s="17" t="s">
        <v>35</v>
      </c>
      <c r="T107" s="15" t="s">
        <v>62</v>
      </c>
      <c r="U107" s="17">
        <v>9518249687</v>
      </c>
      <c r="V107" s="17" t="s">
        <v>64</v>
      </c>
      <c r="W107" s="47">
        <f t="shared" ca="1" si="3"/>
        <v>47</v>
      </c>
      <c r="X107" s="42">
        <f t="shared" si="4"/>
        <v>4</v>
      </c>
      <c r="Y107" s="42" t="str">
        <f t="shared" si="5"/>
        <v xml:space="preserve">On Time </v>
      </c>
    </row>
    <row r="108" spans="1:25" x14ac:dyDescent="0.5">
      <c r="A108" s="15" t="s">
        <v>631</v>
      </c>
      <c r="B108" s="15" t="s">
        <v>100</v>
      </c>
      <c r="C108" s="15" t="s">
        <v>92</v>
      </c>
      <c r="D108" s="32">
        <v>45714</v>
      </c>
      <c r="E108" s="32">
        <v>45715</v>
      </c>
      <c r="F108" s="15" t="s">
        <v>103</v>
      </c>
      <c r="G108" s="15" t="s">
        <v>28</v>
      </c>
      <c r="H108" s="36">
        <v>31393</v>
      </c>
      <c r="I108" s="15" t="s">
        <v>44</v>
      </c>
      <c r="J108" s="15" t="s">
        <v>45</v>
      </c>
      <c r="K108" s="15" t="s">
        <v>32</v>
      </c>
      <c r="L108" s="15" t="s">
        <v>97</v>
      </c>
      <c r="M108" s="15">
        <v>3</v>
      </c>
      <c r="N108" s="25">
        <v>3500</v>
      </c>
      <c r="O108" s="15">
        <v>10</v>
      </c>
      <c r="P108" s="25">
        <v>9450</v>
      </c>
      <c r="Q108" s="15">
        <v>2</v>
      </c>
      <c r="R108" s="15" t="s">
        <v>79</v>
      </c>
      <c r="S108" s="15" t="s">
        <v>151</v>
      </c>
      <c r="T108" s="15" t="s">
        <v>144</v>
      </c>
      <c r="U108" s="15">
        <v>9179328207</v>
      </c>
      <c r="V108" s="15" t="s">
        <v>69</v>
      </c>
      <c r="W108" s="46">
        <f t="shared" ca="1" si="3"/>
        <v>40</v>
      </c>
      <c r="X108" s="42">
        <f t="shared" si="4"/>
        <v>1</v>
      </c>
      <c r="Y108" s="42" t="str">
        <f t="shared" si="5"/>
        <v xml:space="preserve">On Time </v>
      </c>
    </row>
    <row r="109" spans="1:25" x14ac:dyDescent="0.5">
      <c r="A109" s="17" t="s">
        <v>635</v>
      </c>
      <c r="B109" s="17" t="s">
        <v>221</v>
      </c>
      <c r="C109" s="17" t="s">
        <v>72</v>
      </c>
      <c r="D109" s="33">
        <v>46094</v>
      </c>
      <c r="E109" s="33">
        <v>46099</v>
      </c>
      <c r="F109" s="15" t="s">
        <v>225</v>
      </c>
      <c r="G109" s="17" t="s">
        <v>76</v>
      </c>
      <c r="H109" s="37">
        <v>33631</v>
      </c>
      <c r="I109" s="17" t="s">
        <v>105</v>
      </c>
      <c r="J109" s="17" t="s">
        <v>106</v>
      </c>
      <c r="K109" s="17" t="s">
        <v>46</v>
      </c>
      <c r="L109" s="17" t="s">
        <v>78</v>
      </c>
      <c r="M109" s="17">
        <v>6</v>
      </c>
      <c r="N109" s="26">
        <v>1200</v>
      </c>
      <c r="O109" s="17">
        <v>15</v>
      </c>
      <c r="P109" s="26">
        <v>6120</v>
      </c>
      <c r="Q109" s="17">
        <v>4</v>
      </c>
      <c r="R109" s="17" t="s">
        <v>88</v>
      </c>
      <c r="S109" s="17" t="s">
        <v>35</v>
      </c>
      <c r="T109" s="15" t="s">
        <v>228</v>
      </c>
      <c r="U109" s="17">
        <v>9778490728</v>
      </c>
      <c r="V109" s="17" t="s">
        <v>69</v>
      </c>
      <c r="W109" s="47">
        <f t="shared" ca="1" si="3"/>
        <v>34</v>
      </c>
      <c r="X109" s="42">
        <f t="shared" si="4"/>
        <v>5</v>
      </c>
      <c r="Y109" s="42" t="str">
        <f t="shared" si="5"/>
        <v xml:space="preserve">On Time </v>
      </c>
    </row>
    <row r="110" spans="1:25" x14ac:dyDescent="0.5">
      <c r="A110" s="15" t="s">
        <v>639</v>
      </c>
      <c r="B110" s="15" t="s">
        <v>83</v>
      </c>
      <c r="C110" s="15" t="s">
        <v>72</v>
      </c>
      <c r="D110" s="32">
        <v>45848</v>
      </c>
      <c r="E110" s="32">
        <v>45850</v>
      </c>
      <c r="F110" s="15" t="s">
        <v>180</v>
      </c>
      <c r="G110" s="15" t="s">
        <v>76</v>
      </c>
      <c r="H110" s="36">
        <v>34155</v>
      </c>
      <c r="I110" s="15" t="s">
        <v>212</v>
      </c>
      <c r="J110" s="15" t="s">
        <v>45</v>
      </c>
      <c r="K110" s="15" t="s">
        <v>46</v>
      </c>
      <c r="L110" s="15" t="s">
        <v>78</v>
      </c>
      <c r="M110" s="15">
        <v>17</v>
      </c>
      <c r="N110" s="25">
        <v>1200</v>
      </c>
      <c r="O110" s="15">
        <v>15</v>
      </c>
      <c r="P110" s="25">
        <v>17340</v>
      </c>
      <c r="Q110" s="15">
        <v>1</v>
      </c>
      <c r="R110" s="15" t="s">
        <v>34</v>
      </c>
      <c r="S110" s="15" t="s">
        <v>61</v>
      </c>
      <c r="T110" s="15" t="s">
        <v>89</v>
      </c>
      <c r="U110" s="15">
        <v>9223058722</v>
      </c>
      <c r="V110" s="15" t="s">
        <v>38</v>
      </c>
      <c r="W110" s="46">
        <f t="shared" ca="1" si="3"/>
        <v>33</v>
      </c>
      <c r="X110" s="42">
        <f t="shared" si="4"/>
        <v>2</v>
      </c>
      <c r="Y110" s="42" t="str">
        <f t="shared" si="5"/>
        <v xml:space="preserve">On Time </v>
      </c>
    </row>
    <row r="111" spans="1:25" x14ac:dyDescent="0.5">
      <c r="A111" s="17" t="s">
        <v>644</v>
      </c>
      <c r="B111" s="17" t="s">
        <v>221</v>
      </c>
      <c r="C111" s="17" t="s">
        <v>169</v>
      </c>
      <c r="D111" s="33">
        <v>45979</v>
      </c>
      <c r="E111" s="33">
        <v>45987</v>
      </c>
      <c r="F111" s="15" t="s">
        <v>225</v>
      </c>
      <c r="G111" s="17" t="s">
        <v>76</v>
      </c>
      <c r="H111" s="37">
        <v>28381</v>
      </c>
      <c r="I111" s="17" t="s">
        <v>59</v>
      </c>
      <c r="J111" s="17" t="s">
        <v>31</v>
      </c>
      <c r="K111" s="17" t="s">
        <v>32</v>
      </c>
      <c r="L111" s="17" t="s">
        <v>174</v>
      </c>
      <c r="M111" s="17">
        <v>15</v>
      </c>
      <c r="N111" s="26">
        <v>8500</v>
      </c>
      <c r="O111" s="17">
        <v>0</v>
      </c>
      <c r="P111" s="26">
        <v>127500</v>
      </c>
      <c r="Q111" s="17">
        <v>3</v>
      </c>
      <c r="R111" s="17" t="s">
        <v>34</v>
      </c>
      <c r="S111" s="17" t="s">
        <v>115</v>
      </c>
      <c r="T111" s="15" t="s">
        <v>228</v>
      </c>
      <c r="U111" s="17">
        <v>9999889465</v>
      </c>
      <c r="V111" s="17" t="s">
        <v>64</v>
      </c>
      <c r="W111" s="47">
        <f t="shared" ca="1" si="3"/>
        <v>49</v>
      </c>
      <c r="X111" s="42">
        <f t="shared" si="4"/>
        <v>8</v>
      </c>
      <c r="Y111" s="42" t="str">
        <f t="shared" si="5"/>
        <v>Delayed</v>
      </c>
    </row>
    <row r="112" spans="1:25" x14ac:dyDescent="0.5">
      <c r="A112" s="15" t="s">
        <v>648</v>
      </c>
      <c r="B112" s="15" t="s">
        <v>127</v>
      </c>
      <c r="C112" s="15" t="s">
        <v>72</v>
      </c>
      <c r="D112" s="32">
        <v>45760</v>
      </c>
      <c r="E112" s="32">
        <v>45766</v>
      </c>
      <c r="F112" s="15" t="s">
        <v>200</v>
      </c>
      <c r="G112" s="15" t="s">
        <v>76</v>
      </c>
      <c r="H112" s="36">
        <v>31331</v>
      </c>
      <c r="I112" s="15" t="s">
        <v>30</v>
      </c>
      <c r="J112" s="15" t="s">
        <v>31</v>
      </c>
      <c r="K112" s="15" t="s">
        <v>46</v>
      </c>
      <c r="L112" s="15" t="s">
        <v>78</v>
      </c>
      <c r="M112" s="15">
        <v>1</v>
      </c>
      <c r="N112" s="25">
        <v>1200</v>
      </c>
      <c r="O112" s="15">
        <v>20</v>
      </c>
      <c r="P112" s="25">
        <v>960</v>
      </c>
      <c r="Q112" s="15">
        <v>1</v>
      </c>
      <c r="R112" s="15" t="s">
        <v>88</v>
      </c>
      <c r="S112" s="15" t="s">
        <v>115</v>
      </c>
      <c r="T112" s="15" t="s">
        <v>132</v>
      </c>
      <c r="U112" s="15">
        <v>9489687402</v>
      </c>
      <c r="V112" s="15" t="s">
        <v>64</v>
      </c>
      <c r="W112" s="46">
        <f t="shared" ca="1" si="3"/>
        <v>41</v>
      </c>
      <c r="X112" s="42">
        <f t="shared" si="4"/>
        <v>6</v>
      </c>
      <c r="Y112" s="42" t="str">
        <f t="shared" si="5"/>
        <v>Delayed</v>
      </c>
    </row>
    <row r="113" spans="1:25" x14ac:dyDescent="0.5">
      <c r="A113" s="17" t="s">
        <v>651</v>
      </c>
      <c r="B113" s="17" t="s">
        <v>127</v>
      </c>
      <c r="C113" s="17" t="s">
        <v>169</v>
      </c>
      <c r="D113" s="33">
        <v>45756</v>
      </c>
      <c r="E113" s="33">
        <v>45765</v>
      </c>
      <c r="F113" s="15" t="s">
        <v>200</v>
      </c>
      <c r="G113" s="17" t="s">
        <v>76</v>
      </c>
      <c r="H113" s="37">
        <v>37166</v>
      </c>
      <c r="I113" s="17" t="s">
        <v>294</v>
      </c>
      <c r="J113" s="17" t="s">
        <v>295</v>
      </c>
      <c r="K113" s="17" t="s">
        <v>32</v>
      </c>
      <c r="L113" s="17" t="s">
        <v>174</v>
      </c>
      <c r="M113" s="17">
        <v>5</v>
      </c>
      <c r="N113" s="26">
        <v>8500</v>
      </c>
      <c r="O113" s="17">
        <v>10</v>
      </c>
      <c r="P113" s="26">
        <v>38250</v>
      </c>
      <c r="Q113" s="17">
        <v>1</v>
      </c>
      <c r="R113" s="17" t="s">
        <v>79</v>
      </c>
      <c r="S113" s="17" t="s">
        <v>61</v>
      </c>
      <c r="T113" s="15" t="s">
        <v>132</v>
      </c>
      <c r="U113" s="17">
        <v>9236963301</v>
      </c>
      <c r="V113" s="17" t="s">
        <v>38</v>
      </c>
      <c r="W113" s="47">
        <f t="shared" ca="1" si="3"/>
        <v>25</v>
      </c>
      <c r="X113" s="42">
        <f t="shared" si="4"/>
        <v>9</v>
      </c>
      <c r="Y113" s="42" t="str">
        <f t="shared" si="5"/>
        <v>Delayed</v>
      </c>
    </row>
    <row r="114" spans="1:25" x14ac:dyDescent="0.5">
      <c r="A114" s="15" t="s">
        <v>655</v>
      </c>
      <c r="B114" s="15" t="s">
        <v>53</v>
      </c>
      <c r="C114" s="15" t="s">
        <v>259</v>
      </c>
      <c r="D114" s="32">
        <v>46115</v>
      </c>
      <c r="E114" s="32">
        <v>46122</v>
      </c>
      <c r="F114" s="15" t="s">
        <v>163</v>
      </c>
      <c r="G114" s="15" t="s">
        <v>28</v>
      </c>
      <c r="H114" s="36">
        <v>31510</v>
      </c>
      <c r="I114" s="15" t="s">
        <v>30</v>
      </c>
      <c r="J114" s="15" t="s">
        <v>31</v>
      </c>
      <c r="K114" s="15" t="s">
        <v>122</v>
      </c>
      <c r="L114" s="15" t="s">
        <v>263</v>
      </c>
      <c r="M114" s="15">
        <v>12</v>
      </c>
      <c r="N114" s="25">
        <v>45</v>
      </c>
      <c r="O114" s="15">
        <v>5</v>
      </c>
      <c r="P114" s="25">
        <v>513</v>
      </c>
      <c r="Q114" s="15">
        <v>2</v>
      </c>
      <c r="R114" s="15" t="s">
        <v>48</v>
      </c>
      <c r="S114" s="15" t="s">
        <v>35</v>
      </c>
      <c r="T114" s="15" t="s">
        <v>62</v>
      </c>
      <c r="U114" s="15">
        <v>9653594592</v>
      </c>
      <c r="V114" s="15" t="s">
        <v>69</v>
      </c>
      <c r="W114" s="46">
        <f t="shared" ca="1" si="3"/>
        <v>40</v>
      </c>
      <c r="X114" s="42">
        <f t="shared" si="4"/>
        <v>7</v>
      </c>
      <c r="Y114" s="42" t="str">
        <f t="shared" si="5"/>
        <v>Delayed</v>
      </c>
    </row>
    <row r="115" spans="1:25" x14ac:dyDescent="0.5">
      <c r="A115" s="17" t="s">
        <v>660</v>
      </c>
      <c r="B115" s="17" t="s">
        <v>221</v>
      </c>
      <c r="C115" s="17" t="s">
        <v>118</v>
      </c>
      <c r="D115" s="33">
        <v>45953</v>
      </c>
      <c r="E115" s="33">
        <v>45958</v>
      </c>
      <c r="F115" s="15" t="s">
        <v>225</v>
      </c>
      <c r="G115" s="17" t="s">
        <v>76</v>
      </c>
      <c r="H115" s="37">
        <v>33075</v>
      </c>
      <c r="I115" s="17" t="s">
        <v>114</v>
      </c>
      <c r="J115" s="17" t="s">
        <v>106</v>
      </c>
      <c r="K115" s="17" t="s">
        <v>122</v>
      </c>
      <c r="L115" s="17" t="s">
        <v>123</v>
      </c>
      <c r="M115" s="17">
        <v>5</v>
      </c>
      <c r="N115" s="26">
        <v>60</v>
      </c>
      <c r="O115" s="17">
        <v>5</v>
      </c>
      <c r="P115" s="26">
        <v>285</v>
      </c>
      <c r="Q115" s="17">
        <v>2</v>
      </c>
      <c r="R115" s="17" t="s">
        <v>34</v>
      </c>
      <c r="S115" s="17" t="s">
        <v>61</v>
      </c>
      <c r="T115" s="15" t="s">
        <v>228</v>
      </c>
      <c r="U115" s="17">
        <v>9781970426</v>
      </c>
      <c r="V115" s="17" t="s">
        <v>38</v>
      </c>
      <c r="W115" s="47">
        <f t="shared" ca="1" si="3"/>
        <v>36</v>
      </c>
      <c r="X115" s="42">
        <f t="shared" si="4"/>
        <v>5</v>
      </c>
      <c r="Y115" s="42" t="str">
        <f t="shared" si="5"/>
        <v xml:space="preserve">On Time </v>
      </c>
    </row>
    <row r="116" spans="1:25" x14ac:dyDescent="0.5">
      <c r="A116" s="15" t="s">
        <v>664</v>
      </c>
      <c r="B116" s="15" t="s">
        <v>53</v>
      </c>
      <c r="C116" s="15" t="s">
        <v>184</v>
      </c>
      <c r="D116" s="32">
        <v>45750</v>
      </c>
      <c r="E116" s="32">
        <v>45761</v>
      </c>
      <c r="F116" s="15" t="s">
        <v>163</v>
      </c>
      <c r="G116" s="15" t="s">
        <v>28</v>
      </c>
      <c r="H116" s="36">
        <v>34435</v>
      </c>
      <c r="I116" s="15" t="s">
        <v>294</v>
      </c>
      <c r="J116" s="15" t="s">
        <v>295</v>
      </c>
      <c r="K116" s="15" t="s">
        <v>46</v>
      </c>
      <c r="L116" s="15" t="s">
        <v>189</v>
      </c>
      <c r="M116" s="15">
        <v>3</v>
      </c>
      <c r="N116" s="25">
        <v>700</v>
      </c>
      <c r="O116" s="15">
        <v>0</v>
      </c>
      <c r="P116" s="25">
        <v>2100</v>
      </c>
      <c r="Q116" s="15">
        <v>4</v>
      </c>
      <c r="R116" s="15" t="s">
        <v>79</v>
      </c>
      <c r="S116" s="15" t="s">
        <v>61</v>
      </c>
      <c r="T116" s="15" t="s">
        <v>62</v>
      </c>
      <c r="U116" s="15">
        <v>9862165194</v>
      </c>
      <c r="V116" s="15" t="s">
        <v>38</v>
      </c>
      <c r="W116" s="46">
        <f t="shared" ca="1" si="3"/>
        <v>32</v>
      </c>
      <c r="X116" s="42">
        <f t="shared" si="4"/>
        <v>11</v>
      </c>
      <c r="Y116" s="42" t="str">
        <f t="shared" si="5"/>
        <v>Delayed</v>
      </c>
    </row>
    <row r="117" spans="1:25" x14ac:dyDescent="0.5">
      <c r="A117" s="17" t="s">
        <v>669</v>
      </c>
      <c r="B117" s="17" t="s">
        <v>168</v>
      </c>
      <c r="C117" s="17" t="s">
        <v>222</v>
      </c>
      <c r="D117" s="33">
        <v>45772</v>
      </c>
      <c r="E117" s="33">
        <v>45776</v>
      </c>
      <c r="F117" s="15" t="s">
        <v>361</v>
      </c>
      <c r="G117" s="17" t="s">
        <v>28</v>
      </c>
      <c r="H117" s="37">
        <v>33728</v>
      </c>
      <c r="I117" s="17" t="s">
        <v>44</v>
      </c>
      <c r="J117" s="17" t="s">
        <v>45</v>
      </c>
      <c r="K117" s="17" t="s">
        <v>122</v>
      </c>
      <c r="L117" s="17" t="s">
        <v>227</v>
      </c>
      <c r="M117" s="17">
        <v>6</v>
      </c>
      <c r="N117" s="26">
        <v>20</v>
      </c>
      <c r="O117" s="17">
        <v>15</v>
      </c>
      <c r="P117" s="26">
        <v>102</v>
      </c>
      <c r="Q117" s="17">
        <v>5</v>
      </c>
      <c r="R117" s="17" t="s">
        <v>79</v>
      </c>
      <c r="S117" s="17" t="s">
        <v>151</v>
      </c>
      <c r="T117" s="15" t="s">
        <v>175</v>
      </c>
      <c r="U117" s="17">
        <v>9661280388</v>
      </c>
      <c r="V117" s="17" t="s">
        <v>38</v>
      </c>
      <c r="W117" s="47">
        <f t="shared" ca="1" si="3"/>
        <v>34</v>
      </c>
      <c r="X117" s="42">
        <f t="shared" si="4"/>
        <v>4</v>
      </c>
      <c r="Y117" s="42" t="str">
        <f t="shared" si="5"/>
        <v xml:space="preserve">On Time </v>
      </c>
    </row>
    <row r="118" spans="1:25" x14ac:dyDescent="0.5">
      <c r="A118" s="15" t="s">
        <v>672</v>
      </c>
      <c r="B118" s="15" t="s">
        <v>100</v>
      </c>
      <c r="C118" s="15" t="s">
        <v>184</v>
      </c>
      <c r="D118" s="32">
        <v>45893</v>
      </c>
      <c r="E118" s="32">
        <v>45900</v>
      </c>
      <c r="F118" s="15" t="s">
        <v>103</v>
      </c>
      <c r="G118" s="15" t="s">
        <v>28</v>
      </c>
      <c r="H118" s="36">
        <v>29354</v>
      </c>
      <c r="I118" s="15" t="s">
        <v>59</v>
      </c>
      <c r="J118" s="15" t="s">
        <v>31</v>
      </c>
      <c r="K118" s="15" t="s">
        <v>46</v>
      </c>
      <c r="L118" s="15" t="s">
        <v>189</v>
      </c>
      <c r="M118" s="15">
        <v>2</v>
      </c>
      <c r="N118" s="25">
        <v>700</v>
      </c>
      <c r="O118" s="15">
        <v>15</v>
      </c>
      <c r="P118" s="25">
        <v>1190</v>
      </c>
      <c r="Q118" s="15">
        <v>4</v>
      </c>
      <c r="R118" s="15" t="s">
        <v>34</v>
      </c>
      <c r="S118" s="15" t="s">
        <v>151</v>
      </c>
      <c r="T118" s="15" t="s">
        <v>144</v>
      </c>
      <c r="U118" s="15">
        <v>9896985355</v>
      </c>
      <c r="V118" s="15" t="s">
        <v>64</v>
      </c>
      <c r="W118" s="46">
        <f t="shared" ca="1" si="3"/>
        <v>46</v>
      </c>
      <c r="X118" s="42">
        <f t="shared" si="4"/>
        <v>7</v>
      </c>
      <c r="Y118" s="42" t="str">
        <f t="shared" si="5"/>
        <v>Delayed</v>
      </c>
    </row>
    <row r="119" spans="1:25" x14ac:dyDescent="0.5">
      <c r="A119" s="17" t="s">
        <v>677</v>
      </c>
      <c r="B119" s="17" t="s">
        <v>327</v>
      </c>
      <c r="C119" s="17" t="s">
        <v>259</v>
      </c>
      <c r="D119" s="33">
        <v>45808</v>
      </c>
      <c r="E119" s="33">
        <v>45819</v>
      </c>
      <c r="F119" s="15" t="s">
        <v>394</v>
      </c>
      <c r="G119" s="17" t="s">
        <v>76</v>
      </c>
      <c r="H119" s="37">
        <v>34949</v>
      </c>
      <c r="I119" s="17" t="s">
        <v>114</v>
      </c>
      <c r="J119" s="17" t="s">
        <v>106</v>
      </c>
      <c r="K119" s="17" t="s">
        <v>122</v>
      </c>
      <c r="L119" s="17" t="s">
        <v>263</v>
      </c>
      <c r="M119" s="17">
        <v>16</v>
      </c>
      <c r="N119" s="26">
        <v>45</v>
      </c>
      <c r="O119" s="17">
        <v>0</v>
      </c>
      <c r="P119" s="26">
        <v>720</v>
      </c>
      <c r="Q119" s="17">
        <v>1</v>
      </c>
      <c r="R119" s="17" t="s">
        <v>48</v>
      </c>
      <c r="S119" s="17" t="s">
        <v>61</v>
      </c>
      <c r="T119" s="15" t="s">
        <v>332</v>
      </c>
      <c r="U119" s="17">
        <v>9807154421</v>
      </c>
      <c r="V119" s="17" t="s">
        <v>38</v>
      </c>
      <c r="W119" s="47">
        <f t="shared" ca="1" si="3"/>
        <v>31</v>
      </c>
      <c r="X119" s="42">
        <f t="shared" si="4"/>
        <v>11</v>
      </c>
      <c r="Y119" s="42" t="str">
        <f t="shared" si="5"/>
        <v>Delayed</v>
      </c>
    </row>
    <row r="120" spans="1:25" x14ac:dyDescent="0.5">
      <c r="A120" s="15" t="s">
        <v>682</v>
      </c>
      <c r="B120" s="15" t="s">
        <v>71</v>
      </c>
      <c r="C120" s="15" t="s">
        <v>72</v>
      </c>
      <c r="D120" s="32">
        <v>45807</v>
      </c>
      <c r="E120" s="32">
        <v>45810</v>
      </c>
      <c r="F120" s="15" t="s">
        <v>217</v>
      </c>
      <c r="G120" s="15" t="s">
        <v>76</v>
      </c>
      <c r="H120" s="36">
        <v>32210</v>
      </c>
      <c r="I120" s="15" t="s">
        <v>138</v>
      </c>
      <c r="J120" s="15" t="s">
        <v>106</v>
      </c>
      <c r="K120" s="15" t="s">
        <v>46</v>
      </c>
      <c r="L120" s="15" t="s">
        <v>78</v>
      </c>
      <c r="M120" s="15" t="s">
        <v>686</v>
      </c>
      <c r="N120" s="25">
        <v>1200</v>
      </c>
      <c r="O120" s="15">
        <v>15</v>
      </c>
      <c r="P120" s="25">
        <v>7140</v>
      </c>
      <c r="Q120" s="15">
        <v>4</v>
      </c>
      <c r="R120" s="15" t="s">
        <v>88</v>
      </c>
      <c r="S120" s="15" t="s">
        <v>151</v>
      </c>
      <c r="T120" s="15" t="s">
        <v>80</v>
      </c>
      <c r="U120" s="15">
        <v>9919834000</v>
      </c>
      <c r="V120" s="15" t="s">
        <v>64</v>
      </c>
      <c r="W120" s="46">
        <f t="shared" ca="1" si="3"/>
        <v>38</v>
      </c>
      <c r="X120" s="42">
        <f t="shared" si="4"/>
        <v>3</v>
      </c>
      <c r="Y120" s="42" t="str">
        <f t="shared" si="5"/>
        <v xml:space="preserve">On Time </v>
      </c>
    </row>
    <row r="121" spans="1:25" x14ac:dyDescent="0.5">
      <c r="A121" s="17" t="s">
        <v>688</v>
      </c>
      <c r="B121" s="17" t="s">
        <v>100</v>
      </c>
      <c r="C121" s="17" t="s">
        <v>40</v>
      </c>
      <c r="D121" s="33">
        <v>45888</v>
      </c>
      <c r="E121" s="33">
        <v>45899</v>
      </c>
      <c r="F121" s="15" t="s">
        <v>103</v>
      </c>
      <c r="G121" s="17" t="s">
        <v>28</v>
      </c>
      <c r="H121" s="37">
        <v>32696</v>
      </c>
      <c r="I121" s="17" t="s">
        <v>212</v>
      </c>
      <c r="J121" s="17" t="s">
        <v>45</v>
      </c>
      <c r="K121" s="17" t="s">
        <v>46</v>
      </c>
      <c r="L121" s="17" t="s">
        <v>47</v>
      </c>
      <c r="M121" s="17">
        <v>14</v>
      </c>
      <c r="N121" s="26">
        <v>12000</v>
      </c>
      <c r="O121" s="17">
        <v>15</v>
      </c>
      <c r="P121" s="26">
        <v>142800</v>
      </c>
      <c r="Q121" s="17">
        <v>2</v>
      </c>
      <c r="R121" s="17" t="s">
        <v>48</v>
      </c>
      <c r="S121" s="17" t="s">
        <v>61</v>
      </c>
      <c r="T121" s="15" t="s">
        <v>144</v>
      </c>
      <c r="U121" s="17">
        <v>9739798818</v>
      </c>
      <c r="V121" s="17" t="s">
        <v>64</v>
      </c>
      <c r="W121" s="47">
        <f t="shared" ca="1" si="3"/>
        <v>37</v>
      </c>
      <c r="X121" s="42">
        <f t="shared" si="4"/>
        <v>11</v>
      </c>
      <c r="Y121" s="42" t="str">
        <f t="shared" si="5"/>
        <v>Delayed</v>
      </c>
    </row>
    <row r="122" spans="1:25" x14ac:dyDescent="0.5">
      <c r="A122" s="15" t="s">
        <v>691</v>
      </c>
      <c r="B122" s="15" t="s">
        <v>127</v>
      </c>
      <c r="C122" s="15" t="s">
        <v>169</v>
      </c>
      <c r="D122" s="32">
        <v>46005</v>
      </c>
      <c r="E122" s="32">
        <v>46007</v>
      </c>
      <c r="F122" s="15" t="s">
        <v>200</v>
      </c>
      <c r="G122" s="15" t="s">
        <v>76</v>
      </c>
      <c r="H122" s="36">
        <v>34284</v>
      </c>
      <c r="I122" s="15" t="s">
        <v>114</v>
      </c>
      <c r="J122" s="15" t="s">
        <v>106</v>
      </c>
      <c r="K122" s="15" t="s">
        <v>32</v>
      </c>
      <c r="L122" s="15" t="s">
        <v>174</v>
      </c>
      <c r="M122" s="15">
        <v>8</v>
      </c>
      <c r="N122" s="25">
        <v>8500</v>
      </c>
      <c r="O122" s="15">
        <v>20</v>
      </c>
      <c r="P122" s="25">
        <v>54400</v>
      </c>
      <c r="Q122" s="15">
        <v>3</v>
      </c>
      <c r="R122" s="15" t="s">
        <v>79</v>
      </c>
      <c r="S122" s="15" t="s">
        <v>49</v>
      </c>
      <c r="T122" s="15" t="s">
        <v>132</v>
      </c>
      <c r="U122" s="15">
        <v>9208625306</v>
      </c>
      <c r="V122" s="15" t="s">
        <v>38</v>
      </c>
      <c r="W122" s="46">
        <f t="shared" ca="1" si="3"/>
        <v>32</v>
      </c>
      <c r="X122" s="42">
        <f t="shared" si="4"/>
        <v>2</v>
      </c>
      <c r="Y122" s="42" t="str">
        <f t="shared" si="5"/>
        <v xml:space="preserve">On Time </v>
      </c>
    </row>
    <row r="123" spans="1:25" x14ac:dyDescent="0.5">
      <c r="A123" s="17" t="s">
        <v>695</v>
      </c>
      <c r="B123" s="17" t="s">
        <v>83</v>
      </c>
      <c r="C123" s="17" t="s">
        <v>259</v>
      </c>
      <c r="D123" s="33">
        <v>46053</v>
      </c>
      <c r="E123" s="33">
        <v>46063</v>
      </c>
      <c r="F123" s="15" t="s">
        <v>180</v>
      </c>
      <c r="G123" s="17" t="s">
        <v>76</v>
      </c>
      <c r="H123" s="37">
        <v>36557</v>
      </c>
      <c r="I123" s="17" t="s">
        <v>59</v>
      </c>
      <c r="J123" s="17" t="s">
        <v>31</v>
      </c>
      <c r="K123" s="17" t="s">
        <v>122</v>
      </c>
      <c r="L123" s="17" t="s">
        <v>263</v>
      </c>
      <c r="M123" s="17">
        <v>3</v>
      </c>
      <c r="N123" s="26">
        <v>45</v>
      </c>
      <c r="O123" s="17">
        <v>0</v>
      </c>
      <c r="P123" s="26">
        <v>135</v>
      </c>
      <c r="Q123" s="17">
        <v>4</v>
      </c>
      <c r="R123" s="17" t="s">
        <v>88</v>
      </c>
      <c r="S123" s="17" t="s">
        <v>61</v>
      </c>
      <c r="T123" s="15" t="s">
        <v>89</v>
      </c>
      <c r="U123" s="17">
        <v>9970178536</v>
      </c>
      <c r="V123" s="17" t="s">
        <v>69</v>
      </c>
      <c r="W123" s="47">
        <f t="shared" ca="1" si="3"/>
        <v>26</v>
      </c>
      <c r="X123" s="42">
        <f t="shared" si="4"/>
        <v>10</v>
      </c>
      <c r="Y123" s="42" t="str">
        <f t="shared" si="5"/>
        <v>Delayed</v>
      </c>
    </row>
    <row r="124" spans="1:25" x14ac:dyDescent="0.5">
      <c r="A124" s="15" t="s">
        <v>698</v>
      </c>
      <c r="B124" s="15" t="s">
        <v>327</v>
      </c>
      <c r="C124" s="15" t="s">
        <v>184</v>
      </c>
      <c r="D124" s="32">
        <v>46025</v>
      </c>
      <c r="E124" s="32">
        <v>46026</v>
      </c>
      <c r="F124" s="15" t="s">
        <v>394</v>
      </c>
      <c r="G124" s="15" t="s">
        <v>76</v>
      </c>
      <c r="H124" s="36">
        <v>31585</v>
      </c>
      <c r="I124" s="15" t="s">
        <v>212</v>
      </c>
      <c r="J124" s="15" t="s">
        <v>45</v>
      </c>
      <c r="K124" s="15" t="s">
        <v>46</v>
      </c>
      <c r="L124" s="15" t="s">
        <v>189</v>
      </c>
      <c r="M124" s="15">
        <v>13</v>
      </c>
      <c r="N124" s="25">
        <v>700</v>
      </c>
      <c r="O124" s="15">
        <v>5</v>
      </c>
      <c r="P124" s="25">
        <v>8645</v>
      </c>
      <c r="Q124" s="15">
        <v>3</v>
      </c>
      <c r="R124" s="15" t="s">
        <v>79</v>
      </c>
      <c r="S124" s="15" t="s">
        <v>115</v>
      </c>
      <c r="T124" s="15" t="s">
        <v>332</v>
      </c>
      <c r="U124" s="15">
        <v>9633745195</v>
      </c>
      <c r="V124" s="15" t="s">
        <v>64</v>
      </c>
      <c r="W124" s="46">
        <f t="shared" ca="1" si="3"/>
        <v>40</v>
      </c>
      <c r="X124" s="42">
        <f t="shared" si="4"/>
        <v>1</v>
      </c>
      <c r="Y124" s="42" t="str">
        <f t="shared" si="5"/>
        <v xml:space="preserve">On Time </v>
      </c>
    </row>
    <row r="125" spans="1:25" x14ac:dyDescent="0.5">
      <c r="A125" s="17" t="s">
        <v>701</v>
      </c>
      <c r="B125" s="17" t="s">
        <v>168</v>
      </c>
      <c r="C125" s="17" t="s">
        <v>72</v>
      </c>
      <c r="D125" s="33">
        <v>45950</v>
      </c>
      <c r="E125" s="33">
        <v>45956</v>
      </c>
      <c r="F125" s="15" t="s">
        <v>361</v>
      </c>
      <c r="G125" s="17" t="s">
        <v>28</v>
      </c>
      <c r="H125" s="37">
        <v>31459</v>
      </c>
      <c r="I125" s="17" t="s">
        <v>105</v>
      </c>
      <c r="J125" s="17" t="s">
        <v>106</v>
      </c>
      <c r="K125" s="17" t="s">
        <v>46</v>
      </c>
      <c r="L125" s="17" t="s">
        <v>78</v>
      </c>
      <c r="M125" s="17">
        <v>14</v>
      </c>
      <c r="N125" s="26">
        <v>1200</v>
      </c>
      <c r="O125" s="17">
        <v>20</v>
      </c>
      <c r="P125" s="26">
        <v>13440</v>
      </c>
      <c r="Q125" s="17">
        <v>5</v>
      </c>
      <c r="R125" s="17" t="s">
        <v>48</v>
      </c>
      <c r="S125" s="17" t="s">
        <v>61</v>
      </c>
      <c r="T125" s="15" t="s">
        <v>175</v>
      </c>
      <c r="U125" s="17">
        <v>9922102053</v>
      </c>
      <c r="V125" s="17" t="s">
        <v>38</v>
      </c>
      <c r="W125" s="47">
        <f t="shared" ca="1" si="3"/>
        <v>40</v>
      </c>
      <c r="X125" s="42">
        <f t="shared" si="4"/>
        <v>6</v>
      </c>
      <c r="Y125" s="42" t="str">
        <f t="shared" si="5"/>
        <v>Delayed</v>
      </c>
    </row>
    <row r="126" spans="1:25" x14ac:dyDescent="0.5">
      <c r="A126" s="15" t="s">
        <v>706</v>
      </c>
      <c r="B126" s="15" t="s">
        <v>100</v>
      </c>
      <c r="C126" s="15" t="s">
        <v>259</v>
      </c>
      <c r="D126" s="32">
        <v>45788</v>
      </c>
      <c r="E126" s="32">
        <v>45798</v>
      </c>
      <c r="F126" s="15" t="s">
        <v>103</v>
      </c>
      <c r="G126" s="15" t="s">
        <v>28</v>
      </c>
      <c r="H126" s="36">
        <v>33499</v>
      </c>
      <c r="I126" s="15" t="s">
        <v>44</v>
      </c>
      <c r="J126" s="15" t="s">
        <v>45</v>
      </c>
      <c r="K126" s="15" t="s">
        <v>122</v>
      </c>
      <c r="L126" s="15" t="s">
        <v>263</v>
      </c>
      <c r="M126" s="15">
        <v>2</v>
      </c>
      <c r="N126" s="25">
        <v>45</v>
      </c>
      <c r="O126" s="15">
        <v>5</v>
      </c>
      <c r="P126" s="25">
        <v>85.5</v>
      </c>
      <c r="Q126" s="15">
        <v>3</v>
      </c>
      <c r="R126" s="15" t="s">
        <v>88</v>
      </c>
      <c r="S126" s="15" t="s">
        <v>35</v>
      </c>
      <c r="T126" s="15" t="s">
        <v>144</v>
      </c>
      <c r="U126" s="15">
        <v>9135963930</v>
      </c>
      <c r="V126" s="15" t="s">
        <v>69</v>
      </c>
      <c r="W126" s="46">
        <f t="shared" ca="1" si="3"/>
        <v>35</v>
      </c>
      <c r="X126" s="42">
        <f t="shared" si="4"/>
        <v>10</v>
      </c>
      <c r="Y126" s="42" t="str">
        <f t="shared" si="5"/>
        <v>Delayed</v>
      </c>
    </row>
    <row r="127" spans="1:25" x14ac:dyDescent="0.5">
      <c r="A127" s="17" t="s">
        <v>710</v>
      </c>
      <c r="B127" s="17" t="s">
        <v>168</v>
      </c>
      <c r="C127" s="17" t="s">
        <v>72</v>
      </c>
      <c r="D127" s="33">
        <v>46024</v>
      </c>
      <c r="E127" s="33">
        <v>46028</v>
      </c>
      <c r="F127" s="15" t="s">
        <v>361</v>
      </c>
      <c r="G127" s="17" t="s">
        <v>28</v>
      </c>
      <c r="H127" s="37">
        <v>29590</v>
      </c>
      <c r="I127" s="17" t="s">
        <v>59</v>
      </c>
      <c r="J127" s="17" t="s">
        <v>31</v>
      </c>
      <c r="K127" s="17" t="s">
        <v>46</v>
      </c>
      <c r="L127" s="17" t="s">
        <v>78</v>
      </c>
      <c r="M127" s="17">
        <v>2</v>
      </c>
      <c r="N127" s="26">
        <v>1200</v>
      </c>
      <c r="O127" s="17">
        <v>20</v>
      </c>
      <c r="P127" s="26">
        <v>1920</v>
      </c>
      <c r="Q127" s="17">
        <v>3</v>
      </c>
      <c r="R127" s="17" t="s">
        <v>79</v>
      </c>
      <c r="S127" s="17" t="s">
        <v>115</v>
      </c>
      <c r="T127" s="15" t="s">
        <v>175</v>
      </c>
      <c r="U127" s="17">
        <v>9429405275</v>
      </c>
      <c r="V127" s="17" t="s">
        <v>38</v>
      </c>
      <c r="W127" s="47">
        <f t="shared" ca="1" si="3"/>
        <v>45</v>
      </c>
      <c r="X127" s="42">
        <f t="shared" si="4"/>
        <v>4</v>
      </c>
      <c r="Y127" s="42" t="str">
        <f t="shared" si="5"/>
        <v xml:space="preserve">On Time </v>
      </c>
    </row>
    <row r="128" spans="1:25" x14ac:dyDescent="0.5">
      <c r="A128" s="15" t="s">
        <v>715</v>
      </c>
      <c r="B128" s="15" t="s">
        <v>127</v>
      </c>
      <c r="C128" s="15" t="s">
        <v>54</v>
      </c>
      <c r="D128" s="32">
        <v>46132</v>
      </c>
      <c r="E128" s="32">
        <v>46138</v>
      </c>
      <c r="F128" s="15" t="s">
        <v>200</v>
      </c>
      <c r="G128" s="15" t="s">
        <v>76</v>
      </c>
      <c r="H128" s="36">
        <v>38272</v>
      </c>
      <c r="I128" s="15" t="s">
        <v>59</v>
      </c>
      <c r="J128" s="15" t="s">
        <v>31</v>
      </c>
      <c r="K128" s="15" t="s">
        <v>46</v>
      </c>
      <c r="L128" s="15" t="s">
        <v>60</v>
      </c>
      <c r="M128" s="15">
        <v>10</v>
      </c>
      <c r="N128" s="25">
        <v>55000</v>
      </c>
      <c r="O128" s="15">
        <v>5</v>
      </c>
      <c r="P128" s="25">
        <v>522500</v>
      </c>
      <c r="Q128" s="15">
        <v>5</v>
      </c>
      <c r="R128" s="15" t="s">
        <v>88</v>
      </c>
      <c r="S128" s="15" t="s">
        <v>61</v>
      </c>
      <c r="T128" s="15" t="s">
        <v>132</v>
      </c>
      <c r="U128" s="15">
        <v>9521757571</v>
      </c>
      <c r="V128" s="15" t="s">
        <v>64</v>
      </c>
      <c r="W128" s="46">
        <f t="shared" ca="1" si="3"/>
        <v>22</v>
      </c>
      <c r="X128" s="42">
        <f t="shared" si="4"/>
        <v>6</v>
      </c>
      <c r="Y128" s="42" t="str">
        <f t="shared" si="5"/>
        <v>Delayed</v>
      </c>
    </row>
    <row r="129" spans="1:25" x14ac:dyDescent="0.5">
      <c r="A129" s="17" t="s">
        <v>719</v>
      </c>
      <c r="B129" s="17" t="s">
        <v>251</v>
      </c>
      <c r="C129" s="17" t="s">
        <v>92</v>
      </c>
      <c r="D129" s="33">
        <v>45873</v>
      </c>
      <c r="E129" s="33">
        <v>45874</v>
      </c>
      <c r="F129" s="15" t="s">
        <v>254</v>
      </c>
      <c r="G129" s="17" t="s">
        <v>28</v>
      </c>
      <c r="H129" s="37">
        <v>30766</v>
      </c>
      <c r="I129" s="17" t="s">
        <v>212</v>
      </c>
      <c r="J129" s="17" t="s">
        <v>45</v>
      </c>
      <c r="K129" s="17" t="s">
        <v>32</v>
      </c>
      <c r="L129" s="17" t="s">
        <v>97</v>
      </c>
      <c r="M129" s="17">
        <v>15</v>
      </c>
      <c r="N129" s="26">
        <v>3500</v>
      </c>
      <c r="O129" s="17">
        <v>10</v>
      </c>
      <c r="P129" s="26">
        <v>47250</v>
      </c>
      <c r="Q129" s="17">
        <v>3</v>
      </c>
      <c r="R129" s="17" t="s">
        <v>48</v>
      </c>
      <c r="S129" s="17" t="s">
        <v>115</v>
      </c>
      <c r="T129" s="15" t="s">
        <v>256</v>
      </c>
      <c r="U129" s="17">
        <v>9467375455</v>
      </c>
      <c r="V129" s="17" t="s">
        <v>38</v>
      </c>
      <c r="W129" s="47">
        <f t="shared" ca="1" si="3"/>
        <v>42</v>
      </c>
      <c r="X129" s="42">
        <f t="shared" si="4"/>
        <v>1</v>
      </c>
      <c r="Y129" s="42" t="str">
        <f t="shared" si="5"/>
        <v xml:space="preserve">On Time </v>
      </c>
    </row>
    <row r="130" spans="1:25" x14ac:dyDescent="0.5">
      <c r="A130" s="15" t="s">
        <v>723</v>
      </c>
      <c r="B130" s="15" t="s">
        <v>100</v>
      </c>
      <c r="C130" s="15" t="s">
        <v>24</v>
      </c>
      <c r="D130" s="32">
        <v>45882</v>
      </c>
      <c r="E130" s="32">
        <v>45887</v>
      </c>
      <c r="F130" s="15" t="s">
        <v>103</v>
      </c>
      <c r="G130" s="15" t="s">
        <v>28</v>
      </c>
      <c r="H130" s="36">
        <v>30203</v>
      </c>
      <c r="I130" s="15" t="s">
        <v>59</v>
      </c>
      <c r="J130" s="15" t="s">
        <v>31</v>
      </c>
      <c r="K130" s="15" t="s">
        <v>32</v>
      </c>
      <c r="L130" s="15" t="s">
        <v>33</v>
      </c>
      <c r="M130" s="15">
        <v>10</v>
      </c>
      <c r="N130" s="25">
        <v>2200</v>
      </c>
      <c r="O130" s="15">
        <v>15</v>
      </c>
      <c r="P130" s="25">
        <v>18700</v>
      </c>
      <c r="Q130" s="15">
        <v>4</v>
      </c>
      <c r="R130" s="15" t="s">
        <v>79</v>
      </c>
      <c r="S130" s="15" t="s">
        <v>49</v>
      </c>
      <c r="T130" s="15" t="s">
        <v>144</v>
      </c>
      <c r="U130" s="15">
        <v>9838809695</v>
      </c>
      <c r="V130" s="15" t="s">
        <v>64</v>
      </c>
      <c r="W130" s="46">
        <f t="shared" ca="1" si="3"/>
        <v>44</v>
      </c>
      <c r="X130" s="42">
        <f t="shared" si="4"/>
        <v>5</v>
      </c>
      <c r="Y130" s="42" t="str">
        <f t="shared" si="5"/>
        <v xml:space="preserve">On Time </v>
      </c>
    </row>
    <row r="131" spans="1:25" x14ac:dyDescent="0.5">
      <c r="A131" s="17" t="s">
        <v>727</v>
      </c>
      <c r="B131" s="17" t="s">
        <v>251</v>
      </c>
      <c r="C131" s="17" t="s">
        <v>92</v>
      </c>
      <c r="D131" s="33">
        <v>45824</v>
      </c>
      <c r="E131" s="33">
        <v>45832</v>
      </c>
      <c r="F131" s="15" t="s">
        <v>254</v>
      </c>
      <c r="G131" s="17" t="s">
        <v>28</v>
      </c>
      <c r="H131" s="37">
        <v>34015</v>
      </c>
      <c r="I131" s="17" t="s">
        <v>114</v>
      </c>
      <c r="J131" s="17" t="s">
        <v>106</v>
      </c>
      <c r="K131" s="17" t="s">
        <v>32</v>
      </c>
      <c r="L131" s="17" t="s">
        <v>97</v>
      </c>
      <c r="M131" s="17">
        <v>11</v>
      </c>
      <c r="N131" s="26">
        <v>3500</v>
      </c>
      <c r="O131" s="17">
        <v>5</v>
      </c>
      <c r="P131" s="26">
        <v>36575</v>
      </c>
      <c r="Q131" s="17">
        <v>5</v>
      </c>
      <c r="R131" s="17" t="s">
        <v>34</v>
      </c>
      <c r="S131" s="17" t="s">
        <v>35</v>
      </c>
      <c r="T131" s="15" t="s">
        <v>256</v>
      </c>
      <c r="U131" s="17">
        <v>9296609782</v>
      </c>
      <c r="V131" s="17" t="s">
        <v>69</v>
      </c>
      <c r="W131" s="47">
        <f t="shared" ref="W131:W194" ca="1" si="6">DATEDIF(H131, TODAY(), "y")</f>
        <v>33</v>
      </c>
      <c r="X131" s="42">
        <f t="shared" ref="X131:X194" si="7">IF(OR(ISBLANK(D131), ISBLANK(E131)), "Not Available", E131-D131)</f>
        <v>8</v>
      </c>
      <c r="Y131" s="42" t="str">
        <f t="shared" ref="Y131:Y194" si="8">IF(ISBLANK(E131), "Pending", IF(E131-D131&lt;=5, "On Time ",  "Delayed"))</f>
        <v>Delayed</v>
      </c>
    </row>
    <row r="132" spans="1:25" x14ac:dyDescent="0.5">
      <c r="A132" s="15" t="s">
        <v>730</v>
      </c>
      <c r="B132" s="15" t="s">
        <v>168</v>
      </c>
      <c r="C132" s="15" t="s">
        <v>72</v>
      </c>
      <c r="D132" s="32">
        <v>46139</v>
      </c>
      <c r="E132" s="32">
        <v>46142</v>
      </c>
      <c r="F132" s="15" t="s">
        <v>361</v>
      </c>
      <c r="G132" s="15" t="s">
        <v>28</v>
      </c>
      <c r="H132" s="36">
        <v>37719</v>
      </c>
      <c r="I132" s="15" t="s">
        <v>59</v>
      </c>
      <c r="J132" s="15" t="s">
        <v>31</v>
      </c>
      <c r="K132" s="15" t="s">
        <v>46</v>
      </c>
      <c r="L132" s="15" t="s">
        <v>78</v>
      </c>
      <c r="M132" s="15">
        <v>14</v>
      </c>
      <c r="N132" s="25">
        <v>1200</v>
      </c>
      <c r="O132" s="15">
        <v>0</v>
      </c>
      <c r="P132" s="25">
        <v>16800</v>
      </c>
      <c r="Q132" s="15">
        <v>5</v>
      </c>
      <c r="R132" s="15" t="s">
        <v>34</v>
      </c>
      <c r="S132" s="15" t="s">
        <v>49</v>
      </c>
      <c r="T132" s="15" t="s">
        <v>175</v>
      </c>
      <c r="U132" s="15">
        <v>9848259992</v>
      </c>
      <c r="V132" s="15" t="s">
        <v>69</v>
      </c>
      <c r="W132" s="46">
        <f t="shared" ca="1" si="6"/>
        <v>23</v>
      </c>
      <c r="X132" s="42">
        <f t="shared" si="7"/>
        <v>3</v>
      </c>
      <c r="Y132" s="42" t="str">
        <f t="shared" si="8"/>
        <v xml:space="preserve">On Time </v>
      </c>
    </row>
    <row r="133" spans="1:25" x14ac:dyDescent="0.5">
      <c r="A133" s="17" t="s">
        <v>735</v>
      </c>
      <c r="B133" s="17" t="s">
        <v>100</v>
      </c>
      <c r="C133" s="17" t="s">
        <v>222</v>
      </c>
      <c r="D133" s="33">
        <v>46070</v>
      </c>
      <c r="E133" s="33">
        <v>46075</v>
      </c>
      <c r="F133" s="15" t="s">
        <v>103</v>
      </c>
      <c r="G133" s="17" t="s">
        <v>28</v>
      </c>
      <c r="H133" s="37">
        <v>32801</v>
      </c>
      <c r="I133" s="17" t="s">
        <v>44</v>
      </c>
      <c r="J133" s="17" t="s">
        <v>45</v>
      </c>
      <c r="K133" s="17" t="s">
        <v>122</v>
      </c>
      <c r="L133" s="17" t="s">
        <v>227</v>
      </c>
      <c r="M133" s="17">
        <v>11</v>
      </c>
      <c r="N133" s="26">
        <v>20</v>
      </c>
      <c r="O133" s="17">
        <v>20</v>
      </c>
      <c r="P133" s="26">
        <v>176</v>
      </c>
      <c r="Q133" s="17">
        <v>4</v>
      </c>
      <c r="R133" s="17" t="s">
        <v>48</v>
      </c>
      <c r="S133" s="17" t="s">
        <v>35</v>
      </c>
      <c r="T133" s="15" t="s">
        <v>144</v>
      </c>
      <c r="U133" s="17">
        <v>9254082295</v>
      </c>
      <c r="V133" s="17" t="s">
        <v>38</v>
      </c>
      <c r="W133" s="47">
        <f t="shared" ca="1" si="6"/>
        <v>36</v>
      </c>
      <c r="X133" s="42">
        <f t="shared" si="7"/>
        <v>5</v>
      </c>
      <c r="Y133" s="42" t="str">
        <f t="shared" si="8"/>
        <v xml:space="preserve">On Time </v>
      </c>
    </row>
    <row r="134" spans="1:25" x14ac:dyDescent="0.5">
      <c r="A134" s="15" t="s">
        <v>739</v>
      </c>
      <c r="B134" s="15" t="s">
        <v>71</v>
      </c>
      <c r="C134" s="15" t="s">
        <v>40</v>
      </c>
      <c r="D134" s="32">
        <v>46116</v>
      </c>
      <c r="E134" s="32">
        <v>46122</v>
      </c>
      <c r="F134" s="15" t="s">
        <v>217</v>
      </c>
      <c r="G134" s="15" t="s">
        <v>76</v>
      </c>
      <c r="H134" s="36">
        <v>34957</v>
      </c>
      <c r="I134" s="15" t="s">
        <v>114</v>
      </c>
      <c r="J134" s="15" t="s">
        <v>106</v>
      </c>
      <c r="K134" s="15" t="s">
        <v>46</v>
      </c>
      <c r="L134" s="15" t="s">
        <v>47</v>
      </c>
      <c r="M134" s="15">
        <v>6</v>
      </c>
      <c r="N134" s="25">
        <v>12000</v>
      </c>
      <c r="O134" s="15">
        <v>10</v>
      </c>
      <c r="P134" s="25">
        <v>64800</v>
      </c>
      <c r="Q134" s="15">
        <v>5</v>
      </c>
      <c r="R134" s="15" t="s">
        <v>88</v>
      </c>
      <c r="S134" s="15" t="s">
        <v>151</v>
      </c>
      <c r="T134" s="15" t="s">
        <v>80</v>
      </c>
      <c r="U134" s="15">
        <v>9687923860</v>
      </c>
      <c r="V134" s="15" t="s">
        <v>38</v>
      </c>
      <c r="W134" s="46">
        <f t="shared" ca="1" si="6"/>
        <v>31</v>
      </c>
      <c r="X134" s="42">
        <f t="shared" si="7"/>
        <v>6</v>
      </c>
      <c r="Y134" s="42" t="str">
        <f t="shared" si="8"/>
        <v>Delayed</v>
      </c>
    </row>
    <row r="135" spans="1:25" x14ac:dyDescent="0.5">
      <c r="A135" s="17" t="s">
        <v>743</v>
      </c>
      <c r="B135" s="17" t="s">
        <v>71</v>
      </c>
      <c r="C135" s="17" t="s">
        <v>24</v>
      </c>
      <c r="D135" s="33">
        <v>45756</v>
      </c>
      <c r="E135" s="33">
        <v>45765</v>
      </c>
      <c r="F135" s="15" t="s">
        <v>217</v>
      </c>
      <c r="G135" s="17" t="s">
        <v>76</v>
      </c>
      <c r="H135" s="37">
        <v>34431</v>
      </c>
      <c r="I135" s="17" t="s">
        <v>30</v>
      </c>
      <c r="J135" s="17" t="s">
        <v>31</v>
      </c>
      <c r="K135" s="17" t="s">
        <v>32</v>
      </c>
      <c r="L135" s="17" t="s">
        <v>33</v>
      </c>
      <c r="M135" s="17">
        <v>6</v>
      </c>
      <c r="N135" s="26">
        <v>2200</v>
      </c>
      <c r="O135" s="17">
        <v>5</v>
      </c>
      <c r="P135" s="26">
        <v>12540</v>
      </c>
      <c r="Q135" s="17">
        <v>4</v>
      </c>
      <c r="R135" s="17" t="s">
        <v>34</v>
      </c>
      <c r="S135" s="17" t="s">
        <v>49</v>
      </c>
      <c r="T135" s="15" t="s">
        <v>80</v>
      </c>
      <c r="U135" s="17">
        <v>9426459149</v>
      </c>
      <c r="V135" s="17" t="s">
        <v>38</v>
      </c>
      <c r="W135" s="47">
        <f t="shared" ca="1" si="6"/>
        <v>32</v>
      </c>
      <c r="X135" s="42">
        <f t="shared" si="7"/>
        <v>9</v>
      </c>
      <c r="Y135" s="42" t="str">
        <f t="shared" si="8"/>
        <v>Delayed</v>
      </c>
    </row>
    <row r="136" spans="1:25" x14ac:dyDescent="0.5">
      <c r="A136" s="15" t="s">
        <v>746</v>
      </c>
      <c r="B136" s="15" t="s">
        <v>53</v>
      </c>
      <c r="C136" s="15" t="s">
        <v>92</v>
      </c>
      <c r="D136" s="32">
        <v>45823</v>
      </c>
      <c r="E136" s="32">
        <v>45835</v>
      </c>
      <c r="F136" s="15" t="s">
        <v>163</v>
      </c>
      <c r="G136" s="15" t="s">
        <v>28</v>
      </c>
      <c r="H136" s="36">
        <v>37896</v>
      </c>
      <c r="I136" s="15" t="s">
        <v>44</v>
      </c>
      <c r="J136" s="15" t="s">
        <v>45</v>
      </c>
      <c r="K136" s="15" t="s">
        <v>32</v>
      </c>
      <c r="L136" s="15" t="s">
        <v>97</v>
      </c>
      <c r="M136" s="15">
        <v>3</v>
      </c>
      <c r="N136" s="25">
        <v>3500</v>
      </c>
      <c r="O136" s="15">
        <v>5</v>
      </c>
      <c r="P136" s="25">
        <v>9975</v>
      </c>
      <c r="Q136" s="15">
        <v>4</v>
      </c>
      <c r="R136" s="15" t="s">
        <v>48</v>
      </c>
      <c r="S136" s="15" t="s">
        <v>49</v>
      </c>
      <c r="T136" s="15" t="s">
        <v>62</v>
      </c>
      <c r="U136" s="15">
        <v>9155925975</v>
      </c>
      <c r="V136" s="15" t="s">
        <v>64</v>
      </c>
      <c r="W136" s="46">
        <f t="shared" ca="1" si="6"/>
        <v>23</v>
      </c>
      <c r="X136" s="42">
        <f t="shared" si="7"/>
        <v>12</v>
      </c>
      <c r="Y136" s="42" t="str">
        <f t="shared" si="8"/>
        <v>Delayed</v>
      </c>
    </row>
    <row r="137" spans="1:25" x14ac:dyDescent="0.5">
      <c r="A137" s="17" t="s">
        <v>749</v>
      </c>
      <c r="B137" s="17" t="s">
        <v>71</v>
      </c>
      <c r="C137" s="17" t="s">
        <v>169</v>
      </c>
      <c r="D137" s="33">
        <v>45816</v>
      </c>
      <c r="E137" s="33">
        <v>45818</v>
      </c>
      <c r="F137" s="15" t="s">
        <v>217</v>
      </c>
      <c r="G137" s="17" t="s">
        <v>76</v>
      </c>
      <c r="H137" s="37">
        <v>35625</v>
      </c>
      <c r="I137" s="17" t="s">
        <v>30</v>
      </c>
      <c r="J137" s="17" t="s">
        <v>31</v>
      </c>
      <c r="K137" s="17" t="s">
        <v>32</v>
      </c>
      <c r="L137" s="17" t="s">
        <v>174</v>
      </c>
      <c r="M137" s="17">
        <v>5</v>
      </c>
      <c r="N137" s="26">
        <v>8500</v>
      </c>
      <c r="O137" s="17">
        <v>20</v>
      </c>
      <c r="P137" s="26">
        <v>34000</v>
      </c>
      <c r="Q137" s="17">
        <v>5</v>
      </c>
      <c r="R137" s="17" t="s">
        <v>34</v>
      </c>
      <c r="S137" s="17" t="s">
        <v>61</v>
      </c>
      <c r="T137" s="15" t="s">
        <v>80</v>
      </c>
      <c r="U137" s="17">
        <v>9945247701</v>
      </c>
      <c r="V137" s="17" t="s">
        <v>64</v>
      </c>
      <c r="W137" s="47">
        <f t="shared" ca="1" si="6"/>
        <v>29</v>
      </c>
      <c r="X137" s="42">
        <f t="shared" si="7"/>
        <v>2</v>
      </c>
      <c r="Y137" s="42" t="str">
        <f t="shared" si="8"/>
        <v xml:space="preserve">On Time </v>
      </c>
    </row>
    <row r="138" spans="1:25" x14ac:dyDescent="0.5">
      <c r="A138" s="15" t="s">
        <v>754</v>
      </c>
      <c r="B138" s="15" t="s">
        <v>23</v>
      </c>
      <c r="C138" s="15" t="s">
        <v>92</v>
      </c>
      <c r="D138" s="32">
        <v>45863</v>
      </c>
      <c r="E138" s="32">
        <v>45870</v>
      </c>
      <c r="F138" s="15" t="s">
        <v>27</v>
      </c>
      <c r="G138" s="15" t="s">
        <v>28</v>
      </c>
      <c r="H138" s="36">
        <v>29076</v>
      </c>
      <c r="I138" s="15" t="s">
        <v>59</v>
      </c>
      <c r="J138" s="15" t="s">
        <v>31</v>
      </c>
      <c r="K138" s="15" t="s">
        <v>32</v>
      </c>
      <c r="L138" s="15" t="s">
        <v>97</v>
      </c>
      <c r="M138" s="15">
        <v>14</v>
      </c>
      <c r="N138" s="25">
        <v>3500</v>
      </c>
      <c r="O138" s="15">
        <v>10</v>
      </c>
      <c r="P138" s="25">
        <v>44100</v>
      </c>
      <c r="Q138" s="15">
        <v>4</v>
      </c>
      <c r="R138" s="15" t="s">
        <v>88</v>
      </c>
      <c r="S138" s="15" t="s">
        <v>35</v>
      </c>
      <c r="T138" s="15" t="s">
        <v>50</v>
      </c>
      <c r="U138" s="15">
        <v>9597378398</v>
      </c>
      <c r="V138" s="15" t="s">
        <v>69</v>
      </c>
      <c r="W138" s="46">
        <f t="shared" ca="1" si="6"/>
        <v>47</v>
      </c>
      <c r="X138" s="42">
        <f t="shared" si="7"/>
        <v>7</v>
      </c>
      <c r="Y138" s="42" t="str">
        <f t="shared" si="8"/>
        <v>Delayed</v>
      </c>
    </row>
    <row r="139" spans="1:25" x14ac:dyDescent="0.5">
      <c r="A139" s="17" t="s">
        <v>759</v>
      </c>
      <c r="B139" s="17" t="s">
        <v>327</v>
      </c>
      <c r="C139" s="17" t="s">
        <v>259</v>
      </c>
      <c r="D139" s="33">
        <v>45673</v>
      </c>
      <c r="E139" s="33">
        <v>45678</v>
      </c>
      <c r="F139" s="15" t="s">
        <v>394</v>
      </c>
      <c r="G139" s="17" t="s">
        <v>76</v>
      </c>
      <c r="H139" s="37">
        <v>37549</v>
      </c>
      <c r="I139" s="17" t="s">
        <v>138</v>
      </c>
      <c r="J139" s="17" t="s">
        <v>106</v>
      </c>
      <c r="K139" s="17" t="s">
        <v>122</v>
      </c>
      <c r="L139" s="17" t="s">
        <v>263</v>
      </c>
      <c r="M139" s="17">
        <v>8</v>
      </c>
      <c r="N139" s="26">
        <v>45</v>
      </c>
      <c r="O139" s="17">
        <v>0</v>
      </c>
      <c r="P139" s="26">
        <v>360</v>
      </c>
      <c r="Q139" s="17">
        <v>1</v>
      </c>
      <c r="R139" s="17" t="s">
        <v>79</v>
      </c>
      <c r="S139" s="17" t="s">
        <v>151</v>
      </c>
      <c r="T139" s="15" t="s">
        <v>332</v>
      </c>
      <c r="U139" s="17">
        <v>9343963736</v>
      </c>
      <c r="V139" s="17" t="s">
        <v>69</v>
      </c>
      <c r="W139" s="47">
        <f t="shared" ca="1" si="6"/>
        <v>23</v>
      </c>
      <c r="X139" s="42">
        <f t="shared" si="7"/>
        <v>5</v>
      </c>
      <c r="Y139" s="42" t="str">
        <f t="shared" si="8"/>
        <v xml:space="preserve">On Time </v>
      </c>
    </row>
    <row r="140" spans="1:25" x14ac:dyDescent="0.5">
      <c r="A140" s="15" t="s">
        <v>764</v>
      </c>
      <c r="B140" s="15" t="s">
        <v>221</v>
      </c>
      <c r="C140" s="15" t="s">
        <v>259</v>
      </c>
      <c r="D140" s="32">
        <v>45692</v>
      </c>
      <c r="E140" s="32">
        <v>45693</v>
      </c>
      <c r="F140" s="15" t="s">
        <v>225</v>
      </c>
      <c r="G140" s="15" t="s">
        <v>76</v>
      </c>
      <c r="H140" s="36">
        <v>31252</v>
      </c>
      <c r="I140" s="15" t="s">
        <v>44</v>
      </c>
      <c r="J140" s="15" t="s">
        <v>45</v>
      </c>
      <c r="K140" s="15" t="s">
        <v>122</v>
      </c>
      <c r="L140" s="15" t="s">
        <v>263</v>
      </c>
      <c r="M140" s="15">
        <v>11</v>
      </c>
      <c r="N140" s="25">
        <v>45</v>
      </c>
      <c r="O140" s="15">
        <v>5</v>
      </c>
      <c r="P140" s="25">
        <v>470.25</v>
      </c>
      <c r="Q140" s="15">
        <v>3</v>
      </c>
      <c r="R140" s="15" t="s">
        <v>79</v>
      </c>
      <c r="S140" s="15" t="s">
        <v>49</v>
      </c>
      <c r="T140" s="15" t="s">
        <v>228</v>
      </c>
      <c r="U140" s="15">
        <v>9548742147</v>
      </c>
      <c r="V140" s="15" t="s">
        <v>38</v>
      </c>
      <c r="W140" s="46">
        <f t="shared" ca="1" si="6"/>
        <v>41</v>
      </c>
      <c r="X140" s="42">
        <f t="shared" si="7"/>
        <v>1</v>
      </c>
      <c r="Y140" s="42" t="str">
        <f t="shared" si="8"/>
        <v xml:space="preserve">On Time </v>
      </c>
    </row>
    <row r="141" spans="1:25" x14ac:dyDescent="0.5">
      <c r="A141" s="17" t="s">
        <v>769</v>
      </c>
      <c r="B141" s="17" t="s">
        <v>83</v>
      </c>
      <c r="C141" s="17" t="s">
        <v>54</v>
      </c>
      <c r="D141" s="33">
        <v>45679</v>
      </c>
      <c r="E141" s="33">
        <v>45687</v>
      </c>
      <c r="F141" s="15" t="s">
        <v>180</v>
      </c>
      <c r="G141" s="17" t="s">
        <v>76</v>
      </c>
      <c r="H141" s="37">
        <v>32378</v>
      </c>
      <c r="I141" s="17" t="s">
        <v>138</v>
      </c>
      <c r="J141" s="17" t="s">
        <v>106</v>
      </c>
      <c r="K141" s="17" t="s">
        <v>46</v>
      </c>
      <c r="L141" s="17" t="s">
        <v>60</v>
      </c>
      <c r="M141" s="17">
        <v>19</v>
      </c>
      <c r="N141" s="26">
        <v>55000</v>
      </c>
      <c r="O141" s="17">
        <v>0</v>
      </c>
      <c r="P141" s="26">
        <v>1045000</v>
      </c>
      <c r="Q141" s="17">
        <v>2</v>
      </c>
      <c r="R141" s="17" t="s">
        <v>79</v>
      </c>
      <c r="S141" s="17" t="s">
        <v>35</v>
      </c>
      <c r="T141" s="15" t="s">
        <v>89</v>
      </c>
      <c r="U141" s="17">
        <v>9912945471</v>
      </c>
      <c r="V141" s="17" t="s">
        <v>69</v>
      </c>
      <c r="W141" s="47">
        <f t="shared" ca="1" si="6"/>
        <v>38</v>
      </c>
      <c r="X141" s="42">
        <f t="shared" si="7"/>
        <v>8</v>
      </c>
      <c r="Y141" s="42" t="str">
        <f t="shared" si="8"/>
        <v>Delayed</v>
      </c>
    </row>
    <row r="142" spans="1:25" x14ac:dyDescent="0.5">
      <c r="A142" s="15" t="s">
        <v>774</v>
      </c>
      <c r="B142" s="15" t="s">
        <v>53</v>
      </c>
      <c r="C142" s="15" t="s">
        <v>92</v>
      </c>
      <c r="D142" s="32">
        <v>45758</v>
      </c>
      <c r="E142" s="32">
        <v>45765</v>
      </c>
      <c r="F142" s="15" t="s">
        <v>163</v>
      </c>
      <c r="G142" s="15" t="s">
        <v>28</v>
      </c>
      <c r="H142" s="36">
        <v>28864</v>
      </c>
      <c r="I142" s="15" t="s">
        <v>114</v>
      </c>
      <c r="J142" s="15" t="s">
        <v>106</v>
      </c>
      <c r="K142" s="15" t="s">
        <v>32</v>
      </c>
      <c r="L142" s="15" t="s">
        <v>97</v>
      </c>
      <c r="M142" s="15">
        <v>20</v>
      </c>
      <c r="N142" s="25">
        <v>3500</v>
      </c>
      <c r="O142" s="15">
        <v>20</v>
      </c>
      <c r="P142" s="25">
        <v>56000</v>
      </c>
      <c r="Q142" s="15">
        <v>4</v>
      </c>
      <c r="R142" s="15" t="s">
        <v>48</v>
      </c>
      <c r="S142" s="15" t="s">
        <v>49</v>
      </c>
      <c r="T142" s="15" t="s">
        <v>62</v>
      </c>
      <c r="U142" s="15">
        <v>9912630684</v>
      </c>
      <c r="V142" s="15" t="s">
        <v>38</v>
      </c>
      <c r="W142" s="46">
        <f t="shared" ca="1" si="6"/>
        <v>47</v>
      </c>
      <c r="X142" s="42">
        <f t="shared" si="7"/>
        <v>7</v>
      </c>
      <c r="Y142" s="42" t="str">
        <f t="shared" si="8"/>
        <v>Delayed</v>
      </c>
    </row>
    <row r="143" spans="1:25" x14ac:dyDescent="0.5">
      <c r="A143" s="17" t="s">
        <v>778</v>
      </c>
      <c r="B143" s="17" t="s">
        <v>83</v>
      </c>
      <c r="C143" s="17" t="s">
        <v>24</v>
      </c>
      <c r="D143" s="33">
        <v>45842</v>
      </c>
      <c r="E143" s="33">
        <v>45852</v>
      </c>
      <c r="F143" s="15" t="s">
        <v>180</v>
      </c>
      <c r="G143" s="17" t="s">
        <v>76</v>
      </c>
      <c r="H143" s="37">
        <v>31649</v>
      </c>
      <c r="I143" s="17" t="s">
        <v>114</v>
      </c>
      <c r="J143" s="17" t="s">
        <v>106</v>
      </c>
      <c r="K143" s="17" t="s">
        <v>32</v>
      </c>
      <c r="L143" s="17" t="s">
        <v>33</v>
      </c>
      <c r="M143" s="17">
        <v>17</v>
      </c>
      <c r="N143" s="26">
        <v>2200</v>
      </c>
      <c r="O143" s="17">
        <v>0</v>
      </c>
      <c r="P143" s="26">
        <v>37400</v>
      </c>
      <c r="Q143" s="17">
        <v>5</v>
      </c>
      <c r="R143" s="17" t="s">
        <v>48</v>
      </c>
      <c r="S143" s="17" t="s">
        <v>35</v>
      </c>
      <c r="T143" s="15" t="s">
        <v>89</v>
      </c>
      <c r="U143" s="17">
        <v>9114017237</v>
      </c>
      <c r="V143" s="17" t="s">
        <v>64</v>
      </c>
      <c r="W143" s="47">
        <f t="shared" ca="1" si="6"/>
        <v>40</v>
      </c>
      <c r="X143" s="42">
        <f t="shared" si="7"/>
        <v>10</v>
      </c>
      <c r="Y143" s="42" t="str">
        <f t="shared" si="8"/>
        <v>Delayed</v>
      </c>
    </row>
    <row r="144" spans="1:25" x14ac:dyDescent="0.5">
      <c r="A144" s="15" t="s">
        <v>782</v>
      </c>
      <c r="B144" s="15" t="s">
        <v>83</v>
      </c>
      <c r="C144" s="15" t="s">
        <v>72</v>
      </c>
      <c r="D144" s="32">
        <v>45679</v>
      </c>
      <c r="E144" s="32">
        <v>45686</v>
      </c>
      <c r="F144" s="15" t="s">
        <v>180</v>
      </c>
      <c r="G144" s="15" t="s">
        <v>76</v>
      </c>
      <c r="H144" s="36">
        <v>28216</v>
      </c>
      <c r="I144" s="15" t="s">
        <v>114</v>
      </c>
      <c r="J144" s="15" t="s">
        <v>106</v>
      </c>
      <c r="K144" s="15" t="s">
        <v>46</v>
      </c>
      <c r="L144" s="15" t="s">
        <v>78</v>
      </c>
      <c r="M144" s="15">
        <v>10</v>
      </c>
      <c r="N144" s="25">
        <v>1200</v>
      </c>
      <c r="O144" s="15">
        <v>5</v>
      </c>
      <c r="P144" s="25">
        <v>11400</v>
      </c>
      <c r="Q144" s="15">
        <v>2</v>
      </c>
      <c r="R144" s="15" t="s">
        <v>34</v>
      </c>
      <c r="S144" s="15" t="s">
        <v>49</v>
      </c>
      <c r="T144" s="15" t="s">
        <v>89</v>
      </c>
      <c r="U144" s="15">
        <v>9872471236</v>
      </c>
      <c r="V144" s="15" t="s">
        <v>69</v>
      </c>
      <c r="W144" s="46">
        <f t="shared" ca="1" si="6"/>
        <v>49</v>
      </c>
      <c r="X144" s="42">
        <f t="shared" si="7"/>
        <v>7</v>
      </c>
      <c r="Y144" s="42" t="str">
        <f t="shared" si="8"/>
        <v>Delayed</v>
      </c>
    </row>
    <row r="145" spans="1:25" x14ac:dyDescent="0.5">
      <c r="A145" s="17" t="s">
        <v>786</v>
      </c>
      <c r="B145" s="17" t="s">
        <v>221</v>
      </c>
      <c r="C145" s="17" t="s">
        <v>118</v>
      </c>
      <c r="D145" s="33">
        <v>46008</v>
      </c>
      <c r="E145" s="33">
        <v>46009</v>
      </c>
      <c r="F145" s="15" t="s">
        <v>225</v>
      </c>
      <c r="G145" s="17" t="s">
        <v>76</v>
      </c>
      <c r="H145" s="37">
        <v>30532</v>
      </c>
      <c r="I145" s="17" t="s">
        <v>30</v>
      </c>
      <c r="J145" s="17" t="s">
        <v>31</v>
      </c>
      <c r="K145" s="17" t="s">
        <v>122</v>
      </c>
      <c r="L145" s="17" t="s">
        <v>123</v>
      </c>
      <c r="M145" s="17">
        <v>3</v>
      </c>
      <c r="N145" s="26">
        <v>60</v>
      </c>
      <c r="O145" s="17">
        <v>0</v>
      </c>
      <c r="P145" s="26">
        <v>180</v>
      </c>
      <c r="Q145" s="17">
        <v>4</v>
      </c>
      <c r="R145" s="17" t="s">
        <v>48</v>
      </c>
      <c r="S145" s="17" t="s">
        <v>151</v>
      </c>
      <c r="T145" s="15" t="s">
        <v>228</v>
      </c>
      <c r="U145" s="17">
        <v>9461383824</v>
      </c>
      <c r="V145" s="17" t="s">
        <v>38</v>
      </c>
      <c r="W145" s="47">
        <f t="shared" ca="1" si="6"/>
        <v>43</v>
      </c>
      <c r="X145" s="42">
        <f t="shared" si="7"/>
        <v>1</v>
      </c>
      <c r="Y145" s="42" t="str">
        <f t="shared" si="8"/>
        <v xml:space="preserve">On Time </v>
      </c>
    </row>
    <row r="146" spans="1:25" x14ac:dyDescent="0.5">
      <c r="A146" s="15" t="s">
        <v>791</v>
      </c>
      <c r="B146" s="15" t="s">
        <v>53</v>
      </c>
      <c r="C146" s="15" t="s">
        <v>24</v>
      </c>
      <c r="D146" s="32">
        <v>45940</v>
      </c>
      <c r="E146" s="32">
        <v>45951</v>
      </c>
      <c r="F146" s="15" t="s">
        <v>163</v>
      </c>
      <c r="G146" s="15" t="s">
        <v>28</v>
      </c>
      <c r="H146" s="36">
        <v>28587</v>
      </c>
      <c r="I146" s="15" t="s">
        <v>105</v>
      </c>
      <c r="J146" s="15" t="s">
        <v>106</v>
      </c>
      <c r="K146" s="15" t="s">
        <v>32</v>
      </c>
      <c r="L146" s="15" t="s">
        <v>33</v>
      </c>
      <c r="M146" s="15">
        <v>18</v>
      </c>
      <c r="N146" s="25">
        <v>2200</v>
      </c>
      <c r="O146" s="15">
        <v>10</v>
      </c>
      <c r="P146" s="25">
        <v>35640</v>
      </c>
      <c r="Q146" s="15">
        <v>1</v>
      </c>
      <c r="R146" s="15" t="s">
        <v>79</v>
      </c>
      <c r="S146" s="15" t="s">
        <v>151</v>
      </c>
      <c r="T146" s="15" t="s">
        <v>62</v>
      </c>
      <c r="U146" s="15">
        <v>9243407457</v>
      </c>
      <c r="V146" s="15" t="s">
        <v>69</v>
      </c>
      <c r="W146" s="46">
        <f t="shared" ca="1" si="6"/>
        <v>48</v>
      </c>
      <c r="X146" s="42">
        <f t="shared" si="7"/>
        <v>11</v>
      </c>
      <c r="Y146" s="42" t="str">
        <f t="shared" si="8"/>
        <v>Delayed</v>
      </c>
    </row>
    <row r="147" spans="1:25" x14ac:dyDescent="0.5">
      <c r="A147" s="17" t="s">
        <v>796</v>
      </c>
      <c r="B147" s="17" t="s">
        <v>71</v>
      </c>
      <c r="C147" s="17" t="s">
        <v>118</v>
      </c>
      <c r="D147" s="33">
        <v>46088</v>
      </c>
      <c r="E147" s="33">
        <v>46091</v>
      </c>
      <c r="F147" s="15" t="s">
        <v>217</v>
      </c>
      <c r="G147" s="17" t="s">
        <v>76</v>
      </c>
      <c r="H147" s="37">
        <v>30379</v>
      </c>
      <c r="I147" s="17" t="s">
        <v>44</v>
      </c>
      <c r="J147" s="17" t="s">
        <v>45</v>
      </c>
      <c r="K147" s="17" t="s">
        <v>122</v>
      </c>
      <c r="L147" s="17" t="s">
        <v>123</v>
      </c>
      <c r="M147" s="17">
        <v>18</v>
      </c>
      <c r="N147" s="26">
        <v>60</v>
      </c>
      <c r="O147" s="17">
        <v>5</v>
      </c>
      <c r="P147" s="26">
        <v>1026</v>
      </c>
      <c r="Q147" s="17">
        <v>3</v>
      </c>
      <c r="R147" s="17" t="s">
        <v>79</v>
      </c>
      <c r="S147" s="17" t="s">
        <v>49</v>
      </c>
      <c r="T147" s="15" t="s">
        <v>80</v>
      </c>
      <c r="U147" s="17">
        <v>9418672379</v>
      </c>
      <c r="V147" s="17" t="s">
        <v>64</v>
      </c>
      <c r="W147" s="47">
        <f t="shared" ca="1" si="6"/>
        <v>43</v>
      </c>
      <c r="X147" s="42">
        <f t="shared" si="7"/>
        <v>3</v>
      </c>
      <c r="Y147" s="42" t="str">
        <f t="shared" si="8"/>
        <v xml:space="preserve">On Time </v>
      </c>
    </row>
    <row r="148" spans="1:25" x14ac:dyDescent="0.5">
      <c r="A148" s="15" t="s">
        <v>801</v>
      </c>
      <c r="B148" s="15" t="s">
        <v>127</v>
      </c>
      <c r="C148" s="15" t="s">
        <v>54</v>
      </c>
      <c r="D148" s="32">
        <v>45885</v>
      </c>
      <c r="E148" s="32">
        <v>45892</v>
      </c>
      <c r="F148" s="15" t="s">
        <v>200</v>
      </c>
      <c r="G148" s="15" t="s">
        <v>76</v>
      </c>
      <c r="H148" s="36">
        <v>32077</v>
      </c>
      <c r="I148" s="15" t="s">
        <v>114</v>
      </c>
      <c r="J148" s="15" t="s">
        <v>106</v>
      </c>
      <c r="K148" s="15" t="s">
        <v>46</v>
      </c>
      <c r="L148" s="15" t="s">
        <v>60</v>
      </c>
      <c r="M148" s="15">
        <v>11</v>
      </c>
      <c r="N148" s="25">
        <v>55000</v>
      </c>
      <c r="O148" s="15">
        <v>15</v>
      </c>
      <c r="P148" s="25">
        <v>514250</v>
      </c>
      <c r="Q148" s="15">
        <v>4</v>
      </c>
      <c r="R148" s="15" t="s">
        <v>88</v>
      </c>
      <c r="S148" s="15" t="s">
        <v>115</v>
      </c>
      <c r="T148" s="15" t="s">
        <v>132</v>
      </c>
      <c r="U148" s="15">
        <v>9222733065</v>
      </c>
      <c r="V148" s="15" t="s">
        <v>69</v>
      </c>
      <c r="W148" s="46">
        <f t="shared" ca="1" si="6"/>
        <v>38</v>
      </c>
      <c r="X148" s="42">
        <f t="shared" si="7"/>
        <v>7</v>
      </c>
      <c r="Y148" s="42" t="str">
        <f t="shared" si="8"/>
        <v>Delayed</v>
      </c>
    </row>
    <row r="149" spans="1:25" x14ac:dyDescent="0.5">
      <c r="A149" s="17" t="s">
        <v>804</v>
      </c>
      <c r="B149" s="17" t="s">
        <v>251</v>
      </c>
      <c r="C149" s="17" t="s">
        <v>169</v>
      </c>
      <c r="D149" s="33">
        <v>46014</v>
      </c>
      <c r="E149" s="33">
        <v>46025</v>
      </c>
      <c r="F149" s="15" t="s">
        <v>254</v>
      </c>
      <c r="G149" s="17" t="s">
        <v>28</v>
      </c>
      <c r="H149" s="37">
        <v>37730</v>
      </c>
      <c r="I149" s="17" t="s">
        <v>294</v>
      </c>
      <c r="J149" s="17" t="s">
        <v>295</v>
      </c>
      <c r="K149" s="17" t="s">
        <v>32</v>
      </c>
      <c r="L149" s="17" t="s">
        <v>174</v>
      </c>
      <c r="M149" s="17">
        <v>5</v>
      </c>
      <c r="N149" s="26">
        <v>8500</v>
      </c>
      <c r="O149" s="17">
        <v>5</v>
      </c>
      <c r="P149" s="26">
        <v>40375</v>
      </c>
      <c r="Q149" s="17">
        <v>4</v>
      </c>
      <c r="R149" s="17" t="s">
        <v>34</v>
      </c>
      <c r="S149" s="17" t="s">
        <v>151</v>
      </c>
      <c r="T149" s="15" t="s">
        <v>256</v>
      </c>
      <c r="U149" s="17">
        <v>9684246902</v>
      </c>
      <c r="V149" s="17" t="s">
        <v>38</v>
      </c>
      <c r="W149" s="47">
        <f t="shared" ca="1" si="6"/>
        <v>23</v>
      </c>
      <c r="X149" s="42">
        <f t="shared" si="7"/>
        <v>11</v>
      </c>
      <c r="Y149" s="42" t="str">
        <f t="shared" si="8"/>
        <v>Delayed</v>
      </c>
    </row>
    <row r="150" spans="1:25" x14ac:dyDescent="0.5">
      <c r="A150" s="15" t="s">
        <v>192</v>
      </c>
      <c r="B150" s="15" t="s">
        <v>100</v>
      </c>
      <c r="C150" s="15" t="s">
        <v>184</v>
      </c>
      <c r="D150" s="32">
        <v>45908</v>
      </c>
      <c r="E150" s="32">
        <v>45919</v>
      </c>
      <c r="F150" s="15" t="s">
        <v>103</v>
      </c>
      <c r="G150" s="15" t="s">
        <v>28</v>
      </c>
      <c r="H150" s="36">
        <v>37301</v>
      </c>
      <c r="I150" s="15" t="s">
        <v>212</v>
      </c>
      <c r="J150" s="15" t="s">
        <v>45</v>
      </c>
      <c r="K150" s="15" t="s">
        <v>46</v>
      </c>
      <c r="L150" s="15" t="s">
        <v>189</v>
      </c>
      <c r="M150" s="15">
        <v>16</v>
      </c>
      <c r="N150" s="25">
        <v>700</v>
      </c>
      <c r="O150" s="15">
        <v>15</v>
      </c>
      <c r="P150" s="25">
        <v>9520</v>
      </c>
      <c r="Q150" s="15">
        <v>4</v>
      </c>
      <c r="R150" s="15" t="s">
        <v>79</v>
      </c>
      <c r="S150" s="15" t="s">
        <v>61</v>
      </c>
      <c r="T150" s="15" t="s">
        <v>144</v>
      </c>
      <c r="U150" s="15">
        <v>9989580228</v>
      </c>
      <c r="V150" s="15" t="s">
        <v>38</v>
      </c>
      <c r="W150" s="46">
        <f t="shared" ca="1" si="6"/>
        <v>24</v>
      </c>
      <c r="X150" s="42">
        <f t="shared" si="7"/>
        <v>11</v>
      </c>
      <c r="Y150" s="42" t="str">
        <f t="shared" si="8"/>
        <v>Delayed</v>
      </c>
    </row>
    <row r="151" spans="1:25" x14ac:dyDescent="0.5">
      <c r="A151" s="17" t="s">
        <v>809</v>
      </c>
      <c r="B151" s="17" t="s">
        <v>127</v>
      </c>
      <c r="C151" s="17" t="s">
        <v>184</v>
      </c>
      <c r="D151" s="33">
        <v>45845</v>
      </c>
      <c r="E151" s="33">
        <v>45851</v>
      </c>
      <c r="F151" s="15" t="s">
        <v>200</v>
      </c>
      <c r="G151" s="17" t="s">
        <v>76</v>
      </c>
      <c r="H151" s="37">
        <v>27580</v>
      </c>
      <c r="I151" s="17" t="s">
        <v>114</v>
      </c>
      <c r="J151" s="17" t="s">
        <v>106</v>
      </c>
      <c r="K151" s="17" t="s">
        <v>46</v>
      </c>
      <c r="L151" s="17" t="s">
        <v>189</v>
      </c>
      <c r="M151" s="17">
        <v>6</v>
      </c>
      <c r="N151" s="26">
        <v>700</v>
      </c>
      <c r="O151" s="17">
        <v>10</v>
      </c>
      <c r="P151" s="26">
        <v>3780</v>
      </c>
      <c r="Q151" s="17">
        <v>4</v>
      </c>
      <c r="R151" s="17" t="s">
        <v>34</v>
      </c>
      <c r="S151" s="17" t="s">
        <v>49</v>
      </c>
      <c r="T151" s="15" t="s">
        <v>132</v>
      </c>
      <c r="U151" s="17">
        <v>9110269572</v>
      </c>
      <c r="V151" s="17" t="s">
        <v>69</v>
      </c>
      <c r="W151" s="47">
        <f t="shared" ca="1" si="6"/>
        <v>51</v>
      </c>
      <c r="X151" s="42">
        <f t="shared" si="7"/>
        <v>6</v>
      </c>
      <c r="Y151" s="42" t="str">
        <f t="shared" si="8"/>
        <v>Delayed</v>
      </c>
    </row>
    <row r="152" spans="1:25" x14ac:dyDescent="0.5">
      <c r="A152" s="15" t="s">
        <v>812</v>
      </c>
      <c r="B152" s="15" t="s">
        <v>53</v>
      </c>
      <c r="C152" s="15" t="s">
        <v>92</v>
      </c>
      <c r="D152" s="32">
        <v>46145</v>
      </c>
      <c r="E152" s="32">
        <v>46157</v>
      </c>
      <c r="F152" s="15" t="s">
        <v>163</v>
      </c>
      <c r="G152" s="15" t="s">
        <v>28</v>
      </c>
      <c r="H152" s="36">
        <v>33668</v>
      </c>
      <c r="I152" s="15" t="s">
        <v>44</v>
      </c>
      <c r="J152" s="15" t="s">
        <v>45</v>
      </c>
      <c r="K152" s="15" t="s">
        <v>32</v>
      </c>
      <c r="L152" s="15" t="s">
        <v>97</v>
      </c>
      <c r="M152" s="15">
        <v>20</v>
      </c>
      <c r="N152" s="25">
        <v>3500</v>
      </c>
      <c r="O152" s="15">
        <v>10</v>
      </c>
      <c r="P152" s="25">
        <v>63000</v>
      </c>
      <c r="Q152" s="15">
        <v>4</v>
      </c>
      <c r="R152" s="15" t="s">
        <v>88</v>
      </c>
      <c r="S152" s="15" t="s">
        <v>49</v>
      </c>
      <c r="T152" s="15" t="s">
        <v>62</v>
      </c>
      <c r="U152" s="15">
        <v>9745972422</v>
      </c>
      <c r="V152" s="15" t="s">
        <v>64</v>
      </c>
      <c r="W152" s="46">
        <f t="shared" ca="1" si="6"/>
        <v>34</v>
      </c>
      <c r="X152" s="42">
        <f t="shared" si="7"/>
        <v>12</v>
      </c>
      <c r="Y152" s="42" t="str">
        <f t="shared" si="8"/>
        <v>Delayed</v>
      </c>
    </row>
    <row r="153" spans="1:25" x14ac:dyDescent="0.5">
      <c r="A153" s="17" t="s">
        <v>815</v>
      </c>
      <c r="B153" s="17" t="s">
        <v>23</v>
      </c>
      <c r="C153" s="17" t="s">
        <v>222</v>
      </c>
      <c r="D153" s="33">
        <v>45990</v>
      </c>
      <c r="E153" s="33">
        <v>45998</v>
      </c>
      <c r="F153" s="15" t="s">
        <v>27</v>
      </c>
      <c r="G153" s="17" t="s">
        <v>28</v>
      </c>
      <c r="H153" s="37">
        <v>35949</v>
      </c>
      <c r="I153" s="17" t="s">
        <v>59</v>
      </c>
      <c r="J153" s="17" t="s">
        <v>31</v>
      </c>
      <c r="K153" s="17" t="s">
        <v>122</v>
      </c>
      <c r="L153" s="17" t="s">
        <v>227</v>
      </c>
      <c r="M153" s="17">
        <v>2</v>
      </c>
      <c r="N153" s="26">
        <v>20</v>
      </c>
      <c r="O153" s="17">
        <v>10</v>
      </c>
      <c r="P153" s="26">
        <v>36</v>
      </c>
      <c r="Q153" s="17">
        <v>1</v>
      </c>
      <c r="R153" s="17" t="s">
        <v>48</v>
      </c>
      <c r="S153" s="17" t="s">
        <v>115</v>
      </c>
      <c r="T153" s="15" t="s">
        <v>50</v>
      </c>
      <c r="U153" s="17">
        <v>9123712257</v>
      </c>
      <c r="V153" s="17" t="s">
        <v>64</v>
      </c>
      <c r="W153" s="47">
        <f t="shared" ca="1" si="6"/>
        <v>28</v>
      </c>
      <c r="X153" s="42">
        <f t="shared" si="7"/>
        <v>8</v>
      </c>
      <c r="Y153" s="42" t="str">
        <f t="shared" si="8"/>
        <v>Delayed</v>
      </c>
    </row>
    <row r="154" spans="1:25" x14ac:dyDescent="0.5">
      <c r="A154" s="15" t="s">
        <v>820</v>
      </c>
      <c r="B154" s="15" t="s">
        <v>100</v>
      </c>
      <c r="C154" s="15" t="s">
        <v>24</v>
      </c>
      <c r="D154" s="32">
        <v>45852</v>
      </c>
      <c r="E154" s="32">
        <v>45857</v>
      </c>
      <c r="F154" s="15" t="s">
        <v>103</v>
      </c>
      <c r="G154" s="15" t="s">
        <v>28</v>
      </c>
      <c r="H154" s="36">
        <v>35336</v>
      </c>
      <c r="I154" s="15" t="s">
        <v>114</v>
      </c>
      <c r="J154" s="15" t="s">
        <v>106</v>
      </c>
      <c r="K154" s="15" t="s">
        <v>32</v>
      </c>
      <c r="L154" s="15" t="s">
        <v>33</v>
      </c>
      <c r="M154" s="15">
        <v>16</v>
      </c>
      <c r="N154" s="25">
        <v>2200</v>
      </c>
      <c r="O154" s="15">
        <v>20</v>
      </c>
      <c r="P154" s="25">
        <v>28160</v>
      </c>
      <c r="Q154" s="15">
        <v>2</v>
      </c>
      <c r="R154" s="15" t="s">
        <v>88</v>
      </c>
      <c r="S154" s="15" t="s">
        <v>151</v>
      </c>
      <c r="T154" s="15" t="s">
        <v>144</v>
      </c>
      <c r="U154" s="15">
        <v>9665525431</v>
      </c>
      <c r="V154" s="15" t="s">
        <v>64</v>
      </c>
      <c r="W154" s="46">
        <f t="shared" ca="1" si="6"/>
        <v>30</v>
      </c>
      <c r="X154" s="42">
        <f t="shared" si="7"/>
        <v>5</v>
      </c>
      <c r="Y154" s="42" t="str">
        <f t="shared" si="8"/>
        <v xml:space="preserve">On Time </v>
      </c>
    </row>
    <row r="155" spans="1:25" x14ac:dyDescent="0.5">
      <c r="A155" s="17" t="s">
        <v>824</v>
      </c>
      <c r="B155" s="17" t="s">
        <v>221</v>
      </c>
      <c r="C155" s="17" t="s">
        <v>40</v>
      </c>
      <c r="D155" s="33">
        <v>45729</v>
      </c>
      <c r="E155" s="33">
        <v>45739</v>
      </c>
      <c r="F155" s="15" t="s">
        <v>225</v>
      </c>
      <c r="G155" s="17" t="s">
        <v>76</v>
      </c>
      <c r="H155" s="37">
        <v>35048</v>
      </c>
      <c r="I155" s="17" t="s">
        <v>114</v>
      </c>
      <c r="J155" s="17" t="s">
        <v>106</v>
      </c>
      <c r="K155" s="17" t="s">
        <v>46</v>
      </c>
      <c r="L155" s="17" t="s">
        <v>47</v>
      </c>
      <c r="M155" s="17">
        <v>15</v>
      </c>
      <c r="N155" s="26">
        <v>12000</v>
      </c>
      <c r="O155" s="17">
        <v>0</v>
      </c>
      <c r="P155" s="26">
        <v>180000</v>
      </c>
      <c r="Q155" s="17">
        <v>1</v>
      </c>
      <c r="R155" s="17" t="s">
        <v>79</v>
      </c>
      <c r="S155" s="17" t="s">
        <v>61</v>
      </c>
      <c r="T155" s="15" t="s">
        <v>228</v>
      </c>
      <c r="U155" s="17">
        <v>9682415134</v>
      </c>
      <c r="V155" s="17" t="s">
        <v>64</v>
      </c>
      <c r="W155" s="47">
        <f t="shared" ca="1" si="6"/>
        <v>30</v>
      </c>
      <c r="X155" s="42">
        <f t="shared" si="7"/>
        <v>10</v>
      </c>
      <c r="Y155" s="42" t="str">
        <f t="shared" si="8"/>
        <v>Delayed</v>
      </c>
    </row>
    <row r="156" spans="1:25" x14ac:dyDescent="0.5">
      <c r="A156" s="15" t="s">
        <v>828</v>
      </c>
      <c r="B156" s="15" t="s">
        <v>23</v>
      </c>
      <c r="C156" s="15" t="s">
        <v>118</v>
      </c>
      <c r="D156" s="32">
        <v>45860</v>
      </c>
      <c r="E156" s="32">
        <v>45861</v>
      </c>
      <c r="F156" s="15" t="s">
        <v>27</v>
      </c>
      <c r="G156" s="15" t="s">
        <v>28</v>
      </c>
      <c r="H156" s="36">
        <v>27965</v>
      </c>
      <c r="I156" s="15" t="s">
        <v>44</v>
      </c>
      <c r="J156" s="15" t="s">
        <v>45</v>
      </c>
      <c r="K156" s="15" t="s">
        <v>122</v>
      </c>
      <c r="L156" s="15" t="s">
        <v>123</v>
      </c>
      <c r="M156" s="15">
        <v>14</v>
      </c>
      <c r="N156" s="25">
        <v>60</v>
      </c>
      <c r="O156" s="15">
        <v>15</v>
      </c>
      <c r="P156" s="25">
        <v>714</v>
      </c>
      <c r="Q156" s="15">
        <v>4</v>
      </c>
      <c r="R156" s="15" t="s">
        <v>88</v>
      </c>
      <c r="S156" s="15" t="s">
        <v>49</v>
      </c>
      <c r="T156" s="15" t="s">
        <v>50</v>
      </c>
      <c r="U156" s="15">
        <v>9808223872</v>
      </c>
      <c r="V156" s="15" t="s">
        <v>38</v>
      </c>
      <c r="W156" s="46">
        <f t="shared" ca="1" si="6"/>
        <v>50</v>
      </c>
      <c r="X156" s="42">
        <f t="shared" si="7"/>
        <v>1</v>
      </c>
      <c r="Y156" s="42" t="str">
        <f t="shared" si="8"/>
        <v xml:space="preserve">On Time </v>
      </c>
    </row>
    <row r="157" spans="1:25" x14ac:dyDescent="0.5">
      <c r="A157" s="17" t="s">
        <v>833</v>
      </c>
      <c r="B157" s="17" t="s">
        <v>53</v>
      </c>
      <c r="C157" s="17" t="s">
        <v>72</v>
      </c>
      <c r="D157" s="33">
        <v>45859</v>
      </c>
      <c r="E157" s="33">
        <v>45862</v>
      </c>
      <c r="F157" s="15" t="s">
        <v>163</v>
      </c>
      <c r="G157" s="17" t="s">
        <v>28</v>
      </c>
      <c r="H157" s="37">
        <v>30855</v>
      </c>
      <c r="I157" s="17" t="s">
        <v>30</v>
      </c>
      <c r="J157" s="17" t="s">
        <v>31</v>
      </c>
      <c r="K157" s="17" t="s">
        <v>46</v>
      </c>
      <c r="L157" s="17" t="s">
        <v>78</v>
      </c>
      <c r="M157" s="17">
        <v>9</v>
      </c>
      <c r="N157" s="26">
        <v>1200</v>
      </c>
      <c r="O157" s="17">
        <v>5</v>
      </c>
      <c r="P157" s="26">
        <v>10260</v>
      </c>
      <c r="Q157" s="17">
        <v>5</v>
      </c>
      <c r="R157" s="17" t="s">
        <v>48</v>
      </c>
      <c r="S157" s="17" t="s">
        <v>61</v>
      </c>
      <c r="T157" s="15" t="s">
        <v>62</v>
      </c>
      <c r="U157" s="17">
        <v>9193549730</v>
      </c>
      <c r="V157" s="17" t="s">
        <v>64</v>
      </c>
      <c r="W157" s="47">
        <f t="shared" ca="1" si="6"/>
        <v>42</v>
      </c>
      <c r="X157" s="42">
        <f t="shared" si="7"/>
        <v>3</v>
      </c>
      <c r="Y157" s="42" t="str">
        <f t="shared" si="8"/>
        <v xml:space="preserve">On Time </v>
      </c>
    </row>
    <row r="158" spans="1:25" x14ac:dyDescent="0.5">
      <c r="A158" s="15" t="s">
        <v>838</v>
      </c>
      <c r="B158" s="15" t="s">
        <v>221</v>
      </c>
      <c r="C158" s="15" t="s">
        <v>72</v>
      </c>
      <c r="D158" s="32">
        <v>45857</v>
      </c>
      <c r="E158" s="32">
        <v>45867</v>
      </c>
      <c r="F158" s="15" t="s">
        <v>225</v>
      </c>
      <c r="G158" s="15" t="s">
        <v>76</v>
      </c>
      <c r="H158" s="36">
        <v>36013</v>
      </c>
      <c r="I158" s="15" t="s">
        <v>294</v>
      </c>
      <c r="J158" s="15" t="s">
        <v>295</v>
      </c>
      <c r="K158" s="15" t="s">
        <v>46</v>
      </c>
      <c r="L158" s="15" t="s">
        <v>78</v>
      </c>
      <c r="M158" s="15">
        <v>3</v>
      </c>
      <c r="N158" s="25">
        <v>1200</v>
      </c>
      <c r="O158" s="15">
        <v>10</v>
      </c>
      <c r="P158" s="25">
        <v>3240</v>
      </c>
      <c r="Q158" s="15">
        <v>2</v>
      </c>
      <c r="R158" s="15" t="s">
        <v>79</v>
      </c>
      <c r="S158" s="15" t="s">
        <v>151</v>
      </c>
      <c r="T158" s="15" t="s">
        <v>228</v>
      </c>
      <c r="U158" s="15">
        <v>9520617130</v>
      </c>
      <c r="V158" s="15" t="s">
        <v>69</v>
      </c>
      <c r="W158" s="46">
        <f t="shared" ca="1" si="6"/>
        <v>28</v>
      </c>
      <c r="X158" s="42">
        <f t="shared" si="7"/>
        <v>10</v>
      </c>
      <c r="Y158" s="42" t="str">
        <f t="shared" si="8"/>
        <v>Delayed</v>
      </c>
    </row>
    <row r="159" spans="1:25" x14ac:dyDescent="0.5">
      <c r="A159" s="17" t="s">
        <v>842</v>
      </c>
      <c r="B159" s="17" t="s">
        <v>327</v>
      </c>
      <c r="C159" s="17" t="s">
        <v>118</v>
      </c>
      <c r="D159" s="33">
        <v>45757</v>
      </c>
      <c r="E159" s="33">
        <v>45759</v>
      </c>
      <c r="F159" s="15" t="s">
        <v>394</v>
      </c>
      <c r="G159" s="17" t="s">
        <v>76</v>
      </c>
      <c r="H159" s="37">
        <v>37060</v>
      </c>
      <c r="I159" s="17" t="s">
        <v>30</v>
      </c>
      <c r="J159" s="17" t="s">
        <v>31</v>
      </c>
      <c r="K159" s="17" t="s">
        <v>122</v>
      </c>
      <c r="L159" s="17" t="s">
        <v>123</v>
      </c>
      <c r="M159" s="17">
        <v>2</v>
      </c>
      <c r="N159" s="26">
        <v>60</v>
      </c>
      <c r="O159" s="17">
        <v>10</v>
      </c>
      <c r="P159" s="26">
        <v>108</v>
      </c>
      <c r="Q159" s="17">
        <v>2</v>
      </c>
      <c r="R159" s="17" t="s">
        <v>88</v>
      </c>
      <c r="S159" s="17" t="s">
        <v>61</v>
      </c>
      <c r="T159" s="15" t="s">
        <v>332</v>
      </c>
      <c r="U159" s="17">
        <v>9264578122</v>
      </c>
      <c r="V159" s="17" t="s">
        <v>38</v>
      </c>
      <c r="W159" s="47">
        <f t="shared" ca="1" si="6"/>
        <v>25</v>
      </c>
      <c r="X159" s="42">
        <f t="shared" si="7"/>
        <v>2</v>
      </c>
      <c r="Y159" s="42" t="str">
        <f t="shared" si="8"/>
        <v xml:space="preserve">On Time </v>
      </c>
    </row>
    <row r="160" spans="1:25" x14ac:dyDescent="0.5">
      <c r="A160" s="15" t="s">
        <v>845</v>
      </c>
      <c r="B160" s="15" t="s">
        <v>71</v>
      </c>
      <c r="C160" s="15" t="s">
        <v>92</v>
      </c>
      <c r="D160" s="32">
        <v>46155</v>
      </c>
      <c r="E160" s="32">
        <v>46165</v>
      </c>
      <c r="F160" s="15" t="s">
        <v>217</v>
      </c>
      <c r="G160" s="15" t="s">
        <v>76</v>
      </c>
      <c r="H160" s="36">
        <v>36414</v>
      </c>
      <c r="I160" s="15" t="s">
        <v>44</v>
      </c>
      <c r="J160" s="15" t="s">
        <v>45</v>
      </c>
      <c r="K160" s="15" t="s">
        <v>32</v>
      </c>
      <c r="L160" s="15" t="s">
        <v>97</v>
      </c>
      <c r="M160" s="15">
        <v>9</v>
      </c>
      <c r="N160" s="25">
        <v>3500</v>
      </c>
      <c r="O160" s="15">
        <v>20</v>
      </c>
      <c r="P160" s="25">
        <v>25200</v>
      </c>
      <c r="Q160" s="15">
        <v>1</v>
      </c>
      <c r="R160" s="15" t="s">
        <v>48</v>
      </c>
      <c r="S160" s="15" t="s">
        <v>35</v>
      </c>
      <c r="T160" s="15" t="s">
        <v>80</v>
      </c>
      <c r="U160" s="15">
        <v>9275071213</v>
      </c>
      <c r="V160" s="15" t="s">
        <v>38</v>
      </c>
      <c r="W160" s="46">
        <f t="shared" ca="1" si="6"/>
        <v>27</v>
      </c>
      <c r="X160" s="42">
        <f t="shared" si="7"/>
        <v>10</v>
      </c>
      <c r="Y160" s="42" t="str">
        <f t="shared" si="8"/>
        <v>Delayed</v>
      </c>
    </row>
    <row r="161" spans="1:25" x14ac:dyDescent="0.5">
      <c r="A161" s="17" t="s">
        <v>849</v>
      </c>
      <c r="B161" s="17" t="s">
        <v>221</v>
      </c>
      <c r="C161" s="17" t="s">
        <v>54</v>
      </c>
      <c r="D161" s="33">
        <v>46094</v>
      </c>
      <c r="E161" s="33">
        <v>46097</v>
      </c>
      <c r="F161" s="15" t="s">
        <v>225</v>
      </c>
      <c r="G161" s="17" t="s">
        <v>76</v>
      </c>
      <c r="H161" s="37">
        <v>35040</v>
      </c>
      <c r="I161" s="17" t="s">
        <v>212</v>
      </c>
      <c r="J161" s="17" t="s">
        <v>45</v>
      </c>
      <c r="K161" s="17" t="s">
        <v>46</v>
      </c>
      <c r="L161" s="17" t="s">
        <v>60</v>
      </c>
      <c r="M161" s="17">
        <v>4</v>
      </c>
      <c r="N161" s="26">
        <v>55000</v>
      </c>
      <c r="O161" s="17">
        <v>5</v>
      </c>
      <c r="P161" s="26">
        <v>209000</v>
      </c>
      <c r="Q161" s="17">
        <v>2</v>
      </c>
      <c r="R161" s="17" t="s">
        <v>34</v>
      </c>
      <c r="S161" s="17" t="s">
        <v>151</v>
      </c>
      <c r="T161" s="15" t="s">
        <v>228</v>
      </c>
      <c r="U161" s="17">
        <v>9715222543</v>
      </c>
      <c r="V161" s="17" t="s">
        <v>64</v>
      </c>
      <c r="W161" s="47">
        <f t="shared" ca="1" si="6"/>
        <v>30</v>
      </c>
      <c r="X161" s="42">
        <f t="shared" si="7"/>
        <v>3</v>
      </c>
      <c r="Y161" s="42" t="str">
        <f t="shared" si="8"/>
        <v xml:space="preserve">On Time </v>
      </c>
    </row>
    <row r="162" spans="1:25" x14ac:dyDescent="0.5">
      <c r="A162" s="15" t="s">
        <v>852</v>
      </c>
      <c r="B162" s="15" t="s">
        <v>327</v>
      </c>
      <c r="C162" s="15" t="s">
        <v>184</v>
      </c>
      <c r="D162" s="32">
        <v>45835</v>
      </c>
      <c r="E162" s="32">
        <v>45839</v>
      </c>
      <c r="F162" s="15" t="s">
        <v>394</v>
      </c>
      <c r="G162" s="15" t="s">
        <v>76</v>
      </c>
      <c r="H162" s="36">
        <v>36363</v>
      </c>
      <c r="I162" s="15" t="s">
        <v>44</v>
      </c>
      <c r="J162" s="15" t="s">
        <v>45</v>
      </c>
      <c r="K162" s="15" t="s">
        <v>46</v>
      </c>
      <c r="L162" s="15" t="s">
        <v>189</v>
      </c>
      <c r="M162" s="15">
        <v>11</v>
      </c>
      <c r="N162" s="25">
        <v>700</v>
      </c>
      <c r="O162" s="15">
        <v>20</v>
      </c>
      <c r="P162" s="25">
        <v>6160</v>
      </c>
      <c r="Q162" s="15">
        <v>4</v>
      </c>
      <c r="R162" s="15" t="s">
        <v>34</v>
      </c>
      <c r="S162" s="15" t="s">
        <v>151</v>
      </c>
      <c r="T162" s="15" t="s">
        <v>332</v>
      </c>
      <c r="U162" s="15">
        <v>9942010833</v>
      </c>
      <c r="V162" s="15" t="s">
        <v>69</v>
      </c>
      <c r="W162" s="46">
        <f t="shared" ca="1" si="6"/>
        <v>27</v>
      </c>
      <c r="X162" s="42">
        <f t="shared" si="7"/>
        <v>4</v>
      </c>
      <c r="Y162" s="42" t="str">
        <f t="shared" si="8"/>
        <v xml:space="preserve">On Time </v>
      </c>
    </row>
    <row r="163" spans="1:25" x14ac:dyDescent="0.5">
      <c r="A163" s="17" t="s">
        <v>856</v>
      </c>
      <c r="B163" s="17" t="s">
        <v>168</v>
      </c>
      <c r="C163" s="17" t="s">
        <v>72</v>
      </c>
      <c r="D163" s="33">
        <v>45980</v>
      </c>
      <c r="E163" s="33">
        <v>45990</v>
      </c>
      <c r="F163" s="15" t="s">
        <v>361</v>
      </c>
      <c r="G163" s="17" t="s">
        <v>28</v>
      </c>
      <c r="H163" s="37">
        <v>36844</v>
      </c>
      <c r="I163" s="17" t="s">
        <v>294</v>
      </c>
      <c r="J163" s="17" t="s">
        <v>295</v>
      </c>
      <c r="K163" s="17" t="s">
        <v>46</v>
      </c>
      <c r="L163" s="17" t="s">
        <v>78</v>
      </c>
      <c r="M163" s="17">
        <v>16</v>
      </c>
      <c r="N163" s="26">
        <v>1200</v>
      </c>
      <c r="O163" s="17">
        <v>5</v>
      </c>
      <c r="P163" s="26">
        <v>18240</v>
      </c>
      <c r="Q163" s="17">
        <v>1</v>
      </c>
      <c r="R163" s="17" t="s">
        <v>79</v>
      </c>
      <c r="S163" s="17" t="s">
        <v>35</v>
      </c>
      <c r="T163" s="15" t="s">
        <v>175</v>
      </c>
      <c r="U163" s="17">
        <v>9347718932</v>
      </c>
      <c r="V163" s="17" t="s">
        <v>64</v>
      </c>
      <c r="W163" s="47">
        <f t="shared" ca="1" si="6"/>
        <v>25</v>
      </c>
      <c r="X163" s="42">
        <f t="shared" si="7"/>
        <v>10</v>
      </c>
      <c r="Y163" s="42" t="str">
        <f t="shared" si="8"/>
        <v>Delayed</v>
      </c>
    </row>
    <row r="164" spans="1:25" x14ac:dyDescent="0.5">
      <c r="A164" s="15" t="s">
        <v>859</v>
      </c>
      <c r="B164" s="15" t="s">
        <v>168</v>
      </c>
      <c r="C164" s="15" t="s">
        <v>72</v>
      </c>
      <c r="D164" s="32">
        <v>45915</v>
      </c>
      <c r="E164" s="32">
        <v>45917</v>
      </c>
      <c r="F164" s="15" t="s">
        <v>361</v>
      </c>
      <c r="G164" s="15" t="s">
        <v>28</v>
      </c>
      <c r="H164" s="36">
        <v>37461</v>
      </c>
      <c r="I164" s="15" t="s">
        <v>114</v>
      </c>
      <c r="J164" s="15" t="s">
        <v>106</v>
      </c>
      <c r="K164" s="15" t="s">
        <v>46</v>
      </c>
      <c r="L164" s="15" t="s">
        <v>78</v>
      </c>
      <c r="M164" s="15">
        <v>1</v>
      </c>
      <c r="N164" s="25">
        <v>1200</v>
      </c>
      <c r="O164" s="15">
        <v>5</v>
      </c>
      <c r="P164" s="25">
        <v>1140</v>
      </c>
      <c r="Q164" s="15">
        <v>4</v>
      </c>
      <c r="R164" s="15" t="s">
        <v>79</v>
      </c>
      <c r="S164" s="15" t="s">
        <v>35</v>
      </c>
      <c r="T164" s="15" t="s">
        <v>175</v>
      </c>
      <c r="U164" s="15">
        <v>9274808844</v>
      </c>
      <c r="V164" s="15" t="s">
        <v>38</v>
      </c>
      <c r="W164" s="46">
        <f t="shared" ca="1" si="6"/>
        <v>24</v>
      </c>
      <c r="X164" s="42">
        <f t="shared" si="7"/>
        <v>2</v>
      </c>
      <c r="Y164" s="42" t="str">
        <f t="shared" si="8"/>
        <v xml:space="preserve">On Time </v>
      </c>
    </row>
    <row r="165" spans="1:25" x14ac:dyDescent="0.5">
      <c r="A165" s="17" t="s">
        <v>863</v>
      </c>
      <c r="B165" s="17" t="s">
        <v>327</v>
      </c>
      <c r="C165" s="17" t="s">
        <v>118</v>
      </c>
      <c r="D165" s="33">
        <v>45965</v>
      </c>
      <c r="E165" s="33">
        <v>45974</v>
      </c>
      <c r="F165" s="15" t="s">
        <v>394</v>
      </c>
      <c r="G165" s="17" t="s">
        <v>76</v>
      </c>
      <c r="H165" s="37">
        <v>37312</v>
      </c>
      <c r="I165" s="17" t="s">
        <v>212</v>
      </c>
      <c r="J165" s="17" t="s">
        <v>45</v>
      </c>
      <c r="K165" s="17" t="s">
        <v>122</v>
      </c>
      <c r="L165" s="17" t="s">
        <v>123</v>
      </c>
      <c r="M165" s="17">
        <v>7</v>
      </c>
      <c r="N165" s="26">
        <v>60</v>
      </c>
      <c r="O165" s="17">
        <v>0</v>
      </c>
      <c r="P165" s="26">
        <v>420</v>
      </c>
      <c r="Q165" s="17">
        <v>2</v>
      </c>
      <c r="R165" s="17" t="s">
        <v>88</v>
      </c>
      <c r="S165" s="17" t="s">
        <v>151</v>
      </c>
      <c r="T165" s="15" t="s">
        <v>332</v>
      </c>
      <c r="U165" s="17">
        <v>9798996063</v>
      </c>
      <c r="V165" s="17" t="s">
        <v>38</v>
      </c>
      <c r="W165" s="47">
        <f t="shared" ca="1" si="6"/>
        <v>24</v>
      </c>
      <c r="X165" s="42">
        <f t="shared" si="7"/>
        <v>9</v>
      </c>
      <c r="Y165" s="42" t="str">
        <f t="shared" si="8"/>
        <v>Delayed</v>
      </c>
    </row>
    <row r="166" spans="1:25" x14ac:dyDescent="0.5">
      <c r="A166" s="15" t="s">
        <v>868</v>
      </c>
      <c r="B166" s="15" t="s">
        <v>168</v>
      </c>
      <c r="C166" s="15" t="s">
        <v>24</v>
      </c>
      <c r="D166" s="32">
        <v>45660</v>
      </c>
      <c r="E166" s="32">
        <v>45664</v>
      </c>
      <c r="F166" s="15" t="s">
        <v>361</v>
      </c>
      <c r="G166" s="15" t="s">
        <v>28</v>
      </c>
      <c r="H166" s="36">
        <v>29418</v>
      </c>
      <c r="I166" s="15" t="s">
        <v>114</v>
      </c>
      <c r="J166" s="15" t="s">
        <v>106</v>
      </c>
      <c r="K166" s="15" t="s">
        <v>32</v>
      </c>
      <c r="L166" s="15" t="s">
        <v>33</v>
      </c>
      <c r="M166" s="15">
        <v>14</v>
      </c>
      <c r="N166" s="25">
        <v>2200</v>
      </c>
      <c r="O166" s="15">
        <v>0</v>
      </c>
      <c r="P166" s="25">
        <v>30800</v>
      </c>
      <c r="Q166" s="15">
        <v>2</v>
      </c>
      <c r="R166" s="15" t="s">
        <v>88</v>
      </c>
      <c r="S166" s="15" t="s">
        <v>35</v>
      </c>
      <c r="T166" s="15" t="s">
        <v>175</v>
      </c>
      <c r="U166" s="15">
        <v>9145200936</v>
      </c>
      <c r="V166" s="15" t="s">
        <v>69</v>
      </c>
      <c r="W166" s="46">
        <f t="shared" ca="1" si="6"/>
        <v>46</v>
      </c>
      <c r="X166" s="42">
        <f t="shared" si="7"/>
        <v>4</v>
      </c>
      <c r="Y166" s="42" t="str">
        <f t="shared" si="8"/>
        <v xml:space="preserve">On Time </v>
      </c>
    </row>
    <row r="167" spans="1:25" x14ac:dyDescent="0.5">
      <c r="A167" s="17" t="s">
        <v>871</v>
      </c>
      <c r="B167" s="17" t="s">
        <v>168</v>
      </c>
      <c r="C167" s="17" t="s">
        <v>92</v>
      </c>
      <c r="D167" s="33">
        <v>45827</v>
      </c>
      <c r="E167" s="33">
        <v>45835</v>
      </c>
      <c r="F167" s="15" t="s">
        <v>361</v>
      </c>
      <c r="G167" s="17" t="s">
        <v>28</v>
      </c>
      <c r="H167" s="37">
        <v>35210</v>
      </c>
      <c r="I167" s="17" t="s">
        <v>138</v>
      </c>
      <c r="J167" s="17" t="s">
        <v>106</v>
      </c>
      <c r="K167" s="17" t="s">
        <v>32</v>
      </c>
      <c r="L167" s="17" t="s">
        <v>97</v>
      </c>
      <c r="M167" s="17">
        <v>15</v>
      </c>
      <c r="N167" s="26">
        <v>3500</v>
      </c>
      <c r="O167" s="17">
        <v>15</v>
      </c>
      <c r="P167" s="26">
        <v>44625</v>
      </c>
      <c r="Q167" s="17">
        <v>2</v>
      </c>
      <c r="R167" s="17" t="s">
        <v>88</v>
      </c>
      <c r="S167" s="17" t="s">
        <v>61</v>
      </c>
      <c r="T167" s="15" t="s">
        <v>175</v>
      </c>
      <c r="U167" s="17">
        <v>9697654418</v>
      </c>
      <c r="V167" s="17" t="s">
        <v>64</v>
      </c>
      <c r="W167" s="47">
        <f t="shared" ca="1" si="6"/>
        <v>30</v>
      </c>
      <c r="X167" s="42">
        <f t="shared" si="7"/>
        <v>8</v>
      </c>
      <c r="Y167" s="42" t="str">
        <f t="shared" si="8"/>
        <v>Delayed</v>
      </c>
    </row>
    <row r="168" spans="1:25" x14ac:dyDescent="0.5">
      <c r="A168" s="15" t="s">
        <v>875</v>
      </c>
      <c r="B168" s="15" t="s">
        <v>127</v>
      </c>
      <c r="C168" s="15" t="s">
        <v>92</v>
      </c>
      <c r="D168" s="32">
        <v>45742</v>
      </c>
      <c r="E168" s="32">
        <v>45753</v>
      </c>
      <c r="F168" s="15" t="s">
        <v>200</v>
      </c>
      <c r="G168" s="15" t="s">
        <v>76</v>
      </c>
      <c r="H168" s="36">
        <v>31543</v>
      </c>
      <c r="I168" s="15" t="s">
        <v>294</v>
      </c>
      <c r="J168" s="15" t="s">
        <v>295</v>
      </c>
      <c r="K168" s="15" t="s">
        <v>32</v>
      </c>
      <c r="L168" s="15" t="s">
        <v>97</v>
      </c>
      <c r="M168" s="15">
        <v>19</v>
      </c>
      <c r="N168" s="25">
        <v>3500</v>
      </c>
      <c r="O168" s="15">
        <v>5</v>
      </c>
      <c r="P168" s="25">
        <v>63175</v>
      </c>
      <c r="Q168" s="15">
        <v>2</v>
      </c>
      <c r="R168" s="15" t="s">
        <v>34</v>
      </c>
      <c r="S168" s="15" t="s">
        <v>115</v>
      </c>
      <c r="T168" s="15" t="s">
        <v>132</v>
      </c>
      <c r="U168" s="15">
        <v>9457923119</v>
      </c>
      <c r="V168" s="15" t="s">
        <v>69</v>
      </c>
      <c r="W168" s="46">
        <f t="shared" ca="1" si="6"/>
        <v>40</v>
      </c>
      <c r="X168" s="42">
        <f t="shared" si="7"/>
        <v>11</v>
      </c>
      <c r="Y168" s="42" t="str">
        <f t="shared" si="8"/>
        <v>Delayed</v>
      </c>
    </row>
    <row r="169" spans="1:25" x14ac:dyDescent="0.5">
      <c r="A169" s="17" t="s">
        <v>880</v>
      </c>
      <c r="B169" s="17" t="s">
        <v>327</v>
      </c>
      <c r="C169" s="17" t="s">
        <v>54</v>
      </c>
      <c r="D169" s="33">
        <v>45844</v>
      </c>
      <c r="E169" s="33">
        <v>45848</v>
      </c>
      <c r="F169" s="15" t="s">
        <v>394</v>
      </c>
      <c r="G169" s="17" t="s">
        <v>76</v>
      </c>
      <c r="H169" s="37">
        <v>32653</v>
      </c>
      <c r="I169" s="17" t="s">
        <v>59</v>
      </c>
      <c r="J169" s="17" t="s">
        <v>31</v>
      </c>
      <c r="K169" s="17" t="s">
        <v>46</v>
      </c>
      <c r="L169" s="17" t="s">
        <v>60</v>
      </c>
      <c r="M169" s="17">
        <v>12</v>
      </c>
      <c r="N169" s="26">
        <v>55000</v>
      </c>
      <c r="O169" s="17">
        <v>5</v>
      </c>
      <c r="P169" s="26">
        <v>627000</v>
      </c>
      <c r="Q169" s="17">
        <v>4</v>
      </c>
      <c r="R169" s="17" t="s">
        <v>79</v>
      </c>
      <c r="S169" s="17" t="s">
        <v>61</v>
      </c>
      <c r="T169" s="15" t="s">
        <v>332</v>
      </c>
      <c r="U169" s="17">
        <v>9236111271</v>
      </c>
      <c r="V169" s="17" t="s">
        <v>69</v>
      </c>
      <c r="W169" s="47">
        <f t="shared" ca="1" si="6"/>
        <v>37</v>
      </c>
      <c r="X169" s="42">
        <f t="shared" si="7"/>
        <v>4</v>
      </c>
      <c r="Y169" s="42" t="str">
        <f t="shared" si="8"/>
        <v xml:space="preserve">On Time </v>
      </c>
    </row>
    <row r="170" spans="1:25" x14ac:dyDescent="0.5">
      <c r="A170" s="15" t="s">
        <v>884</v>
      </c>
      <c r="B170" s="15" t="s">
        <v>53</v>
      </c>
      <c r="C170" s="15" t="s">
        <v>72</v>
      </c>
      <c r="D170" s="32">
        <v>46040</v>
      </c>
      <c r="E170" s="32">
        <v>46048</v>
      </c>
      <c r="F170" s="15" t="s">
        <v>163</v>
      </c>
      <c r="G170" s="15" t="s">
        <v>28</v>
      </c>
      <c r="H170" s="36">
        <v>32745</v>
      </c>
      <c r="I170" s="15" t="s">
        <v>105</v>
      </c>
      <c r="J170" s="15" t="s">
        <v>106</v>
      </c>
      <c r="K170" s="15" t="s">
        <v>46</v>
      </c>
      <c r="L170" s="15" t="s">
        <v>78</v>
      </c>
      <c r="M170" s="15">
        <v>6</v>
      </c>
      <c r="N170" s="25">
        <v>1200</v>
      </c>
      <c r="O170" s="15">
        <v>10</v>
      </c>
      <c r="P170" s="25">
        <v>6480</v>
      </c>
      <c r="Q170" s="15">
        <v>5</v>
      </c>
      <c r="R170" s="15" t="s">
        <v>48</v>
      </c>
      <c r="S170" s="15" t="s">
        <v>115</v>
      </c>
      <c r="T170" s="15" t="s">
        <v>62</v>
      </c>
      <c r="U170" s="15">
        <v>9402569141</v>
      </c>
      <c r="V170" s="15" t="s">
        <v>69</v>
      </c>
      <c r="W170" s="46">
        <f t="shared" ca="1" si="6"/>
        <v>37</v>
      </c>
      <c r="X170" s="42">
        <f t="shared" si="7"/>
        <v>8</v>
      </c>
      <c r="Y170" s="42" t="str">
        <f t="shared" si="8"/>
        <v>Delayed</v>
      </c>
    </row>
    <row r="171" spans="1:25" x14ac:dyDescent="0.5">
      <c r="A171" s="17" t="s">
        <v>887</v>
      </c>
      <c r="B171" s="17" t="s">
        <v>251</v>
      </c>
      <c r="C171" s="17" t="s">
        <v>169</v>
      </c>
      <c r="D171" s="33">
        <v>45919</v>
      </c>
      <c r="E171" s="33">
        <v>45920</v>
      </c>
      <c r="F171" s="15" t="s">
        <v>254</v>
      </c>
      <c r="G171" s="17" t="s">
        <v>28</v>
      </c>
      <c r="H171" s="37">
        <v>35570</v>
      </c>
      <c r="I171" s="17" t="s">
        <v>30</v>
      </c>
      <c r="J171" s="17" t="s">
        <v>31</v>
      </c>
      <c r="K171" s="17" t="s">
        <v>32</v>
      </c>
      <c r="L171" s="17" t="s">
        <v>174</v>
      </c>
      <c r="M171" s="17">
        <v>1</v>
      </c>
      <c r="N171" s="26">
        <v>8500</v>
      </c>
      <c r="O171" s="17">
        <v>0</v>
      </c>
      <c r="P171" s="26">
        <v>8500</v>
      </c>
      <c r="Q171" s="17">
        <v>1</v>
      </c>
      <c r="R171" s="17" t="s">
        <v>88</v>
      </c>
      <c r="S171" s="17" t="s">
        <v>151</v>
      </c>
      <c r="T171" s="15" t="s">
        <v>256</v>
      </c>
      <c r="U171" s="17">
        <v>9138184056</v>
      </c>
      <c r="V171" s="17" t="s">
        <v>69</v>
      </c>
      <c r="W171" s="47">
        <f t="shared" ca="1" si="6"/>
        <v>29</v>
      </c>
      <c r="X171" s="42">
        <f t="shared" si="7"/>
        <v>1</v>
      </c>
      <c r="Y171" s="42" t="str">
        <f t="shared" si="8"/>
        <v xml:space="preserve">On Time </v>
      </c>
    </row>
    <row r="172" spans="1:25" x14ac:dyDescent="0.5">
      <c r="A172" s="15" t="s">
        <v>890</v>
      </c>
      <c r="B172" s="15" t="s">
        <v>127</v>
      </c>
      <c r="C172" s="15" t="s">
        <v>54</v>
      </c>
      <c r="D172" s="32">
        <v>46113</v>
      </c>
      <c r="E172" s="32">
        <v>46119</v>
      </c>
      <c r="F172" s="15" t="s">
        <v>200</v>
      </c>
      <c r="G172" s="15" t="s">
        <v>76</v>
      </c>
      <c r="H172" s="36">
        <v>31900</v>
      </c>
      <c r="I172" s="15" t="s">
        <v>138</v>
      </c>
      <c r="J172" s="15" t="s">
        <v>106</v>
      </c>
      <c r="K172" s="15" t="s">
        <v>46</v>
      </c>
      <c r="L172" s="15" t="s">
        <v>60</v>
      </c>
      <c r="M172" s="15">
        <v>20</v>
      </c>
      <c r="N172" s="25">
        <v>55000</v>
      </c>
      <c r="O172" s="15">
        <v>10</v>
      </c>
      <c r="P172" s="25">
        <v>990000</v>
      </c>
      <c r="Q172" s="15">
        <v>5</v>
      </c>
      <c r="R172" s="15" t="s">
        <v>48</v>
      </c>
      <c r="S172" s="15" t="s">
        <v>151</v>
      </c>
      <c r="T172" s="15" t="s">
        <v>132</v>
      </c>
      <c r="U172" s="15">
        <v>9609598700</v>
      </c>
      <c r="V172" s="15" t="s">
        <v>38</v>
      </c>
      <c r="W172" s="46">
        <f t="shared" ca="1" si="6"/>
        <v>39</v>
      </c>
      <c r="X172" s="42">
        <f t="shared" si="7"/>
        <v>6</v>
      </c>
      <c r="Y172" s="42" t="str">
        <f t="shared" si="8"/>
        <v>Delayed</v>
      </c>
    </row>
    <row r="173" spans="1:25" x14ac:dyDescent="0.5">
      <c r="A173" s="17" t="s">
        <v>895</v>
      </c>
      <c r="B173" s="17" t="s">
        <v>221</v>
      </c>
      <c r="C173" s="17" t="s">
        <v>72</v>
      </c>
      <c r="D173" s="33">
        <v>45958</v>
      </c>
      <c r="E173" s="33">
        <v>45959</v>
      </c>
      <c r="F173" s="15" t="s">
        <v>225</v>
      </c>
      <c r="G173" s="17" t="s">
        <v>76</v>
      </c>
      <c r="H173" s="37">
        <v>37592</v>
      </c>
      <c r="I173" s="17" t="s">
        <v>138</v>
      </c>
      <c r="J173" s="17" t="s">
        <v>106</v>
      </c>
      <c r="K173" s="17" t="s">
        <v>46</v>
      </c>
      <c r="L173" s="17" t="s">
        <v>78</v>
      </c>
      <c r="M173" s="17">
        <v>8</v>
      </c>
      <c r="N173" s="26">
        <v>1200</v>
      </c>
      <c r="O173" s="17">
        <v>15</v>
      </c>
      <c r="P173" s="26">
        <v>8160</v>
      </c>
      <c r="Q173" s="17">
        <v>2</v>
      </c>
      <c r="R173" s="17" t="s">
        <v>88</v>
      </c>
      <c r="S173" s="17" t="s">
        <v>115</v>
      </c>
      <c r="T173" s="15" t="s">
        <v>228</v>
      </c>
      <c r="U173" s="17">
        <v>9385894399</v>
      </c>
      <c r="V173" s="17" t="s">
        <v>69</v>
      </c>
      <c r="W173" s="47">
        <f t="shared" ca="1" si="6"/>
        <v>23</v>
      </c>
      <c r="X173" s="42">
        <f t="shared" si="7"/>
        <v>1</v>
      </c>
      <c r="Y173" s="42" t="str">
        <f t="shared" si="8"/>
        <v xml:space="preserve">On Time </v>
      </c>
    </row>
    <row r="174" spans="1:25" x14ac:dyDescent="0.5">
      <c r="A174" s="15" t="s">
        <v>899</v>
      </c>
      <c r="B174" s="15" t="s">
        <v>23</v>
      </c>
      <c r="C174" s="15" t="s">
        <v>92</v>
      </c>
      <c r="D174" s="32">
        <v>45694</v>
      </c>
      <c r="E174" s="32">
        <v>45705</v>
      </c>
      <c r="F174" s="15" t="s">
        <v>27</v>
      </c>
      <c r="G174" s="15" t="s">
        <v>28</v>
      </c>
      <c r="H174" s="36">
        <v>31557</v>
      </c>
      <c r="I174" s="15" t="s">
        <v>212</v>
      </c>
      <c r="J174" s="15" t="s">
        <v>45</v>
      </c>
      <c r="K174" s="15" t="s">
        <v>32</v>
      </c>
      <c r="L174" s="15" t="s">
        <v>97</v>
      </c>
      <c r="M174" s="15">
        <v>19</v>
      </c>
      <c r="N174" s="25">
        <v>3500</v>
      </c>
      <c r="O174" s="15">
        <v>5</v>
      </c>
      <c r="P174" s="25">
        <v>63175</v>
      </c>
      <c r="Q174" s="15">
        <v>4</v>
      </c>
      <c r="R174" s="15" t="s">
        <v>88</v>
      </c>
      <c r="S174" s="15" t="s">
        <v>49</v>
      </c>
      <c r="T174" s="15" t="s">
        <v>50</v>
      </c>
      <c r="U174" s="15">
        <v>9329448011</v>
      </c>
      <c r="V174" s="15" t="s">
        <v>64</v>
      </c>
      <c r="W174" s="46">
        <f t="shared" ca="1" si="6"/>
        <v>40</v>
      </c>
      <c r="X174" s="42">
        <f t="shared" si="7"/>
        <v>11</v>
      </c>
      <c r="Y174" s="42" t="str">
        <f t="shared" si="8"/>
        <v>Delayed</v>
      </c>
    </row>
    <row r="175" spans="1:25" x14ac:dyDescent="0.5">
      <c r="A175" s="17" t="s">
        <v>904</v>
      </c>
      <c r="B175" s="17" t="s">
        <v>221</v>
      </c>
      <c r="C175" s="17" t="s">
        <v>259</v>
      </c>
      <c r="D175" s="33">
        <v>45774</v>
      </c>
      <c r="E175" s="33">
        <v>45776</v>
      </c>
      <c r="F175" s="15" t="s">
        <v>225</v>
      </c>
      <c r="G175" s="17" t="s">
        <v>76</v>
      </c>
      <c r="H175" s="37">
        <v>31465</v>
      </c>
      <c r="I175" s="17" t="s">
        <v>212</v>
      </c>
      <c r="J175" s="17" t="s">
        <v>45</v>
      </c>
      <c r="K175" s="17" t="s">
        <v>122</v>
      </c>
      <c r="L175" s="17" t="s">
        <v>263</v>
      </c>
      <c r="M175" s="17">
        <v>6</v>
      </c>
      <c r="N175" s="26">
        <v>45</v>
      </c>
      <c r="O175" s="17">
        <v>20</v>
      </c>
      <c r="P175" s="26">
        <v>216</v>
      </c>
      <c r="Q175" s="17">
        <v>1</v>
      </c>
      <c r="R175" s="17" t="s">
        <v>79</v>
      </c>
      <c r="S175" s="17" t="s">
        <v>49</v>
      </c>
      <c r="T175" s="15" t="s">
        <v>2112</v>
      </c>
      <c r="U175" s="17">
        <v>9889544104</v>
      </c>
      <c r="V175" s="17" t="s">
        <v>64</v>
      </c>
      <c r="W175" s="47">
        <f t="shared" ca="1" si="6"/>
        <v>40</v>
      </c>
      <c r="X175" s="42">
        <f t="shared" si="7"/>
        <v>2</v>
      </c>
      <c r="Y175" s="42" t="str">
        <f t="shared" si="8"/>
        <v xml:space="preserve">On Time </v>
      </c>
    </row>
    <row r="176" spans="1:25" x14ac:dyDescent="0.5">
      <c r="A176" s="15" t="s">
        <v>909</v>
      </c>
      <c r="B176" s="15" t="s">
        <v>251</v>
      </c>
      <c r="C176" s="15" t="s">
        <v>259</v>
      </c>
      <c r="D176" s="32">
        <v>45730</v>
      </c>
      <c r="E176" s="32">
        <v>45741</v>
      </c>
      <c r="F176" s="15" t="s">
        <v>254</v>
      </c>
      <c r="G176" s="15" t="s">
        <v>28</v>
      </c>
      <c r="H176" s="36">
        <v>32240</v>
      </c>
      <c r="I176" s="15" t="s">
        <v>114</v>
      </c>
      <c r="J176" s="15" t="s">
        <v>106</v>
      </c>
      <c r="K176" s="15" t="s">
        <v>122</v>
      </c>
      <c r="L176" s="15" t="s">
        <v>263</v>
      </c>
      <c r="M176" s="15">
        <v>17</v>
      </c>
      <c r="N176" s="25">
        <v>45</v>
      </c>
      <c r="O176" s="15">
        <v>15</v>
      </c>
      <c r="P176" s="25">
        <v>650.25</v>
      </c>
      <c r="Q176" s="15">
        <v>5</v>
      </c>
      <c r="R176" s="15" t="s">
        <v>34</v>
      </c>
      <c r="S176" s="15" t="s">
        <v>115</v>
      </c>
      <c r="T176" s="15" t="s">
        <v>256</v>
      </c>
      <c r="U176" s="15">
        <v>9101861045</v>
      </c>
      <c r="V176" s="15" t="s">
        <v>64</v>
      </c>
      <c r="W176" s="46">
        <f t="shared" ca="1" si="6"/>
        <v>38</v>
      </c>
      <c r="X176" s="42">
        <f t="shared" si="7"/>
        <v>11</v>
      </c>
      <c r="Y176" s="42" t="str">
        <f t="shared" si="8"/>
        <v>Delayed</v>
      </c>
    </row>
    <row r="177" spans="1:25" x14ac:dyDescent="0.5">
      <c r="A177" s="17" t="s">
        <v>913</v>
      </c>
      <c r="B177" s="17" t="s">
        <v>23</v>
      </c>
      <c r="C177" s="17" t="s">
        <v>222</v>
      </c>
      <c r="D177" s="33">
        <v>45842</v>
      </c>
      <c r="E177" s="33">
        <v>45854</v>
      </c>
      <c r="F177" s="15" t="s">
        <v>27</v>
      </c>
      <c r="G177" s="17" t="s">
        <v>28</v>
      </c>
      <c r="H177" s="37">
        <v>34147</v>
      </c>
      <c r="I177" s="17" t="s">
        <v>114</v>
      </c>
      <c r="J177" s="17" t="s">
        <v>106</v>
      </c>
      <c r="K177" s="17" t="s">
        <v>122</v>
      </c>
      <c r="L177" s="17" t="s">
        <v>227</v>
      </c>
      <c r="M177" s="17">
        <v>19</v>
      </c>
      <c r="N177" s="26">
        <v>20</v>
      </c>
      <c r="O177" s="17">
        <v>5</v>
      </c>
      <c r="P177" s="26">
        <v>361</v>
      </c>
      <c r="Q177" s="17">
        <v>4</v>
      </c>
      <c r="R177" s="17" t="s">
        <v>34</v>
      </c>
      <c r="S177" s="17" t="s">
        <v>35</v>
      </c>
      <c r="T177" s="15" t="s">
        <v>50</v>
      </c>
      <c r="U177" s="17">
        <v>9364712105</v>
      </c>
      <c r="V177" s="17" t="s">
        <v>64</v>
      </c>
      <c r="W177" s="47">
        <f t="shared" ca="1" si="6"/>
        <v>33</v>
      </c>
      <c r="X177" s="42">
        <f t="shared" si="7"/>
        <v>12</v>
      </c>
      <c r="Y177" s="42" t="str">
        <f t="shared" si="8"/>
        <v>Delayed</v>
      </c>
    </row>
    <row r="178" spans="1:25" x14ac:dyDescent="0.5">
      <c r="A178" s="15" t="s">
        <v>917</v>
      </c>
      <c r="B178" s="15" t="s">
        <v>251</v>
      </c>
      <c r="C178" s="15" t="s">
        <v>222</v>
      </c>
      <c r="D178" s="32">
        <v>45993</v>
      </c>
      <c r="E178" s="32">
        <v>45994</v>
      </c>
      <c r="F178" s="15" t="s">
        <v>254</v>
      </c>
      <c r="G178" s="15" t="s">
        <v>28</v>
      </c>
      <c r="H178" s="36">
        <v>38156</v>
      </c>
      <c r="I178" s="15" t="s">
        <v>138</v>
      </c>
      <c r="J178" s="15" t="s">
        <v>106</v>
      </c>
      <c r="K178" s="15" t="s">
        <v>122</v>
      </c>
      <c r="L178" s="15" t="s">
        <v>227</v>
      </c>
      <c r="M178" s="15">
        <v>11</v>
      </c>
      <c r="N178" s="25">
        <v>20</v>
      </c>
      <c r="O178" s="15">
        <v>0</v>
      </c>
      <c r="P178" s="25">
        <v>220</v>
      </c>
      <c r="Q178" s="15">
        <v>3</v>
      </c>
      <c r="R178" s="15" t="s">
        <v>48</v>
      </c>
      <c r="S178" s="15" t="s">
        <v>49</v>
      </c>
      <c r="T178" s="15" t="s">
        <v>256</v>
      </c>
      <c r="U178" s="15">
        <v>9950206376</v>
      </c>
      <c r="V178" s="15" t="s">
        <v>38</v>
      </c>
      <c r="W178" s="46">
        <f t="shared" ca="1" si="6"/>
        <v>22</v>
      </c>
      <c r="X178" s="42">
        <f t="shared" si="7"/>
        <v>1</v>
      </c>
      <c r="Y178" s="42" t="str">
        <f t="shared" si="8"/>
        <v xml:space="preserve">On Time </v>
      </c>
    </row>
    <row r="179" spans="1:25" x14ac:dyDescent="0.5">
      <c r="A179" s="17" t="s">
        <v>922</v>
      </c>
      <c r="B179" s="17" t="s">
        <v>168</v>
      </c>
      <c r="C179" s="17" t="s">
        <v>118</v>
      </c>
      <c r="D179" s="33">
        <v>46067</v>
      </c>
      <c r="E179" s="33">
        <v>46074</v>
      </c>
      <c r="F179" s="15" t="s">
        <v>361</v>
      </c>
      <c r="G179" s="17" t="s">
        <v>28</v>
      </c>
      <c r="H179" s="37">
        <v>34221</v>
      </c>
      <c r="I179" s="17" t="s">
        <v>44</v>
      </c>
      <c r="J179" s="17" t="s">
        <v>45</v>
      </c>
      <c r="K179" s="17" t="s">
        <v>122</v>
      </c>
      <c r="L179" s="17" t="s">
        <v>123</v>
      </c>
      <c r="M179" s="17">
        <v>12</v>
      </c>
      <c r="N179" s="26">
        <v>60</v>
      </c>
      <c r="O179" s="17">
        <v>0</v>
      </c>
      <c r="P179" s="26">
        <v>720</v>
      </c>
      <c r="Q179" s="17">
        <v>2</v>
      </c>
      <c r="R179" s="17" t="s">
        <v>48</v>
      </c>
      <c r="S179" s="17" t="s">
        <v>49</v>
      </c>
      <c r="T179" s="15" t="s">
        <v>175</v>
      </c>
      <c r="U179" s="17">
        <v>9235822094</v>
      </c>
      <c r="V179" s="17" t="s">
        <v>38</v>
      </c>
      <c r="W179" s="47">
        <f t="shared" ca="1" si="6"/>
        <v>33</v>
      </c>
      <c r="X179" s="42">
        <f t="shared" si="7"/>
        <v>7</v>
      </c>
      <c r="Y179" s="42" t="str">
        <f t="shared" si="8"/>
        <v>Delayed</v>
      </c>
    </row>
    <row r="180" spans="1:25" x14ac:dyDescent="0.5">
      <c r="A180" s="15" t="s">
        <v>926</v>
      </c>
      <c r="B180" s="15" t="s">
        <v>221</v>
      </c>
      <c r="C180" s="15" t="s">
        <v>259</v>
      </c>
      <c r="D180" s="32">
        <v>45970</v>
      </c>
      <c r="E180" s="32">
        <v>45974</v>
      </c>
      <c r="F180" s="15" t="s">
        <v>103</v>
      </c>
      <c r="G180" s="15" t="s">
        <v>76</v>
      </c>
      <c r="H180" s="36">
        <v>37147</v>
      </c>
      <c r="I180" s="15" t="s">
        <v>294</v>
      </c>
      <c r="J180" s="15" t="s">
        <v>295</v>
      </c>
      <c r="K180" s="15" t="s">
        <v>122</v>
      </c>
      <c r="L180" s="15" t="s">
        <v>263</v>
      </c>
      <c r="M180" s="15">
        <v>14</v>
      </c>
      <c r="N180" s="25">
        <v>45</v>
      </c>
      <c r="O180" s="15">
        <v>15</v>
      </c>
      <c r="P180" s="25">
        <v>535.5</v>
      </c>
      <c r="Q180" s="15">
        <v>5</v>
      </c>
      <c r="R180" s="15" t="s">
        <v>88</v>
      </c>
      <c r="S180" s="15" t="s">
        <v>115</v>
      </c>
      <c r="T180" s="15" t="s">
        <v>228</v>
      </c>
      <c r="U180" s="15">
        <v>9311021344</v>
      </c>
      <c r="V180" s="15" t="s">
        <v>64</v>
      </c>
      <c r="W180" s="46">
        <f t="shared" ca="1" si="6"/>
        <v>25</v>
      </c>
      <c r="X180" s="42">
        <f t="shared" si="7"/>
        <v>4</v>
      </c>
      <c r="Y180" s="42" t="str">
        <f t="shared" si="8"/>
        <v xml:space="preserve">On Time </v>
      </c>
    </row>
    <row r="181" spans="1:25" x14ac:dyDescent="0.5">
      <c r="A181" s="17" t="s">
        <v>931</v>
      </c>
      <c r="B181" s="17" t="s">
        <v>23</v>
      </c>
      <c r="C181" s="17" t="s">
        <v>184</v>
      </c>
      <c r="D181" s="33">
        <v>45695</v>
      </c>
      <c r="E181" s="33">
        <v>45707</v>
      </c>
      <c r="F181" s="15" t="s">
        <v>27</v>
      </c>
      <c r="G181" s="17" t="s">
        <v>28</v>
      </c>
      <c r="H181" s="37">
        <v>29905</v>
      </c>
      <c r="I181" s="17" t="s">
        <v>30</v>
      </c>
      <c r="J181" s="17" t="s">
        <v>31</v>
      </c>
      <c r="K181" s="17" t="s">
        <v>46</v>
      </c>
      <c r="L181" s="17" t="s">
        <v>189</v>
      </c>
      <c r="M181" s="17">
        <v>15</v>
      </c>
      <c r="N181" s="26">
        <v>700</v>
      </c>
      <c r="O181" s="17">
        <v>10</v>
      </c>
      <c r="P181" s="26">
        <v>9450</v>
      </c>
      <c r="Q181" s="17">
        <v>3</v>
      </c>
      <c r="R181" s="17" t="s">
        <v>48</v>
      </c>
      <c r="S181" s="17" t="s">
        <v>49</v>
      </c>
      <c r="T181" s="15" t="s">
        <v>50</v>
      </c>
      <c r="U181" s="17">
        <v>9891358505</v>
      </c>
      <c r="V181" s="17" t="s">
        <v>64</v>
      </c>
      <c r="W181" s="47">
        <f t="shared" ca="1" si="6"/>
        <v>44</v>
      </c>
      <c r="X181" s="42">
        <f t="shared" si="7"/>
        <v>12</v>
      </c>
      <c r="Y181" s="42" t="str">
        <f t="shared" si="8"/>
        <v>Delayed</v>
      </c>
    </row>
    <row r="182" spans="1:25" x14ac:dyDescent="0.5">
      <c r="A182" s="15" t="s">
        <v>935</v>
      </c>
      <c r="B182" s="15" t="s">
        <v>100</v>
      </c>
      <c r="C182" s="15" t="s">
        <v>169</v>
      </c>
      <c r="D182" s="32">
        <v>45803</v>
      </c>
      <c r="E182" s="32">
        <v>45807</v>
      </c>
      <c r="F182" s="15" t="s">
        <v>103</v>
      </c>
      <c r="G182" s="15" t="s">
        <v>28</v>
      </c>
      <c r="H182" s="36">
        <v>29476</v>
      </c>
      <c r="I182" s="15" t="s">
        <v>138</v>
      </c>
      <c r="J182" s="15" t="s">
        <v>106</v>
      </c>
      <c r="K182" s="15" t="s">
        <v>32</v>
      </c>
      <c r="L182" s="15" t="s">
        <v>174</v>
      </c>
      <c r="M182" s="15">
        <v>19</v>
      </c>
      <c r="N182" s="25">
        <v>8500</v>
      </c>
      <c r="O182" s="15">
        <v>15</v>
      </c>
      <c r="P182" s="25">
        <v>137275</v>
      </c>
      <c r="Q182" s="15">
        <v>2</v>
      </c>
      <c r="R182" s="15" t="s">
        <v>34</v>
      </c>
      <c r="S182" s="15" t="s">
        <v>35</v>
      </c>
      <c r="T182" s="15" t="s">
        <v>144</v>
      </c>
      <c r="U182" s="15">
        <v>9910085332</v>
      </c>
      <c r="V182" s="15" t="s">
        <v>69</v>
      </c>
      <c r="W182" s="46">
        <f t="shared" ca="1" si="6"/>
        <v>46</v>
      </c>
      <c r="X182" s="42">
        <f t="shared" si="7"/>
        <v>4</v>
      </c>
      <c r="Y182" s="42" t="str">
        <f t="shared" si="8"/>
        <v xml:space="preserve">On Time </v>
      </c>
    </row>
    <row r="183" spans="1:25" x14ac:dyDescent="0.5">
      <c r="A183" s="17" t="s">
        <v>939</v>
      </c>
      <c r="B183" s="17" t="s">
        <v>251</v>
      </c>
      <c r="C183" s="17" t="s">
        <v>118</v>
      </c>
      <c r="D183" s="33">
        <v>45934</v>
      </c>
      <c r="E183" s="33">
        <v>45936</v>
      </c>
      <c r="F183" s="15" t="s">
        <v>254</v>
      </c>
      <c r="G183" s="17" t="s">
        <v>28</v>
      </c>
      <c r="H183" s="37">
        <v>32240</v>
      </c>
      <c r="I183" s="17" t="s">
        <v>212</v>
      </c>
      <c r="J183" s="17" t="s">
        <v>45</v>
      </c>
      <c r="K183" s="17" t="s">
        <v>122</v>
      </c>
      <c r="L183" s="17" t="s">
        <v>123</v>
      </c>
      <c r="M183" s="17">
        <v>19</v>
      </c>
      <c r="N183" s="26">
        <v>60</v>
      </c>
      <c r="O183" s="17">
        <v>20</v>
      </c>
      <c r="P183" s="26">
        <v>912</v>
      </c>
      <c r="Q183" s="17">
        <v>4</v>
      </c>
      <c r="R183" s="17" t="s">
        <v>79</v>
      </c>
      <c r="S183" s="17" t="s">
        <v>49</v>
      </c>
      <c r="T183" s="15" t="s">
        <v>256</v>
      </c>
      <c r="U183" s="17">
        <v>9756908023</v>
      </c>
      <c r="V183" s="17" t="s">
        <v>64</v>
      </c>
      <c r="W183" s="47">
        <f t="shared" ca="1" si="6"/>
        <v>38</v>
      </c>
      <c r="X183" s="42">
        <f t="shared" si="7"/>
        <v>2</v>
      </c>
      <c r="Y183" s="42" t="str">
        <f t="shared" si="8"/>
        <v xml:space="preserve">On Time </v>
      </c>
    </row>
    <row r="184" spans="1:25" x14ac:dyDescent="0.5">
      <c r="A184" s="15" t="s">
        <v>943</v>
      </c>
      <c r="B184" s="15" t="s">
        <v>100</v>
      </c>
      <c r="C184" s="15" t="s">
        <v>259</v>
      </c>
      <c r="D184" s="32">
        <v>45792</v>
      </c>
      <c r="E184" s="32">
        <v>45803</v>
      </c>
      <c r="F184" s="15" t="s">
        <v>103</v>
      </c>
      <c r="G184" s="15" t="s">
        <v>28</v>
      </c>
      <c r="H184" s="36">
        <v>32192</v>
      </c>
      <c r="I184" s="15" t="s">
        <v>59</v>
      </c>
      <c r="J184" s="15" t="s">
        <v>31</v>
      </c>
      <c r="K184" s="15" t="s">
        <v>122</v>
      </c>
      <c r="L184" s="15" t="s">
        <v>263</v>
      </c>
      <c r="M184" s="15">
        <v>10</v>
      </c>
      <c r="N184" s="25">
        <v>45</v>
      </c>
      <c r="O184" s="15">
        <v>15</v>
      </c>
      <c r="P184" s="25">
        <v>382.5</v>
      </c>
      <c r="Q184" s="15">
        <v>4</v>
      </c>
      <c r="R184" s="15" t="s">
        <v>34</v>
      </c>
      <c r="S184" s="15" t="s">
        <v>151</v>
      </c>
      <c r="T184" s="15" t="s">
        <v>144</v>
      </c>
      <c r="U184" s="15">
        <v>9645913247</v>
      </c>
      <c r="V184" s="15" t="s">
        <v>38</v>
      </c>
      <c r="W184" s="46">
        <f t="shared" ca="1" si="6"/>
        <v>38</v>
      </c>
      <c r="X184" s="42">
        <f t="shared" si="7"/>
        <v>11</v>
      </c>
      <c r="Y184" s="42" t="str">
        <f t="shared" si="8"/>
        <v>Delayed</v>
      </c>
    </row>
    <row r="185" spans="1:25" x14ac:dyDescent="0.5">
      <c r="A185" s="17" t="s">
        <v>947</v>
      </c>
      <c r="B185" s="17" t="s">
        <v>71</v>
      </c>
      <c r="C185" s="17" t="s">
        <v>24</v>
      </c>
      <c r="D185" s="33">
        <v>45822</v>
      </c>
      <c r="E185" s="33">
        <v>45831</v>
      </c>
      <c r="F185" s="15" t="s">
        <v>217</v>
      </c>
      <c r="G185" s="17" t="s">
        <v>76</v>
      </c>
      <c r="H185" s="37">
        <v>29923</v>
      </c>
      <c r="I185" s="17" t="s">
        <v>44</v>
      </c>
      <c r="J185" s="17" t="s">
        <v>45</v>
      </c>
      <c r="K185" s="17" t="s">
        <v>32</v>
      </c>
      <c r="L185" s="17" t="s">
        <v>33</v>
      </c>
      <c r="M185" s="17">
        <v>7</v>
      </c>
      <c r="N185" s="26">
        <v>2200</v>
      </c>
      <c r="O185" s="17">
        <v>20</v>
      </c>
      <c r="P185" s="26">
        <v>12320</v>
      </c>
      <c r="Q185" s="17">
        <v>5</v>
      </c>
      <c r="R185" s="17" t="s">
        <v>88</v>
      </c>
      <c r="S185" s="17" t="s">
        <v>49</v>
      </c>
      <c r="T185" s="15" t="s">
        <v>80</v>
      </c>
      <c r="U185" s="17">
        <v>9806914795</v>
      </c>
      <c r="V185" s="17" t="s">
        <v>64</v>
      </c>
      <c r="W185" s="47">
        <f t="shared" ca="1" si="6"/>
        <v>44</v>
      </c>
      <c r="X185" s="42">
        <f t="shared" si="7"/>
        <v>9</v>
      </c>
      <c r="Y185" s="42" t="str">
        <f t="shared" si="8"/>
        <v>Delayed</v>
      </c>
    </row>
    <row r="186" spans="1:25" x14ac:dyDescent="0.5">
      <c r="A186" s="15" t="s">
        <v>952</v>
      </c>
      <c r="B186" s="15" t="s">
        <v>100</v>
      </c>
      <c r="C186" s="15" t="s">
        <v>169</v>
      </c>
      <c r="D186" s="32">
        <v>45769</v>
      </c>
      <c r="E186" s="32">
        <v>45781</v>
      </c>
      <c r="F186" s="15" t="s">
        <v>103</v>
      </c>
      <c r="G186" s="15" t="s">
        <v>28</v>
      </c>
      <c r="H186" s="36">
        <v>30723</v>
      </c>
      <c r="I186" s="15" t="s">
        <v>294</v>
      </c>
      <c r="J186" s="15" t="s">
        <v>295</v>
      </c>
      <c r="K186" s="15" t="s">
        <v>32</v>
      </c>
      <c r="L186" s="15" t="s">
        <v>174</v>
      </c>
      <c r="M186" s="15">
        <v>20</v>
      </c>
      <c r="N186" s="25">
        <v>8500</v>
      </c>
      <c r="O186" s="15">
        <v>20</v>
      </c>
      <c r="P186" s="25">
        <v>136000</v>
      </c>
      <c r="Q186" s="15">
        <v>4</v>
      </c>
      <c r="R186" s="15" t="s">
        <v>48</v>
      </c>
      <c r="S186" s="15" t="s">
        <v>35</v>
      </c>
      <c r="T186" s="15" t="s">
        <v>144</v>
      </c>
      <c r="U186" s="15">
        <v>9276222829</v>
      </c>
      <c r="V186" s="15" t="s">
        <v>38</v>
      </c>
      <c r="W186" s="46">
        <f t="shared" ca="1" si="6"/>
        <v>42</v>
      </c>
      <c r="X186" s="42">
        <f t="shared" si="7"/>
        <v>12</v>
      </c>
      <c r="Y186" s="42" t="str">
        <f t="shared" si="8"/>
        <v>Delayed</v>
      </c>
    </row>
    <row r="187" spans="1:25" x14ac:dyDescent="0.5">
      <c r="A187" s="17" t="s">
        <v>956</v>
      </c>
      <c r="B187" s="17" t="s">
        <v>251</v>
      </c>
      <c r="C187" s="17" t="s">
        <v>24</v>
      </c>
      <c r="D187" s="33">
        <v>45679</v>
      </c>
      <c r="E187" s="33">
        <v>45681</v>
      </c>
      <c r="F187" s="15" t="s">
        <v>254</v>
      </c>
      <c r="G187" s="17" t="s">
        <v>28</v>
      </c>
      <c r="H187" s="37">
        <v>33579</v>
      </c>
      <c r="I187" s="17" t="s">
        <v>30</v>
      </c>
      <c r="J187" s="17" t="s">
        <v>31</v>
      </c>
      <c r="K187" s="17" t="s">
        <v>32</v>
      </c>
      <c r="L187" s="17" t="s">
        <v>33</v>
      </c>
      <c r="M187" s="17">
        <v>10</v>
      </c>
      <c r="N187" s="26">
        <v>2200</v>
      </c>
      <c r="O187" s="17">
        <v>5</v>
      </c>
      <c r="P187" s="26">
        <v>20900</v>
      </c>
      <c r="Q187" s="17">
        <v>2</v>
      </c>
      <c r="R187" s="17" t="s">
        <v>48</v>
      </c>
      <c r="S187" s="17" t="s">
        <v>49</v>
      </c>
      <c r="T187" s="15" t="s">
        <v>256</v>
      </c>
      <c r="U187" s="17">
        <v>9533835528</v>
      </c>
      <c r="V187" s="17" t="s">
        <v>38</v>
      </c>
      <c r="W187" s="47">
        <f t="shared" ca="1" si="6"/>
        <v>34</v>
      </c>
      <c r="X187" s="42">
        <f t="shared" si="7"/>
        <v>2</v>
      </c>
      <c r="Y187" s="42" t="str">
        <f t="shared" si="8"/>
        <v xml:space="preserve">On Time </v>
      </c>
    </row>
    <row r="188" spans="1:25" x14ac:dyDescent="0.5">
      <c r="A188" s="15" t="s">
        <v>960</v>
      </c>
      <c r="B188" s="15" t="s">
        <v>127</v>
      </c>
      <c r="C188" s="15" t="s">
        <v>118</v>
      </c>
      <c r="D188" s="32">
        <v>46007</v>
      </c>
      <c r="E188" s="32">
        <v>46017</v>
      </c>
      <c r="F188" s="15" t="s">
        <v>200</v>
      </c>
      <c r="G188" s="15" t="s">
        <v>76</v>
      </c>
      <c r="H188" s="36">
        <v>27811</v>
      </c>
      <c r="I188" s="15" t="s">
        <v>114</v>
      </c>
      <c r="J188" s="15" t="s">
        <v>106</v>
      </c>
      <c r="K188" s="15" t="s">
        <v>122</v>
      </c>
      <c r="L188" s="15" t="s">
        <v>123</v>
      </c>
      <c r="M188" s="15">
        <v>15</v>
      </c>
      <c r="N188" s="25">
        <v>60</v>
      </c>
      <c r="O188" s="15">
        <v>20</v>
      </c>
      <c r="P188" s="25">
        <v>720</v>
      </c>
      <c r="Q188" s="15">
        <v>1</v>
      </c>
      <c r="R188" s="15" t="s">
        <v>79</v>
      </c>
      <c r="S188" s="15" t="s">
        <v>35</v>
      </c>
      <c r="T188" s="15" t="s">
        <v>132</v>
      </c>
      <c r="U188" s="15">
        <v>9654885820</v>
      </c>
      <c r="V188" s="15" t="s">
        <v>38</v>
      </c>
      <c r="W188" s="46">
        <f t="shared" ca="1" si="6"/>
        <v>50</v>
      </c>
      <c r="X188" s="42">
        <f t="shared" si="7"/>
        <v>10</v>
      </c>
      <c r="Y188" s="42" t="str">
        <f t="shared" si="8"/>
        <v>Delayed</v>
      </c>
    </row>
    <row r="189" spans="1:25" x14ac:dyDescent="0.5">
      <c r="A189" s="17" t="s">
        <v>964</v>
      </c>
      <c r="B189" s="17" t="s">
        <v>221</v>
      </c>
      <c r="C189" s="17" t="s">
        <v>92</v>
      </c>
      <c r="D189" s="33">
        <v>45832</v>
      </c>
      <c r="E189" s="33">
        <v>45836</v>
      </c>
      <c r="F189" s="15" t="s">
        <v>225</v>
      </c>
      <c r="G189" s="17" t="s">
        <v>76</v>
      </c>
      <c r="H189" s="37">
        <v>27634</v>
      </c>
      <c r="I189" s="17" t="s">
        <v>30</v>
      </c>
      <c r="J189" s="17" t="s">
        <v>31</v>
      </c>
      <c r="K189" s="17" t="s">
        <v>32</v>
      </c>
      <c r="L189" s="17" t="s">
        <v>97</v>
      </c>
      <c r="M189" s="17">
        <v>18</v>
      </c>
      <c r="N189" s="26">
        <v>3500</v>
      </c>
      <c r="O189" s="17">
        <v>5</v>
      </c>
      <c r="P189" s="26">
        <v>59850</v>
      </c>
      <c r="Q189" s="17">
        <v>1</v>
      </c>
      <c r="R189" s="17" t="s">
        <v>79</v>
      </c>
      <c r="S189" s="17" t="s">
        <v>49</v>
      </c>
      <c r="T189" s="15" t="s">
        <v>228</v>
      </c>
      <c r="U189" s="17">
        <v>9456029544</v>
      </c>
      <c r="V189" s="17" t="s">
        <v>69</v>
      </c>
      <c r="W189" s="47">
        <f t="shared" ca="1" si="6"/>
        <v>51</v>
      </c>
      <c r="X189" s="42">
        <f t="shared" si="7"/>
        <v>4</v>
      </c>
      <c r="Y189" s="42" t="str">
        <f t="shared" si="8"/>
        <v xml:space="preserve">On Time </v>
      </c>
    </row>
    <row r="190" spans="1:25" x14ac:dyDescent="0.5">
      <c r="A190" s="15" t="s">
        <v>968</v>
      </c>
      <c r="B190" s="15" t="s">
        <v>327</v>
      </c>
      <c r="C190" s="15" t="s">
        <v>40</v>
      </c>
      <c r="D190" s="32">
        <v>46154</v>
      </c>
      <c r="E190" s="32">
        <v>46164</v>
      </c>
      <c r="F190" s="15" t="s">
        <v>394</v>
      </c>
      <c r="G190" s="15" t="s">
        <v>76</v>
      </c>
      <c r="H190" s="36">
        <v>32116</v>
      </c>
      <c r="I190" s="15" t="s">
        <v>114</v>
      </c>
      <c r="J190" s="15" t="s">
        <v>106</v>
      </c>
      <c r="K190" s="15" t="s">
        <v>46</v>
      </c>
      <c r="L190" s="15" t="s">
        <v>47</v>
      </c>
      <c r="M190" s="15">
        <v>6</v>
      </c>
      <c r="N190" s="25">
        <v>12000</v>
      </c>
      <c r="O190" s="15">
        <v>5</v>
      </c>
      <c r="P190" s="25">
        <v>68400</v>
      </c>
      <c r="Q190" s="15">
        <v>1</v>
      </c>
      <c r="R190" s="15" t="s">
        <v>48</v>
      </c>
      <c r="S190" s="15" t="s">
        <v>49</v>
      </c>
      <c r="T190" s="15" t="s">
        <v>332</v>
      </c>
      <c r="U190" s="15">
        <v>9914571493</v>
      </c>
      <c r="V190" s="15" t="s">
        <v>69</v>
      </c>
      <c r="W190" s="46">
        <f t="shared" ca="1" si="6"/>
        <v>38</v>
      </c>
      <c r="X190" s="42">
        <f t="shared" si="7"/>
        <v>10</v>
      </c>
      <c r="Y190" s="42" t="str">
        <f t="shared" si="8"/>
        <v>Delayed</v>
      </c>
    </row>
    <row r="191" spans="1:25" x14ac:dyDescent="0.5">
      <c r="A191" s="17" t="s">
        <v>973</v>
      </c>
      <c r="B191" s="17" t="s">
        <v>327</v>
      </c>
      <c r="C191" s="17" t="s">
        <v>222</v>
      </c>
      <c r="D191" s="33">
        <v>46067</v>
      </c>
      <c r="E191" s="33">
        <v>46069</v>
      </c>
      <c r="F191" s="15" t="s">
        <v>394</v>
      </c>
      <c r="G191" s="17" t="s">
        <v>76</v>
      </c>
      <c r="H191" s="37">
        <v>38225</v>
      </c>
      <c r="I191" s="17" t="s">
        <v>59</v>
      </c>
      <c r="J191" s="17" t="s">
        <v>31</v>
      </c>
      <c r="K191" s="17" t="s">
        <v>122</v>
      </c>
      <c r="L191" s="17" t="s">
        <v>227</v>
      </c>
      <c r="M191" s="17">
        <v>19</v>
      </c>
      <c r="N191" s="26">
        <v>20</v>
      </c>
      <c r="O191" s="17">
        <v>10</v>
      </c>
      <c r="P191" s="26">
        <v>342</v>
      </c>
      <c r="Q191" s="17">
        <v>2</v>
      </c>
      <c r="R191" s="17" t="s">
        <v>48</v>
      </c>
      <c r="S191" s="17" t="s">
        <v>35</v>
      </c>
      <c r="T191" s="15" t="s">
        <v>332</v>
      </c>
      <c r="U191" s="17">
        <v>9270726986</v>
      </c>
      <c r="V191" s="17" t="s">
        <v>64</v>
      </c>
      <c r="W191" s="47">
        <f t="shared" ca="1" si="6"/>
        <v>22</v>
      </c>
      <c r="X191" s="42">
        <f t="shared" si="7"/>
        <v>2</v>
      </c>
      <c r="Y191" s="42" t="str">
        <f t="shared" si="8"/>
        <v xml:space="preserve">On Time </v>
      </c>
    </row>
    <row r="192" spans="1:25" x14ac:dyDescent="0.5">
      <c r="A192" s="15" t="s">
        <v>976</v>
      </c>
      <c r="B192" s="15" t="s">
        <v>221</v>
      </c>
      <c r="C192" s="15" t="s">
        <v>24</v>
      </c>
      <c r="D192" s="32">
        <v>46155</v>
      </c>
      <c r="E192" s="32">
        <v>46162</v>
      </c>
      <c r="F192" s="15" t="s">
        <v>225</v>
      </c>
      <c r="G192" s="15" t="s">
        <v>76</v>
      </c>
      <c r="H192" s="36">
        <v>34350</v>
      </c>
      <c r="I192" s="15" t="s">
        <v>114</v>
      </c>
      <c r="J192" s="15" t="s">
        <v>106</v>
      </c>
      <c r="K192" s="15" t="s">
        <v>32</v>
      </c>
      <c r="L192" s="15" t="s">
        <v>33</v>
      </c>
      <c r="M192" s="15">
        <v>7</v>
      </c>
      <c r="N192" s="25">
        <v>2200</v>
      </c>
      <c r="O192" s="15">
        <v>0</v>
      </c>
      <c r="P192" s="25">
        <v>15400</v>
      </c>
      <c r="Q192" s="15">
        <v>1</v>
      </c>
      <c r="R192" s="15" t="s">
        <v>79</v>
      </c>
      <c r="S192" s="15" t="s">
        <v>115</v>
      </c>
      <c r="T192" s="15" t="s">
        <v>228</v>
      </c>
      <c r="U192" s="15">
        <v>9570080664</v>
      </c>
      <c r="V192" s="15" t="s">
        <v>69</v>
      </c>
      <c r="W192" s="46">
        <f t="shared" ca="1" si="6"/>
        <v>32</v>
      </c>
      <c r="X192" s="42">
        <f t="shared" si="7"/>
        <v>7</v>
      </c>
      <c r="Y192" s="42" t="str">
        <f t="shared" si="8"/>
        <v>Delayed</v>
      </c>
    </row>
    <row r="193" spans="1:25" x14ac:dyDescent="0.5">
      <c r="A193" s="17" t="s">
        <v>979</v>
      </c>
      <c r="B193" s="17" t="s">
        <v>327</v>
      </c>
      <c r="C193" s="17" t="s">
        <v>40</v>
      </c>
      <c r="D193" s="33">
        <v>45977</v>
      </c>
      <c r="E193" s="33">
        <v>45981</v>
      </c>
      <c r="F193" s="15" t="s">
        <v>394</v>
      </c>
      <c r="G193" s="17" t="s">
        <v>76</v>
      </c>
      <c r="H193" s="37">
        <v>37922</v>
      </c>
      <c r="I193" s="17" t="s">
        <v>212</v>
      </c>
      <c r="J193" s="17" t="s">
        <v>45</v>
      </c>
      <c r="K193" s="17" t="s">
        <v>46</v>
      </c>
      <c r="L193" s="17" t="s">
        <v>47</v>
      </c>
      <c r="M193" s="17">
        <v>3</v>
      </c>
      <c r="N193" s="26">
        <v>12000</v>
      </c>
      <c r="O193" s="17">
        <v>5</v>
      </c>
      <c r="P193" s="26">
        <v>34200</v>
      </c>
      <c r="Q193" s="17">
        <v>3</v>
      </c>
      <c r="R193" s="17" t="s">
        <v>79</v>
      </c>
      <c r="S193" s="17" t="s">
        <v>61</v>
      </c>
      <c r="T193" s="15" t="s">
        <v>332</v>
      </c>
      <c r="U193" s="17">
        <v>9109009524</v>
      </c>
      <c r="V193" s="17" t="s">
        <v>69</v>
      </c>
      <c r="W193" s="47">
        <f t="shared" ca="1" si="6"/>
        <v>22</v>
      </c>
      <c r="X193" s="42">
        <f t="shared" si="7"/>
        <v>4</v>
      </c>
      <c r="Y193" s="42" t="str">
        <f t="shared" si="8"/>
        <v xml:space="preserve">On Time </v>
      </c>
    </row>
    <row r="194" spans="1:25" x14ac:dyDescent="0.5">
      <c r="A194" s="15" t="s">
        <v>983</v>
      </c>
      <c r="B194" s="15" t="s">
        <v>168</v>
      </c>
      <c r="C194" s="15" t="s">
        <v>24</v>
      </c>
      <c r="D194" s="32">
        <v>45953</v>
      </c>
      <c r="E194" s="32">
        <v>45965</v>
      </c>
      <c r="F194" s="15" t="s">
        <v>361</v>
      </c>
      <c r="G194" s="15" t="s">
        <v>28</v>
      </c>
      <c r="H194" s="36">
        <v>36662</v>
      </c>
      <c r="I194" s="15" t="s">
        <v>212</v>
      </c>
      <c r="J194" s="15" t="s">
        <v>45</v>
      </c>
      <c r="K194" s="15" t="s">
        <v>32</v>
      </c>
      <c r="L194" s="15" t="s">
        <v>33</v>
      </c>
      <c r="M194" s="15">
        <v>16</v>
      </c>
      <c r="N194" s="25">
        <v>2200</v>
      </c>
      <c r="O194" s="15">
        <v>0</v>
      </c>
      <c r="P194" s="25">
        <v>35200</v>
      </c>
      <c r="Q194" s="15">
        <v>5</v>
      </c>
      <c r="R194" s="15" t="s">
        <v>79</v>
      </c>
      <c r="S194" s="15" t="s">
        <v>35</v>
      </c>
      <c r="T194" s="15" t="s">
        <v>175</v>
      </c>
      <c r="U194" s="15">
        <v>9701276770</v>
      </c>
      <c r="V194" s="15" t="s">
        <v>64</v>
      </c>
      <c r="W194" s="46">
        <f t="shared" ca="1" si="6"/>
        <v>26</v>
      </c>
      <c r="X194" s="42">
        <f t="shared" si="7"/>
        <v>12</v>
      </c>
      <c r="Y194" s="42" t="str">
        <f t="shared" si="8"/>
        <v>Delayed</v>
      </c>
    </row>
    <row r="195" spans="1:25" x14ac:dyDescent="0.5">
      <c r="A195" s="17" t="s">
        <v>986</v>
      </c>
      <c r="B195" s="17" t="s">
        <v>251</v>
      </c>
      <c r="C195" s="17" t="s">
        <v>24</v>
      </c>
      <c r="D195" s="33">
        <v>45704</v>
      </c>
      <c r="E195" s="33">
        <v>45706</v>
      </c>
      <c r="F195" s="15" t="s">
        <v>254</v>
      </c>
      <c r="G195" s="17" t="s">
        <v>28</v>
      </c>
      <c r="H195" s="37">
        <v>32693</v>
      </c>
      <c r="I195" s="17" t="s">
        <v>44</v>
      </c>
      <c r="J195" s="17" t="s">
        <v>45</v>
      </c>
      <c r="K195" s="17" t="s">
        <v>32</v>
      </c>
      <c r="L195" s="17" t="s">
        <v>33</v>
      </c>
      <c r="M195" s="17">
        <v>8</v>
      </c>
      <c r="N195" s="26">
        <v>2200</v>
      </c>
      <c r="O195" s="17">
        <v>5</v>
      </c>
      <c r="P195" s="26">
        <v>16720</v>
      </c>
      <c r="Q195" s="17">
        <v>2</v>
      </c>
      <c r="R195" s="17" t="s">
        <v>88</v>
      </c>
      <c r="S195" s="17" t="s">
        <v>151</v>
      </c>
      <c r="T195" s="15" t="s">
        <v>256</v>
      </c>
      <c r="U195" s="17">
        <v>9298278507</v>
      </c>
      <c r="V195" s="17" t="s">
        <v>38</v>
      </c>
      <c r="W195" s="47">
        <f t="shared" ref="W195:W258" ca="1" si="9">DATEDIF(H195, TODAY(), "y")</f>
        <v>37</v>
      </c>
      <c r="X195" s="42">
        <f t="shared" ref="X195:X258" si="10">IF(OR(ISBLANK(D195), ISBLANK(E195)), "Not Available", E195-D195)</f>
        <v>2</v>
      </c>
      <c r="Y195" s="42" t="str">
        <f t="shared" ref="Y195:Y258" si="11">IF(ISBLANK(E195), "Pending", IF(E195-D195&lt;=5, "On Time ",  "Delayed"))</f>
        <v xml:space="preserve">On Time </v>
      </c>
    </row>
    <row r="196" spans="1:25" x14ac:dyDescent="0.5">
      <c r="A196" s="15" t="s">
        <v>991</v>
      </c>
      <c r="B196" s="15" t="s">
        <v>251</v>
      </c>
      <c r="C196" s="15" t="s">
        <v>24</v>
      </c>
      <c r="D196" s="32">
        <v>46002</v>
      </c>
      <c r="E196" s="32">
        <v>46005</v>
      </c>
      <c r="F196" s="15" t="s">
        <v>254</v>
      </c>
      <c r="G196" s="15" t="s">
        <v>28</v>
      </c>
      <c r="H196" s="36">
        <v>35863</v>
      </c>
      <c r="I196" s="15" t="s">
        <v>138</v>
      </c>
      <c r="J196" s="15" t="s">
        <v>106</v>
      </c>
      <c r="K196" s="15" t="s">
        <v>32</v>
      </c>
      <c r="L196" s="15" t="s">
        <v>33</v>
      </c>
      <c r="M196" s="15">
        <v>10</v>
      </c>
      <c r="N196" s="25">
        <v>2200</v>
      </c>
      <c r="O196" s="15">
        <v>10</v>
      </c>
      <c r="P196" s="25">
        <v>19800</v>
      </c>
      <c r="Q196" s="15">
        <v>5</v>
      </c>
      <c r="R196" s="15" t="s">
        <v>48</v>
      </c>
      <c r="S196" s="15" t="s">
        <v>115</v>
      </c>
      <c r="T196" s="15" t="s">
        <v>256</v>
      </c>
      <c r="U196" s="15">
        <v>9895908093</v>
      </c>
      <c r="V196" s="15" t="s">
        <v>64</v>
      </c>
      <c r="W196" s="46">
        <f t="shared" ca="1" si="9"/>
        <v>28</v>
      </c>
      <c r="X196" s="42">
        <f t="shared" si="10"/>
        <v>3</v>
      </c>
      <c r="Y196" s="42" t="str">
        <f t="shared" si="11"/>
        <v xml:space="preserve">On Time </v>
      </c>
    </row>
    <row r="197" spans="1:25" x14ac:dyDescent="0.5">
      <c r="A197" s="17" t="s">
        <v>994</v>
      </c>
      <c r="B197" s="17" t="s">
        <v>83</v>
      </c>
      <c r="C197" s="17" t="s">
        <v>222</v>
      </c>
      <c r="D197" s="33">
        <v>45775</v>
      </c>
      <c r="E197" s="33">
        <v>45786</v>
      </c>
      <c r="F197" s="15" t="s">
        <v>180</v>
      </c>
      <c r="G197" s="17" t="s">
        <v>76</v>
      </c>
      <c r="H197" s="37">
        <v>32284</v>
      </c>
      <c r="I197" s="17" t="s">
        <v>44</v>
      </c>
      <c r="J197" s="17" t="s">
        <v>45</v>
      </c>
      <c r="K197" s="17" t="s">
        <v>122</v>
      </c>
      <c r="L197" s="17" t="s">
        <v>227</v>
      </c>
      <c r="M197" s="17">
        <v>7</v>
      </c>
      <c r="N197" s="26">
        <v>20</v>
      </c>
      <c r="O197" s="17">
        <v>10</v>
      </c>
      <c r="P197" s="26">
        <v>126</v>
      </c>
      <c r="Q197" s="17">
        <v>4</v>
      </c>
      <c r="R197" s="17" t="s">
        <v>79</v>
      </c>
      <c r="S197" s="17" t="s">
        <v>61</v>
      </c>
      <c r="T197" s="15" t="s">
        <v>89</v>
      </c>
      <c r="U197" s="17">
        <v>9734108795</v>
      </c>
      <c r="V197" s="17" t="s">
        <v>38</v>
      </c>
      <c r="W197" s="47">
        <f t="shared" ca="1" si="9"/>
        <v>38</v>
      </c>
      <c r="X197" s="42">
        <f t="shared" si="10"/>
        <v>11</v>
      </c>
      <c r="Y197" s="42" t="str">
        <f t="shared" si="11"/>
        <v>Delayed</v>
      </c>
    </row>
    <row r="198" spans="1:25" x14ac:dyDescent="0.5">
      <c r="A198" s="15" t="s">
        <v>997</v>
      </c>
      <c r="B198" s="15" t="s">
        <v>221</v>
      </c>
      <c r="C198" s="15" t="s">
        <v>169</v>
      </c>
      <c r="D198" s="32">
        <v>46033</v>
      </c>
      <c r="E198" s="32">
        <v>46036</v>
      </c>
      <c r="F198" s="15" t="s">
        <v>225</v>
      </c>
      <c r="G198" s="15" t="s">
        <v>76</v>
      </c>
      <c r="H198" s="36">
        <v>34533</v>
      </c>
      <c r="I198" s="15" t="s">
        <v>30</v>
      </c>
      <c r="J198" s="15" t="s">
        <v>31</v>
      </c>
      <c r="K198" s="15" t="s">
        <v>32</v>
      </c>
      <c r="L198" s="15" t="s">
        <v>174</v>
      </c>
      <c r="M198" s="15">
        <v>19</v>
      </c>
      <c r="N198" s="25">
        <v>8500</v>
      </c>
      <c r="O198" s="15">
        <v>20</v>
      </c>
      <c r="P198" s="25">
        <v>129200</v>
      </c>
      <c r="Q198" s="15">
        <v>3</v>
      </c>
      <c r="R198" s="15" t="s">
        <v>48</v>
      </c>
      <c r="S198" s="15" t="s">
        <v>61</v>
      </c>
      <c r="T198" s="15" t="s">
        <v>228</v>
      </c>
      <c r="U198" s="15">
        <v>9799597413</v>
      </c>
      <c r="V198" s="15" t="s">
        <v>64</v>
      </c>
      <c r="W198" s="46">
        <f t="shared" ca="1" si="9"/>
        <v>32</v>
      </c>
      <c r="X198" s="42">
        <f t="shared" si="10"/>
        <v>3</v>
      </c>
      <c r="Y198" s="42" t="str">
        <f t="shared" si="11"/>
        <v xml:space="preserve">On Time </v>
      </c>
    </row>
    <row r="199" spans="1:25" x14ac:dyDescent="0.5">
      <c r="A199" s="17" t="s">
        <v>1001</v>
      </c>
      <c r="B199" s="17" t="s">
        <v>100</v>
      </c>
      <c r="C199" s="17" t="s">
        <v>118</v>
      </c>
      <c r="D199" s="33">
        <v>45717</v>
      </c>
      <c r="E199" s="33">
        <v>45722</v>
      </c>
      <c r="F199" s="15" t="s">
        <v>103</v>
      </c>
      <c r="G199" s="17" t="s">
        <v>28</v>
      </c>
      <c r="H199" s="37">
        <v>28444</v>
      </c>
      <c r="I199" s="17" t="s">
        <v>114</v>
      </c>
      <c r="J199" s="17" t="s">
        <v>106</v>
      </c>
      <c r="K199" s="17" t="s">
        <v>122</v>
      </c>
      <c r="L199" s="17" t="s">
        <v>123</v>
      </c>
      <c r="M199" s="17">
        <v>16</v>
      </c>
      <c r="N199" s="26">
        <v>60</v>
      </c>
      <c r="O199" s="17">
        <v>0</v>
      </c>
      <c r="P199" s="26">
        <v>960</v>
      </c>
      <c r="Q199" s="17">
        <v>2</v>
      </c>
      <c r="R199" s="17" t="s">
        <v>48</v>
      </c>
      <c r="S199" s="17" t="s">
        <v>115</v>
      </c>
      <c r="T199" s="15" t="s">
        <v>144</v>
      </c>
      <c r="U199" s="17">
        <v>9688987266</v>
      </c>
      <c r="V199" s="17" t="s">
        <v>38</v>
      </c>
      <c r="W199" s="47">
        <f t="shared" ca="1" si="9"/>
        <v>48</v>
      </c>
      <c r="X199" s="42">
        <f t="shared" si="10"/>
        <v>5</v>
      </c>
      <c r="Y199" s="42" t="str">
        <f t="shared" si="11"/>
        <v xml:space="preserve">On Time </v>
      </c>
    </row>
    <row r="200" spans="1:25" x14ac:dyDescent="0.5">
      <c r="A200" s="15" t="s">
        <v>1004</v>
      </c>
      <c r="B200" s="15" t="s">
        <v>221</v>
      </c>
      <c r="C200" s="15" t="s">
        <v>92</v>
      </c>
      <c r="D200" s="32">
        <v>46127</v>
      </c>
      <c r="E200" s="32">
        <v>46139</v>
      </c>
      <c r="F200" s="15" t="s">
        <v>225</v>
      </c>
      <c r="G200" s="15" t="s">
        <v>76</v>
      </c>
      <c r="H200" s="36">
        <v>30216</v>
      </c>
      <c r="I200" s="15" t="s">
        <v>59</v>
      </c>
      <c r="J200" s="15" t="s">
        <v>31</v>
      </c>
      <c r="K200" s="15" t="s">
        <v>1007</v>
      </c>
      <c r="L200" s="15" t="s">
        <v>97</v>
      </c>
      <c r="M200" s="15">
        <v>18</v>
      </c>
      <c r="N200" s="25">
        <v>3500</v>
      </c>
      <c r="O200" s="15">
        <v>5</v>
      </c>
      <c r="P200" s="25">
        <v>59850</v>
      </c>
      <c r="Q200" s="15">
        <v>1</v>
      </c>
      <c r="R200" s="15" t="s">
        <v>88</v>
      </c>
      <c r="S200" s="15" t="s">
        <v>115</v>
      </c>
      <c r="T200" s="15" t="s">
        <v>228</v>
      </c>
      <c r="U200" s="15">
        <v>9867169037</v>
      </c>
      <c r="V200" s="15" t="s">
        <v>64</v>
      </c>
      <c r="W200" s="46">
        <f t="shared" ca="1" si="9"/>
        <v>44</v>
      </c>
      <c r="X200" s="42">
        <f t="shared" si="10"/>
        <v>12</v>
      </c>
      <c r="Y200" s="42" t="str">
        <f t="shared" si="11"/>
        <v>Delayed</v>
      </c>
    </row>
    <row r="201" spans="1:25" x14ac:dyDescent="0.5">
      <c r="A201" s="17" t="s">
        <v>1009</v>
      </c>
      <c r="B201" s="17" t="s">
        <v>100</v>
      </c>
      <c r="C201" s="17" t="s">
        <v>54</v>
      </c>
      <c r="D201" s="33">
        <v>45708</v>
      </c>
      <c r="E201" s="33">
        <v>45717</v>
      </c>
      <c r="F201" s="15" t="s">
        <v>103</v>
      </c>
      <c r="G201" s="17" t="s">
        <v>28</v>
      </c>
      <c r="H201" s="37">
        <v>34591</v>
      </c>
      <c r="I201" s="17" t="s">
        <v>212</v>
      </c>
      <c r="J201" s="17" t="s">
        <v>45</v>
      </c>
      <c r="K201" s="17" t="s">
        <v>46</v>
      </c>
      <c r="L201" s="17" t="s">
        <v>60</v>
      </c>
      <c r="M201" s="17">
        <v>16</v>
      </c>
      <c r="N201" s="26">
        <v>55000</v>
      </c>
      <c r="O201" s="17">
        <v>0</v>
      </c>
      <c r="P201" s="26">
        <v>880000</v>
      </c>
      <c r="Q201" s="17">
        <v>1</v>
      </c>
      <c r="R201" s="17" t="s">
        <v>79</v>
      </c>
      <c r="S201" s="17" t="s">
        <v>61</v>
      </c>
      <c r="T201" s="15" t="s">
        <v>144</v>
      </c>
      <c r="U201" s="17">
        <v>9485547425</v>
      </c>
      <c r="V201" s="17" t="s">
        <v>69</v>
      </c>
      <c r="W201" s="47">
        <f t="shared" ca="1" si="9"/>
        <v>32</v>
      </c>
      <c r="X201" s="42">
        <f t="shared" si="10"/>
        <v>9</v>
      </c>
      <c r="Y201" s="42" t="str">
        <f t="shared" si="11"/>
        <v>Delayed</v>
      </c>
    </row>
    <row r="202" spans="1:25" x14ac:dyDescent="0.5">
      <c r="A202" s="15" t="s">
        <v>1013</v>
      </c>
      <c r="B202" s="15" t="s">
        <v>221</v>
      </c>
      <c r="C202" s="15" t="s">
        <v>72</v>
      </c>
      <c r="D202" s="32">
        <v>45694</v>
      </c>
      <c r="E202" s="32">
        <v>45697</v>
      </c>
      <c r="F202" s="15" t="s">
        <v>225</v>
      </c>
      <c r="G202" s="15" t="s">
        <v>76</v>
      </c>
      <c r="H202" s="36">
        <v>35035</v>
      </c>
      <c r="I202" s="15" t="s">
        <v>138</v>
      </c>
      <c r="J202" s="15" t="s">
        <v>106</v>
      </c>
      <c r="K202" s="15" t="s">
        <v>46</v>
      </c>
      <c r="L202" s="15" t="s">
        <v>78</v>
      </c>
      <c r="M202" s="15">
        <v>18</v>
      </c>
      <c r="N202" s="25">
        <v>1200</v>
      </c>
      <c r="O202" s="15">
        <v>15</v>
      </c>
      <c r="P202" s="25">
        <v>18360</v>
      </c>
      <c r="Q202" s="15">
        <v>2</v>
      </c>
      <c r="R202" s="15" t="s">
        <v>48</v>
      </c>
      <c r="S202" s="15" t="s">
        <v>35</v>
      </c>
      <c r="T202" s="15" t="s">
        <v>228</v>
      </c>
      <c r="U202" s="15">
        <v>9889733076</v>
      </c>
      <c r="V202" s="15" t="s">
        <v>69</v>
      </c>
      <c r="W202" s="46">
        <f t="shared" ca="1" si="9"/>
        <v>30</v>
      </c>
      <c r="X202" s="42">
        <f t="shared" si="10"/>
        <v>3</v>
      </c>
      <c r="Y202" s="42" t="str">
        <f t="shared" si="11"/>
        <v xml:space="preserve">On Time </v>
      </c>
    </row>
    <row r="203" spans="1:25" x14ac:dyDescent="0.5">
      <c r="A203" s="17" t="s">
        <v>1016</v>
      </c>
      <c r="B203" s="17" t="s">
        <v>71</v>
      </c>
      <c r="C203" s="17" t="s">
        <v>259</v>
      </c>
      <c r="D203" s="33">
        <v>45801</v>
      </c>
      <c r="E203" s="33">
        <v>45804</v>
      </c>
      <c r="F203" s="15" t="s">
        <v>217</v>
      </c>
      <c r="G203" s="17" t="s">
        <v>76</v>
      </c>
      <c r="H203" s="37">
        <v>31238</v>
      </c>
      <c r="I203" s="17" t="s">
        <v>30</v>
      </c>
      <c r="J203" s="17" t="s">
        <v>31</v>
      </c>
      <c r="K203" s="17" t="s">
        <v>122</v>
      </c>
      <c r="L203" s="17" t="s">
        <v>263</v>
      </c>
      <c r="M203" s="17">
        <v>2</v>
      </c>
      <c r="N203" s="26">
        <v>45</v>
      </c>
      <c r="O203" s="17">
        <v>15</v>
      </c>
      <c r="P203" s="26">
        <v>76.5</v>
      </c>
      <c r="Q203" s="17">
        <v>5</v>
      </c>
      <c r="R203" s="17" t="s">
        <v>34</v>
      </c>
      <c r="S203" s="17" t="s">
        <v>61</v>
      </c>
      <c r="T203" s="15" t="s">
        <v>80</v>
      </c>
      <c r="U203" s="17">
        <v>9145434449</v>
      </c>
      <c r="V203" s="17" t="s">
        <v>69</v>
      </c>
      <c r="W203" s="47">
        <f t="shared" ca="1" si="9"/>
        <v>41</v>
      </c>
      <c r="X203" s="42">
        <f t="shared" si="10"/>
        <v>3</v>
      </c>
      <c r="Y203" s="42" t="str">
        <f t="shared" si="11"/>
        <v xml:space="preserve">On Time </v>
      </c>
    </row>
    <row r="204" spans="1:25" x14ac:dyDescent="0.5">
      <c r="A204" s="15" t="s">
        <v>1021</v>
      </c>
      <c r="B204" s="15" t="s">
        <v>53</v>
      </c>
      <c r="C204" s="15" t="s">
        <v>169</v>
      </c>
      <c r="D204" s="32">
        <v>46028</v>
      </c>
      <c r="E204" s="32">
        <v>46034</v>
      </c>
      <c r="F204" s="15" t="s">
        <v>163</v>
      </c>
      <c r="G204" s="15" t="s">
        <v>28</v>
      </c>
      <c r="H204" s="36">
        <v>36975</v>
      </c>
      <c r="I204" s="15" t="s">
        <v>59</v>
      </c>
      <c r="J204" s="15" t="s">
        <v>31</v>
      </c>
      <c r="K204" s="15" t="s">
        <v>32</v>
      </c>
      <c r="L204" s="15" t="s">
        <v>174</v>
      </c>
      <c r="M204" s="15">
        <v>20</v>
      </c>
      <c r="N204" s="25">
        <v>8500</v>
      </c>
      <c r="O204" s="15">
        <v>0</v>
      </c>
      <c r="P204" s="25">
        <v>170000</v>
      </c>
      <c r="Q204" s="15">
        <v>4</v>
      </c>
      <c r="R204" s="15" t="s">
        <v>48</v>
      </c>
      <c r="S204" s="15" t="s">
        <v>61</v>
      </c>
      <c r="T204" s="15" t="s">
        <v>62</v>
      </c>
      <c r="U204" s="15">
        <v>9598942148</v>
      </c>
      <c r="V204" s="15" t="s">
        <v>69</v>
      </c>
      <c r="W204" s="46">
        <f t="shared" ca="1" si="9"/>
        <v>25</v>
      </c>
      <c r="X204" s="42">
        <f t="shared" si="10"/>
        <v>6</v>
      </c>
      <c r="Y204" s="42" t="str">
        <f t="shared" si="11"/>
        <v>Delayed</v>
      </c>
    </row>
    <row r="205" spans="1:25" x14ac:dyDescent="0.5">
      <c r="A205" s="17" t="s">
        <v>1024</v>
      </c>
      <c r="B205" s="17" t="s">
        <v>127</v>
      </c>
      <c r="C205" s="17" t="s">
        <v>92</v>
      </c>
      <c r="D205" s="33">
        <v>46089</v>
      </c>
      <c r="E205" s="33">
        <v>46090</v>
      </c>
      <c r="F205" s="15" t="s">
        <v>200</v>
      </c>
      <c r="G205" s="17" t="s">
        <v>76</v>
      </c>
      <c r="H205" s="37">
        <v>29703</v>
      </c>
      <c r="I205" s="17" t="s">
        <v>212</v>
      </c>
      <c r="J205" s="17" t="s">
        <v>45</v>
      </c>
      <c r="K205" s="17" t="s">
        <v>32</v>
      </c>
      <c r="L205" s="17" t="s">
        <v>97</v>
      </c>
      <c r="M205" s="17">
        <v>6</v>
      </c>
      <c r="N205" s="26">
        <v>3500</v>
      </c>
      <c r="O205" s="17">
        <v>5</v>
      </c>
      <c r="P205" s="26">
        <v>19950</v>
      </c>
      <c r="Q205" s="17">
        <v>1</v>
      </c>
      <c r="R205" s="17" t="s">
        <v>34</v>
      </c>
      <c r="S205" s="17" t="s">
        <v>151</v>
      </c>
      <c r="T205" s="15" t="s">
        <v>132</v>
      </c>
      <c r="U205" s="17">
        <v>9599252705</v>
      </c>
      <c r="V205" s="17" t="s">
        <v>38</v>
      </c>
      <c r="W205" s="47">
        <f t="shared" ca="1" si="9"/>
        <v>45</v>
      </c>
      <c r="X205" s="42">
        <f t="shared" si="10"/>
        <v>1</v>
      </c>
      <c r="Y205" s="42" t="str">
        <f t="shared" si="11"/>
        <v xml:space="preserve">On Time </v>
      </c>
    </row>
    <row r="206" spans="1:25" x14ac:dyDescent="0.5">
      <c r="A206" s="15" t="s">
        <v>1027</v>
      </c>
      <c r="B206" s="15" t="s">
        <v>168</v>
      </c>
      <c r="C206" s="15" t="s">
        <v>259</v>
      </c>
      <c r="D206" s="32">
        <v>45935</v>
      </c>
      <c r="E206" s="32">
        <v>45939</v>
      </c>
      <c r="F206" s="15" t="s">
        <v>361</v>
      </c>
      <c r="G206" s="15" t="s">
        <v>28</v>
      </c>
      <c r="H206" s="36">
        <v>37635</v>
      </c>
      <c r="I206" s="15" t="s">
        <v>114</v>
      </c>
      <c r="J206" s="15" t="s">
        <v>106</v>
      </c>
      <c r="K206" s="15" t="s">
        <v>122</v>
      </c>
      <c r="L206" s="15" t="s">
        <v>263</v>
      </c>
      <c r="M206" s="15">
        <v>8</v>
      </c>
      <c r="N206" s="25">
        <v>45</v>
      </c>
      <c r="O206" s="15">
        <v>5</v>
      </c>
      <c r="P206" s="25">
        <v>342</v>
      </c>
      <c r="Q206" s="15">
        <v>2</v>
      </c>
      <c r="R206" s="15" t="s">
        <v>34</v>
      </c>
      <c r="S206" s="15" t="s">
        <v>49</v>
      </c>
      <c r="T206" s="15" t="s">
        <v>175</v>
      </c>
      <c r="U206" s="15">
        <v>9626843681</v>
      </c>
      <c r="V206" s="15" t="s">
        <v>64</v>
      </c>
      <c r="W206" s="46">
        <f t="shared" ca="1" si="9"/>
        <v>23</v>
      </c>
      <c r="X206" s="42">
        <f t="shared" si="10"/>
        <v>4</v>
      </c>
      <c r="Y206" s="42" t="str">
        <f t="shared" si="11"/>
        <v xml:space="preserve">On Time </v>
      </c>
    </row>
    <row r="207" spans="1:25" x14ac:dyDescent="0.5">
      <c r="A207" s="17" t="s">
        <v>1030</v>
      </c>
      <c r="B207" s="17" t="s">
        <v>327</v>
      </c>
      <c r="C207" s="17" t="s">
        <v>24</v>
      </c>
      <c r="D207" s="33">
        <v>45722</v>
      </c>
      <c r="E207" s="33">
        <v>45728</v>
      </c>
      <c r="F207" s="15" t="s">
        <v>394</v>
      </c>
      <c r="G207" s="17" t="s">
        <v>76</v>
      </c>
      <c r="H207" s="37">
        <v>29496</v>
      </c>
      <c r="I207" s="17" t="s">
        <v>105</v>
      </c>
      <c r="J207" s="17" t="s">
        <v>106</v>
      </c>
      <c r="K207" s="17" t="s">
        <v>32</v>
      </c>
      <c r="L207" s="17" t="s">
        <v>33</v>
      </c>
      <c r="M207" s="17">
        <v>18</v>
      </c>
      <c r="N207" s="26">
        <v>2200</v>
      </c>
      <c r="O207" s="17">
        <v>15</v>
      </c>
      <c r="P207" s="26">
        <v>33660</v>
      </c>
      <c r="Q207" s="17">
        <v>4</v>
      </c>
      <c r="R207" s="17" t="s">
        <v>79</v>
      </c>
      <c r="S207" s="17" t="s">
        <v>61</v>
      </c>
      <c r="T207" s="15" t="s">
        <v>332</v>
      </c>
      <c r="U207" s="17">
        <v>9934933215</v>
      </c>
      <c r="V207" s="17" t="s">
        <v>64</v>
      </c>
      <c r="W207" s="47">
        <f t="shared" ca="1" si="9"/>
        <v>46</v>
      </c>
      <c r="X207" s="42">
        <f t="shared" si="10"/>
        <v>6</v>
      </c>
      <c r="Y207" s="42" t="str">
        <f t="shared" si="11"/>
        <v>Delayed</v>
      </c>
    </row>
    <row r="208" spans="1:25" x14ac:dyDescent="0.5">
      <c r="A208" s="15" t="s">
        <v>1034</v>
      </c>
      <c r="B208" s="15" t="s">
        <v>221</v>
      </c>
      <c r="C208" s="15" t="s">
        <v>184</v>
      </c>
      <c r="D208" s="32">
        <v>46118</v>
      </c>
      <c r="E208" s="32">
        <v>46127</v>
      </c>
      <c r="F208" s="15" t="s">
        <v>225</v>
      </c>
      <c r="G208" s="15" t="s">
        <v>76</v>
      </c>
      <c r="H208" s="36">
        <v>33170</v>
      </c>
      <c r="I208" s="15" t="s">
        <v>30</v>
      </c>
      <c r="J208" s="15" t="s">
        <v>31</v>
      </c>
      <c r="K208" s="15" t="s">
        <v>46</v>
      </c>
      <c r="L208" s="15" t="s">
        <v>189</v>
      </c>
      <c r="M208" s="15">
        <v>18</v>
      </c>
      <c r="N208" s="25">
        <v>700</v>
      </c>
      <c r="O208" s="15">
        <v>15</v>
      </c>
      <c r="P208" s="25">
        <v>10710</v>
      </c>
      <c r="Q208" s="15">
        <v>3</v>
      </c>
      <c r="R208" s="15" t="s">
        <v>79</v>
      </c>
      <c r="S208" s="15" t="s">
        <v>151</v>
      </c>
      <c r="T208" s="15" t="s">
        <v>228</v>
      </c>
      <c r="U208" s="15">
        <v>9508025585</v>
      </c>
      <c r="V208" s="15" t="s">
        <v>69</v>
      </c>
      <c r="W208" s="46">
        <f t="shared" ca="1" si="9"/>
        <v>35</v>
      </c>
      <c r="X208" s="42">
        <f t="shared" si="10"/>
        <v>9</v>
      </c>
      <c r="Y208" s="42" t="str">
        <f t="shared" si="11"/>
        <v>Delayed</v>
      </c>
    </row>
    <row r="209" spans="1:25" x14ac:dyDescent="0.5">
      <c r="A209" s="17" t="s">
        <v>1038</v>
      </c>
      <c r="B209" s="17" t="s">
        <v>327</v>
      </c>
      <c r="C209" s="17" t="s">
        <v>54</v>
      </c>
      <c r="D209" s="33">
        <v>46039</v>
      </c>
      <c r="E209" s="33">
        <v>46042</v>
      </c>
      <c r="F209" s="15" t="s">
        <v>394</v>
      </c>
      <c r="G209" s="17" t="s">
        <v>76</v>
      </c>
      <c r="H209" s="37">
        <v>28392</v>
      </c>
      <c r="I209" s="17" t="s">
        <v>114</v>
      </c>
      <c r="J209" s="17" t="s">
        <v>106</v>
      </c>
      <c r="K209" s="17" t="s">
        <v>46</v>
      </c>
      <c r="L209" s="17" t="s">
        <v>60</v>
      </c>
      <c r="M209" s="17">
        <v>12</v>
      </c>
      <c r="N209" s="26">
        <v>55000</v>
      </c>
      <c r="O209" s="17">
        <v>0</v>
      </c>
      <c r="P209" s="26">
        <v>660000</v>
      </c>
      <c r="Q209" s="17">
        <v>2</v>
      </c>
      <c r="R209" s="17" t="s">
        <v>88</v>
      </c>
      <c r="S209" s="17" t="s">
        <v>49</v>
      </c>
      <c r="T209" s="15" t="s">
        <v>332</v>
      </c>
      <c r="U209" s="17">
        <v>9364681052</v>
      </c>
      <c r="V209" s="17" t="s">
        <v>69</v>
      </c>
      <c r="W209" s="47">
        <f t="shared" ca="1" si="9"/>
        <v>49</v>
      </c>
      <c r="X209" s="42">
        <f t="shared" si="10"/>
        <v>3</v>
      </c>
      <c r="Y209" s="42" t="str">
        <f t="shared" si="11"/>
        <v xml:space="preserve">On Time </v>
      </c>
    </row>
    <row r="210" spans="1:25" x14ac:dyDescent="0.5">
      <c r="A210" s="15" t="s">
        <v>1043</v>
      </c>
      <c r="B210" s="15" t="s">
        <v>23</v>
      </c>
      <c r="C210" s="15" t="s">
        <v>40</v>
      </c>
      <c r="D210" s="32">
        <v>45976</v>
      </c>
      <c r="E210" s="32">
        <v>45985</v>
      </c>
      <c r="F210" s="15" t="s">
        <v>27</v>
      </c>
      <c r="G210" s="15" t="s">
        <v>28</v>
      </c>
      <c r="H210" s="36">
        <v>35340</v>
      </c>
      <c r="I210" s="15" t="s">
        <v>105</v>
      </c>
      <c r="J210" s="15" t="s">
        <v>106</v>
      </c>
      <c r="K210" s="15" t="s">
        <v>46</v>
      </c>
      <c r="L210" s="15" t="s">
        <v>47</v>
      </c>
      <c r="M210" s="15">
        <v>7</v>
      </c>
      <c r="N210" s="25">
        <v>12000</v>
      </c>
      <c r="O210" s="15">
        <v>5</v>
      </c>
      <c r="P210" s="25">
        <v>79800</v>
      </c>
      <c r="Q210" s="15">
        <v>3</v>
      </c>
      <c r="R210" s="15" t="s">
        <v>79</v>
      </c>
      <c r="S210" s="15" t="s">
        <v>151</v>
      </c>
      <c r="T210" s="15" t="s">
        <v>50</v>
      </c>
      <c r="U210" s="15">
        <v>9117102884</v>
      </c>
      <c r="V210" s="15" t="s">
        <v>64</v>
      </c>
      <c r="W210" s="46">
        <f t="shared" ca="1" si="9"/>
        <v>30</v>
      </c>
      <c r="X210" s="42">
        <f t="shared" si="10"/>
        <v>9</v>
      </c>
      <c r="Y210" s="42" t="str">
        <f t="shared" si="11"/>
        <v>Delayed</v>
      </c>
    </row>
    <row r="211" spans="1:25" x14ac:dyDescent="0.5">
      <c r="A211" s="17" t="s">
        <v>1047</v>
      </c>
      <c r="B211" s="17" t="s">
        <v>251</v>
      </c>
      <c r="C211" s="17" t="s">
        <v>40</v>
      </c>
      <c r="D211" s="33">
        <v>45921</v>
      </c>
      <c r="E211" s="33">
        <v>45923</v>
      </c>
      <c r="F211" s="15" t="s">
        <v>254</v>
      </c>
      <c r="G211" s="17" t="s">
        <v>28</v>
      </c>
      <c r="H211" s="37">
        <v>27897</v>
      </c>
      <c r="I211" s="17" t="s">
        <v>105</v>
      </c>
      <c r="J211" s="17" t="s">
        <v>106</v>
      </c>
      <c r="K211" s="17" t="s">
        <v>46</v>
      </c>
      <c r="L211" s="17" t="s">
        <v>47</v>
      </c>
      <c r="M211" s="17">
        <v>8</v>
      </c>
      <c r="N211" s="26">
        <v>12000</v>
      </c>
      <c r="O211" s="17">
        <v>15</v>
      </c>
      <c r="P211" s="26">
        <v>81600</v>
      </c>
      <c r="Q211" s="17">
        <v>4</v>
      </c>
      <c r="R211" s="17" t="s">
        <v>79</v>
      </c>
      <c r="S211" s="17" t="s">
        <v>49</v>
      </c>
      <c r="T211" s="15" t="s">
        <v>256</v>
      </c>
      <c r="U211" s="17">
        <v>9819453185</v>
      </c>
      <c r="V211" s="17" t="s">
        <v>38</v>
      </c>
      <c r="W211" s="47">
        <f t="shared" ca="1" si="9"/>
        <v>50</v>
      </c>
      <c r="X211" s="42">
        <f t="shared" si="10"/>
        <v>2</v>
      </c>
      <c r="Y211" s="42" t="str">
        <f t="shared" si="11"/>
        <v xml:space="preserve">On Time </v>
      </c>
    </row>
    <row r="212" spans="1:25" x14ac:dyDescent="0.5">
      <c r="A212" s="15" t="s">
        <v>1051</v>
      </c>
      <c r="B212" s="15" t="s">
        <v>327</v>
      </c>
      <c r="C212" s="15" t="s">
        <v>92</v>
      </c>
      <c r="D212" s="32">
        <v>46009</v>
      </c>
      <c r="E212" s="32">
        <v>46018</v>
      </c>
      <c r="F212" s="15" t="s">
        <v>394</v>
      </c>
      <c r="G212" s="15" t="s">
        <v>76</v>
      </c>
      <c r="H212" s="36">
        <v>32120</v>
      </c>
      <c r="I212" s="15" t="s">
        <v>105</v>
      </c>
      <c r="J212" s="15" t="s">
        <v>106</v>
      </c>
      <c r="K212" s="15" t="s">
        <v>32</v>
      </c>
      <c r="L212" s="15" t="s">
        <v>97</v>
      </c>
      <c r="M212" s="15">
        <v>19</v>
      </c>
      <c r="N212" s="25">
        <v>3500</v>
      </c>
      <c r="O212" s="15">
        <v>5</v>
      </c>
      <c r="P212" s="25">
        <v>63175</v>
      </c>
      <c r="Q212" s="15">
        <v>3</v>
      </c>
      <c r="R212" s="15" t="s">
        <v>79</v>
      </c>
      <c r="S212" s="15" t="s">
        <v>61</v>
      </c>
      <c r="T212" s="15" t="s">
        <v>332</v>
      </c>
      <c r="U212" s="15">
        <v>9511806701</v>
      </c>
      <c r="V212" s="15" t="s">
        <v>64</v>
      </c>
      <c r="W212" s="46">
        <f t="shared" ca="1" si="9"/>
        <v>38</v>
      </c>
      <c r="X212" s="42">
        <f t="shared" si="10"/>
        <v>9</v>
      </c>
      <c r="Y212" s="42" t="str">
        <f t="shared" si="11"/>
        <v>Delayed</v>
      </c>
    </row>
    <row r="213" spans="1:25" x14ac:dyDescent="0.5">
      <c r="A213" s="17" t="s">
        <v>1055</v>
      </c>
      <c r="B213" s="17" t="s">
        <v>251</v>
      </c>
      <c r="C213" s="17" t="s">
        <v>259</v>
      </c>
      <c r="D213" s="33">
        <v>45694</v>
      </c>
      <c r="E213" s="33">
        <v>45704</v>
      </c>
      <c r="F213" s="15" t="s">
        <v>254</v>
      </c>
      <c r="G213" s="17" t="s">
        <v>28</v>
      </c>
      <c r="H213" s="37">
        <v>33070</v>
      </c>
      <c r="I213" s="17" t="s">
        <v>138</v>
      </c>
      <c r="J213" s="17" t="s">
        <v>106</v>
      </c>
      <c r="K213" s="17" t="s">
        <v>122</v>
      </c>
      <c r="L213" s="17" t="s">
        <v>263</v>
      </c>
      <c r="M213" s="17">
        <v>7</v>
      </c>
      <c r="N213" s="26">
        <v>45</v>
      </c>
      <c r="O213" s="17">
        <v>5</v>
      </c>
      <c r="P213" s="26">
        <v>299.25</v>
      </c>
      <c r="Q213" s="17">
        <v>3</v>
      </c>
      <c r="R213" s="17" t="s">
        <v>79</v>
      </c>
      <c r="S213" s="17" t="s">
        <v>35</v>
      </c>
      <c r="T213" s="15" t="s">
        <v>256</v>
      </c>
      <c r="U213" s="17">
        <v>9875249891</v>
      </c>
      <c r="V213" s="17" t="s">
        <v>69</v>
      </c>
      <c r="W213" s="47">
        <f t="shared" ca="1" si="9"/>
        <v>36</v>
      </c>
      <c r="X213" s="42">
        <f t="shared" si="10"/>
        <v>10</v>
      </c>
      <c r="Y213" s="42" t="str">
        <f t="shared" si="11"/>
        <v>Delayed</v>
      </c>
    </row>
    <row r="214" spans="1:25" x14ac:dyDescent="0.5">
      <c r="A214" s="15" t="s">
        <v>1058</v>
      </c>
      <c r="B214" s="15" t="s">
        <v>23</v>
      </c>
      <c r="C214" s="15" t="s">
        <v>118</v>
      </c>
      <c r="D214" s="32">
        <v>45810</v>
      </c>
      <c r="E214" s="32">
        <v>45816</v>
      </c>
      <c r="F214" s="15" t="s">
        <v>27</v>
      </c>
      <c r="G214" s="15" t="s">
        <v>28</v>
      </c>
      <c r="H214" s="36">
        <v>33459</v>
      </c>
      <c r="I214" s="15" t="s">
        <v>30</v>
      </c>
      <c r="J214" s="15" t="s">
        <v>31</v>
      </c>
      <c r="K214" s="15" t="s">
        <v>122</v>
      </c>
      <c r="L214" s="15" t="s">
        <v>123</v>
      </c>
      <c r="M214" s="15">
        <v>3</v>
      </c>
      <c r="N214" s="25">
        <v>60</v>
      </c>
      <c r="O214" s="15">
        <v>15</v>
      </c>
      <c r="P214" s="25">
        <v>153</v>
      </c>
      <c r="Q214" s="15">
        <v>3</v>
      </c>
      <c r="R214" s="15" t="s">
        <v>48</v>
      </c>
      <c r="S214" s="15" t="s">
        <v>49</v>
      </c>
      <c r="T214" s="15" t="s">
        <v>50</v>
      </c>
      <c r="U214" s="15">
        <v>9438232503</v>
      </c>
      <c r="V214" s="15" t="s">
        <v>69</v>
      </c>
      <c r="W214" s="46">
        <f t="shared" ca="1" si="9"/>
        <v>35</v>
      </c>
      <c r="X214" s="42">
        <f t="shared" si="10"/>
        <v>6</v>
      </c>
      <c r="Y214" s="42" t="str">
        <f t="shared" si="11"/>
        <v>Delayed</v>
      </c>
    </row>
    <row r="215" spans="1:25" x14ac:dyDescent="0.5">
      <c r="A215" s="17" t="s">
        <v>1060</v>
      </c>
      <c r="B215" s="17" t="s">
        <v>53</v>
      </c>
      <c r="C215" s="17" t="s">
        <v>259</v>
      </c>
      <c r="D215" s="33">
        <v>46134</v>
      </c>
      <c r="E215" s="33">
        <v>46146</v>
      </c>
      <c r="F215" s="15" t="s">
        <v>163</v>
      </c>
      <c r="G215" s="17" t="s">
        <v>28</v>
      </c>
      <c r="H215" s="37">
        <v>28485</v>
      </c>
      <c r="I215" s="17" t="s">
        <v>114</v>
      </c>
      <c r="J215" s="17" t="s">
        <v>106</v>
      </c>
      <c r="K215" s="17" t="s">
        <v>122</v>
      </c>
      <c r="L215" s="17" t="s">
        <v>263</v>
      </c>
      <c r="M215" s="17">
        <v>19</v>
      </c>
      <c r="N215" s="26">
        <v>45</v>
      </c>
      <c r="O215" s="17">
        <v>0</v>
      </c>
      <c r="P215" s="26">
        <v>855</v>
      </c>
      <c r="Q215" s="17">
        <v>2</v>
      </c>
      <c r="R215" s="17" t="s">
        <v>34</v>
      </c>
      <c r="S215" s="17" t="s">
        <v>61</v>
      </c>
      <c r="T215" s="15" t="s">
        <v>62</v>
      </c>
      <c r="U215" s="17">
        <v>9449953754</v>
      </c>
      <c r="V215" s="17" t="s">
        <v>38</v>
      </c>
      <c r="W215" s="47">
        <f t="shared" ca="1" si="9"/>
        <v>48</v>
      </c>
      <c r="X215" s="42">
        <f t="shared" si="10"/>
        <v>12</v>
      </c>
      <c r="Y215" s="42" t="str">
        <f t="shared" si="11"/>
        <v>Delayed</v>
      </c>
    </row>
    <row r="216" spans="1:25" x14ac:dyDescent="0.5">
      <c r="A216" s="15" t="s">
        <v>1064</v>
      </c>
      <c r="B216" s="15" t="s">
        <v>100</v>
      </c>
      <c r="C216" s="15" t="s">
        <v>40</v>
      </c>
      <c r="D216" s="32">
        <v>46087</v>
      </c>
      <c r="E216" s="32">
        <v>46097</v>
      </c>
      <c r="F216" s="15" t="s">
        <v>103</v>
      </c>
      <c r="G216" s="15" t="s">
        <v>28</v>
      </c>
      <c r="H216" s="36">
        <v>34854</v>
      </c>
      <c r="I216" s="15" t="s">
        <v>59</v>
      </c>
      <c r="J216" s="15" t="s">
        <v>31</v>
      </c>
      <c r="K216" s="15" t="s">
        <v>46</v>
      </c>
      <c r="L216" s="15" t="s">
        <v>47</v>
      </c>
      <c r="M216" s="15">
        <v>10</v>
      </c>
      <c r="N216" s="25">
        <v>12000</v>
      </c>
      <c r="O216" s="15">
        <v>5</v>
      </c>
      <c r="P216" s="25">
        <v>114000</v>
      </c>
      <c r="Q216" s="15">
        <v>1</v>
      </c>
      <c r="R216" s="15" t="s">
        <v>79</v>
      </c>
      <c r="S216" s="15" t="s">
        <v>115</v>
      </c>
      <c r="T216" s="15" t="s">
        <v>144</v>
      </c>
      <c r="U216" s="15">
        <v>9833801891</v>
      </c>
      <c r="V216" s="15" t="s">
        <v>69</v>
      </c>
      <c r="W216" s="46">
        <f t="shared" ca="1" si="9"/>
        <v>31</v>
      </c>
      <c r="X216" s="42">
        <f t="shared" si="10"/>
        <v>10</v>
      </c>
      <c r="Y216" s="42" t="str">
        <f t="shared" si="11"/>
        <v>Delayed</v>
      </c>
    </row>
    <row r="217" spans="1:25" x14ac:dyDescent="0.5">
      <c r="A217" s="17" t="s">
        <v>1068</v>
      </c>
      <c r="B217" s="17" t="s">
        <v>23</v>
      </c>
      <c r="C217" s="17" t="s">
        <v>72</v>
      </c>
      <c r="D217" s="33">
        <v>45716</v>
      </c>
      <c r="E217" s="33">
        <v>45728</v>
      </c>
      <c r="F217" s="15" t="s">
        <v>27</v>
      </c>
      <c r="G217" s="17" t="s">
        <v>28</v>
      </c>
      <c r="H217" s="37">
        <v>30636</v>
      </c>
      <c r="I217" s="17" t="s">
        <v>294</v>
      </c>
      <c r="J217" s="17" t="s">
        <v>295</v>
      </c>
      <c r="K217" s="17" t="s">
        <v>46</v>
      </c>
      <c r="L217" s="17" t="s">
        <v>78</v>
      </c>
      <c r="M217" s="17">
        <v>4</v>
      </c>
      <c r="N217" s="26">
        <v>1200</v>
      </c>
      <c r="O217" s="17">
        <v>0</v>
      </c>
      <c r="P217" s="26">
        <v>4800</v>
      </c>
      <c r="Q217" s="17">
        <v>4</v>
      </c>
      <c r="R217" s="17" t="s">
        <v>34</v>
      </c>
      <c r="S217" s="17" t="s">
        <v>61</v>
      </c>
      <c r="T217" s="15" t="s">
        <v>50</v>
      </c>
      <c r="U217" s="17">
        <v>9183949273</v>
      </c>
      <c r="V217" s="17" t="s">
        <v>38</v>
      </c>
      <c r="W217" s="47">
        <f t="shared" ca="1" si="9"/>
        <v>42</v>
      </c>
      <c r="X217" s="42">
        <f t="shared" si="10"/>
        <v>12</v>
      </c>
      <c r="Y217" s="42" t="str">
        <f t="shared" si="11"/>
        <v>Delayed</v>
      </c>
    </row>
    <row r="218" spans="1:25" x14ac:dyDescent="0.5">
      <c r="A218" s="15" t="s">
        <v>1072</v>
      </c>
      <c r="B218" s="15" t="s">
        <v>221</v>
      </c>
      <c r="C218" s="15" t="s">
        <v>169</v>
      </c>
      <c r="D218" s="32">
        <v>45961</v>
      </c>
      <c r="E218" s="32">
        <v>45968</v>
      </c>
      <c r="F218" s="15" t="s">
        <v>225</v>
      </c>
      <c r="G218" s="15" t="s">
        <v>76</v>
      </c>
      <c r="H218" s="36">
        <v>31330</v>
      </c>
      <c r="I218" s="15" t="s">
        <v>59</v>
      </c>
      <c r="J218" s="15" t="s">
        <v>31</v>
      </c>
      <c r="K218" s="15" t="s">
        <v>32</v>
      </c>
      <c r="L218" s="15" t="s">
        <v>174</v>
      </c>
      <c r="M218" s="15">
        <v>2</v>
      </c>
      <c r="N218" s="25">
        <v>8500</v>
      </c>
      <c r="O218" s="15">
        <v>20</v>
      </c>
      <c r="P218" s="25">
        <v>13600</v>
      </c>
      <c r="Q218" s="15">
        <v>3</v>
      </c>
      <c r="R218" s="15" t="s">
        <v>79</v>
      </c>
      <c r="S218" s="15" t="s">
        <v>151</v>
      </c>
      <c r="T218" s="15" t="s">
        <v>228</v>
      </c>
      <c r="U218" s="15">
        <v>9168257367</v>
      </c>
      <c r="V218" s="15" t="s">
        <v>38</v>
      </c>
      <c r="W218" s="46">
        <f t="shared" ca="1" si="9"/>
        <v>41</v>
      </c>
      <c r="X218" s="42">
        <f t="shared" si="10"/>
        <v>7</v>
      </c>
      <c r="Y218" s="42" t="str">
        <f t="shared" si="11"/>
        <v>Delayed</v>
      </c>
    </row>
    <row r="219" spans="1:25" x14ac:dyDescent="0.5">
      <c r="A219" s="17" t="s">
        <v>1076</v>
      </c>
      <c r="B219" s="17" t="s">
        <v>83</v>
      </c>
      <c r="C219" s="17" t="s">
        <v>184</v>
      </c>
      <c r="D219" s="33">
        <v>46052</v>
      </c>
      <c r="E219" s="33">
        <v>46061</v>
      </c>
      <c r="F219" s="15" t="s">
        <v>180</v>
      </c>
      <c r="G219" s="17" t="s">
        <v>76</v>
      </c>
      <c r="H219" s="37">
        <v>37263</v>
      </c>
      <c r="I219" s="17" t="s">
        <v>294</v>
      </c>
      <c r="J219" s="17" t="s">
        <v>295</v>
      </c>
      <c r="K219" s="17" t="s">
        <v>46</v>
      </c>
      <c r="L219" s="17" t="s">
        <v>189</v>
      </c>
      <c r="M219" s="17">
        <v>7</v>
      </c>
      <c r="N219" s="26">
        <v>700</v>
      </c>
      <c r="O219" s="17">
        <v>20</v>
      </c>
      <c r="P219" s="26">
        <v>3920</v>
      </c>
      <c r="Q219" s="17">
        <v>2</v>
      </c>
      <c r="R219" s="17" t="s">
        <v>79</v>
      </c>
      <c r="S219" s="17" t="s">
        <v>151</v>
      </c>
      <c r="T219" s="15" t="s">
        <v>89</v>
      </c>
      <c r="U219" s="17">
        <v>9580903210</v>
      </c>
      <c r="V219" s="17" t="s">
        <v>64</v>
      </c>
      <c r="W219" s="47">
        <f t="shared" ca="1" si="9"/>
        <v>24</v>
      </c>
      <c r="X219" s="42">
        <f t="shared" si="10"/>
        <v>9</v>
      </c>
      <c r="Y219" s="42" t="str">
        <f t="shared" si="11"/>
        <v>Delayed</v>
      </c>
    </row>
    <row r="220" spans="1:25" x14ac:dyDescent="0.5">
      <c r="A220" s="15" t="s">
        <v>1080</v>
      </c>
      <c r="B220" s="15" t="s">
        <v>53</v>
      </c>
      <c r="C220" s="15" t="s">
        <v>222</v>
      </c>
      <c r="D220" s="32">
        <v>46141</v>
      </c>
      <c r="E220" s="32">
        <v>46145</v>
      </c>
      <c r="F220" s="15" t="s">
        <v>163</v>
      </c>
      <c r="G220" s="15" t="s">
        <v>28</v>
      </c>
      <c r="H220" s="36">
        <v>36359</v>
      </c>
      <c r="I220" s="15" t="s">
        <v>114</v>
      </c>
      <c r="J220" s="15" t="s">
        <v>106</v>
      </c>
      <c r="K220" s="15" t="s">
        <v>122</v>
      </c>
      <c r="L220" s="15" t="s">
        <v>227</v>
      </c>
      <c r="M220" s="15">
        <v>9</v>
      </c>
      <c r="N220" s="25">
        <v>20</v>
      </c>
      <c r="O220" s="15">
        <v>15</v>
      </c>
      <c r="P220" s="25">
        <v>153</v>
      </c>
      <c r="Q220" s="15">
        <v>3</v>
      </c>
      <c r="R220" s="15" t="s">
        <v>48</v>
      </c>
      <c r="S220" s="15" t="s">
        <v>115</v>
      </c>
      <c r="T220" s="15" t="s">
        <v>62</v>
      </c>
      <c r="U220" s="15">
        <v>9602152945</v>
      </c>
      <c r="V220" s="15" t="s">
        <v>38</v>
      </c>
      <c r="W220" s="46">
        <f t="shared" ca="1" si="9"/>
        <v>27</v>
      </c>
      <c r="X220" s="42">
        <f t="shared" si="10"/>
        <v>4</v>
      </c>
      <c r="Y220" s="42" t="str">
        <f t="shared" si="11"/>
        <v xml:space="preserve">On Time </v>
      </c>
    </row>
    <row r="221" spans="1:25" x14ac:dyDescent="0.5">
      <c r="A221" s="17" t="s">
        <v>1084</v>
      </c>
      <c r="B221" s="17" t="s">
        <v>100</v>
      </c>
      <c r="C221" s="17" t="s">
        <v>169</v>
      </c>
      <c r="D221" s="33">
        <v>45795</v>
      </c>
      <c r="E221" s="33">
        <v>45797</v>
      </c>
      <c r="F221" s="15" t="s">
        <v>103</v>
      </c>
      <c r="G221" s="17" t="s">
        <v>28</v>
      </c>
      <c r="H221" s="37">
        <v>33118</v>
      </c>
      <c r="I221" s="17" t="s">
        <v>294</v>
      </c>
      <c r="J221" s="17" t="s">
        <v>295</v>
      </c>
      <c r="K221" s="17" t="s">
        <v>32</v>
      </c>
      <c r="L221" s="17" t="s">
        <v>174</v>
      </c>
      <c r="M221" s="17">
        <v>16</v>
      </c>
      <c r="N221" s="26">
        <v>8500</v>
      </c>
      <c r="O221" s="17">
        <v>0</v>
      </c>
      <c r="P221" s="26">
        <v>136000</v>
      </c>
      <c r="Q221" s="17">
        <v>4</v>
      </c>
      <c r="R221" s="17" t="s">
        <v>48</v>
      </c>
      <c r="S221" s="17" t="s">
        <v>35</v>
      </c>
      <c r="T221" s="15" t="s">
        <v>144</v>
      </c>
      <c r="U221" s="17">
        <v>9646917552</v>
      </c>
      <c r="V221" s="17" t="s">
        <v>38</v>
      </c>
      <c r="W221" s="47">
        <f t="shared" ca="1" si="9"/>
        <v>36</v>
      </c>
      <c r="X221" s="42">
        <f t="shared" si="10"/>
        <v>2</v>
      </c>
      <c r="Y221" s="42" t="str">
        <f t="shared" si="11"/>
        <v xml:space="preserve">On Time </v>
      </c>
    </row>
    <row r="222" spans="1:25" x14ac:dyDescent="0.5">
      <c r="A222" s="15" t="s">
        <v>1089</v>
      </c>
      <c r="B222" s="15" t="s">
        <v>251</v>
      </c>
      <c r="C222" s="15" t="s">
        <v>92</v>
      </c>
      <c r="D222" s="32">
        <v>46107</v>
      </c>
      <c r="E222" s="32">
        <v>46109</v>
      </c>
      <c r="F222" s="15" t="s">
        <v>254</v>
      </c>
      <c r="G222" s="15" t="s">
        <v>28</v>
      </c>
      <c r="H222" s="36">
        <v>33818</v>
      </c>
      <c r="I222" s="15" t="s">
        <v>44</v>
      </c>
      <c r="J222" s="15" t="s">
        <v>45</v>
      </c>
      <c r="K222" s="15" t="s">
        <v>32</v>
      </c>
      <c r="L222" s="15" t="s">
        <v>97</v>
      </c>
      <c r="M222" s="15">
        <v>10</v>
      </c>
      <c r="N222" s="25">
        <v>3500</v>
      </c>
      <c r="O222" s="15">
        <v>5</v>
      </c>
      <c r="P222" s="25">
        <v>33250</v>
      </c>
      <c r="Q222" s="15">
        <v>3</v>
      </c>
      <c r="R222" s="15" t="s">
        <v>48</v>
      </c>
      <c r="S222" s="15" t="s">
        <v>115</v>
      </c>
      <c r="T222" s="15" t="s">
        <v>256</v>
      </c>
      <c r="U222" s="15">
        <v>9127548552</v>
      </c>
      <c r="V222" s="15" t="s">
        <v>38</v>
      </c>
      <c r="W222" s="46">
        <f t="shared" ca="1" si="9"/>
        <v>34</v>
      </c>
      <c r="X222" s="42">
        <f t="shared" si="10"/>
        <v>2</v>
      </c>
      <c r="Y222" s="42" t="str">
        <f t="shared" si="11"/>
        <v xml:space="preserve">On Time </v>
      </c>
    </row>
    <row r="223" spans="1:25" x14ac:dyDescent="0.5">
      <c r="A223" s="17" t="s">
        <v>1093</v>
      </c>
      <c r="B223" s="17" t="s">
        <v>53</v>
      </c>
      <c r="C223" s="17" t="s">
        <v>40</v>
      </c>
      <c r="D223" s="33">
        <v>46041</v>
      </c>
      <c r="E223" s="33">
        <v>46049</v>
      </c>
      <c r="F223" s="15" t="s">
        <v>163</v>
      </c>
      <c r="G223" s="17" t="s">
        <v>28</v>
      </c>
      <c r="H223" s="37">
        <v>29260</v>
      </c>
      <c r="I223" s="17" t="s">
        <v>294</v>
      </c>
      <c r="J223" s="17" t="s">
        <v>295</v>
      </c>
      <c r="K223" s="17" t="s">
        <v>46</v>
      </c>
      <c r="L223" s="17" t="s">
        <v>47</v>
      </c>
      <c r="M223" s="17">
        <v>1</v>
      </c>
      <c r="N223" s="26">
        <v>12000</v>
      </c>
      <c r="O223" s="17">
        <v>0</v>
      </c>
      <c r="P223" s="26">
        <v>12000</v>
      </c>
      <c r="Q223" s="17">
        <v>5</v>
      </c>
      <c r="R223" s="17" t="s">
        <v>88</v>
      </c>
      <c r="S223" s="17" t="s">
        <v>115</v>
      </c>
      <c r="T223" s="15" t="s">
        <v>62</v>
      </c>
      <c r="U223" s="17">
        <v>9712805603</v>
      </c>
      <c r="V223" s="17" t="s">
        <v>64</v>
      </c>
      <c r="W223" s="47">
        <f t="shared" ca="1" si="9"/>
        <v>46</v>
      </c>
      <c r="X223" s="42">
        <f t="shared" si="10"/>
        <v>8</v>
      </c>
      <c r="Y223" s="42" t="str">
        <f t="shared" si="11"/>
        <v>Delayed</v>
      </c>
    </row>
    <row r="224" spans="1:25" x14ac:dyDescent="0.5">
      <c r="A224" s="15" t="s">
        <v>1097</v>
      </c>
      <c r="B224" s="15" t="s">
        <v>327</v>
      </c>
      <c r="C224" s="15" t="s">
        <v>259</v>
      </c>
      <c r="D224" s="32">
        <v>46144</v>
      </c>
      <c r="E224" s="32">
        <v>46152</v>
      </c>
      <c r="F224" s="15" t="s">
        <v>394</v>
      </c>
      <c r="G224" s="15" t="s">
        <v>76</v>
      </c>
      <c r="H224" s="36">
        <v>32557</v>
      </c>
      <c r="I224" s="15" t="s">
        <v>294</v>
      </c>
      <c r="J224" s="15" t="s">
        <v>295</v>
      </c>
      <c r="K224" s="15" t="s">
        <v>122</v>
      </c>
      <c r="L224" s="15" t="s">
        <v>263</v>
      </c>
      <c r="M224" s="15">
        <v>19</v>
      </c>
      <c r="N224" s="25">
        <v>45</v>
      </c>
      <c r="O224" s="15">
        <v>15</v>
      </c>
      <c r="P224" s="25">
        <v>726.75</v>
      </c>
      <c r="Q224" s="15">
        <v>2</v>
      </c>
      <c r="R224" s="15" t="s">
        <v>88</v>
      </c>
      <c r="S224" s="15" t="s">
        <v>151</v>
      </c>
      <c r="T224" s="15" t="s">
        <v>332</v>
      </c>
      <c r="U224" s="15">
        <v>9798313682</v>
      </c>
      <c r="V224" s="15" t="s">
        <v>64</v>
      </c>
      <c r="W224" s="46">
        <f t="shared" ca="1" si="9"/>
        <v>37</v>
      </c>
      <c r="X224" s="42">
        <f t="shared" si="10"/>
        <v>8</v>
      </c>
      <c r="Y224" s="42" t="str">
        <f t="shared" si="11"/>
        <v>Delayed</v>
      </c>
    </row>
    <row r="225" spans="1:25" x14ac:dyDescent="0.5">
      <c r="A225" s="17" t="s">
        <v>1101</v>
      </c>
      <c r="B225" s="17" t="s">
        <v>23</v>
      </c>
      <c r="C225" s="17" t="s">
        <v>54</v>
      </c>
      <c r="D225" s="33">
        <v>45961</v>
      </c>
      <c r="E225" s="33">
        <v>45963</v>
      </c>
      <c r="F225" s="15" t="s">
        <v>27</v>
      </c>
      <c r="G225" s="17" t="s">
        <v>28</v>
      </c>
      <c r="H225" s="37">
        <v>34222</v>
      </c>
      <c r="I225" s="17" t="s">
        <v>44</v>
      </c>
      <c r="J225" s="17" t="s">
        <v>45</v>
      </c>
      <c r="K225" s="17" t="s">
        <v>46</v>
      </c>
      <c r="L225" s="17" t="s">
        <v>60</v>
      </c>
      <c r="M225" s="17">
        <v>13</v>
      </c>
      <c r="N225" s="26">
        <v>55000</v>
      </c>
      <c r="O225" s="17">
        <v>5</v>
      </c>
      <c r="P225" s="26">
        <v>679250</v>
      </c>
      <c r="Q225" s="17">
        <v>4</v>
      </c>
      <c r="R225" s="17" t="s">
        <v>79</v>
      </c>
      <c r="S225" s="17" t="s">
        <v>49</v>
      </c>
      <c r="T225" s="15" t="s">
        <v>50</v>
      </c>
      <c r="U225" s="17">
        <v>9642822397</v>
      </c>
      <c r="V225" s="17" t="s">
        <v>69</v>
      </c>
      <c r="W225" s="47">
        <f t="shared" ca="1" si="9"/>
        <v>33</v>
      </c>
      <c r="X225" s="42">
        <f t="shared" si="10"/>
        <v>2</v>
      </c>
      <c r="Y225" s="42" t="str">
        <f t="shared" si="11"/>
        <v xml:space="preserve">On Time </v>
      </c>
    </row>
    <row r="226" spans="1:25" x14ac:dyDescent="0.5">
      <c r="A226" s="15" t="s">
        <v>1105</v>
      </c>
      <c r="B226" s="15" t="s">
        <v>83</v>
      </c>
      <c r="C226" s="15" t="s">
        <v>259</v>
      </c>
      <c r="D226" s="32">
        <v>45858</v>
      </c>
      <c r="E226" s="32">
        <v>45864</v>
      </c>
      <c r="F226" s="15" t="s">
        <v>180</v>
      </c>
      <c r="G226" s="15" t="s">
        <v>76</v>
      </c>
      <c r="H226" s="36">
        <v>29907</v>
      </c>
      <c r="I226" s="15" t="s">
        <v>105</v>
      </c>
      <c r="J226" s="15" t="s">
        <v>106</v>
      </c>
      <c r="K226" s="15" t="s">
        <v>122</v>
      </c>
      <c r="L226" s="15" t="s">
        <v>263</v>
      </c>
      <c r="M226" s="15">
        <v>2</v>
      </c>
      <c r="N226" s="25">
        <v>45</v>
      </c>
      <c r="O226" s="15">
        <v>15</v>
      </c>
      <c r="P226" s="25">
        <v>76.5</v>
      </c>
      <c r="Q226" s="15">
        <v>1</v>
      </c>
      <c r="R226" s="15" t="s">
        <v>48</v>
      </c>
      <c r="S226" s="15" t="s">
        <v>115</v>
      </c>
      <c r="T226" s="15" t="s">
        <v>89</v>
      </c>
      <c r="U226" s="15">
        <v>9490067655</v>
      </c>
      <c r="V226" s="15" t="s">
        <v>38</v>
      </c>
      <c r="W226" s="46">
        <f t="shared" ca="1" si="9"/>
        <v>44</v>
      </c>
      <c r="X226" s="42">
        <f t="shared" si="10"/>
        <v>6</v>
      </c>
      <c r="Y226" s="42" t="str">
        <f t="shared" si="11"/>
        <v>Delayed</v>
      </c>
    </row>
    <row r="227" spans="1:25" x14ac:dyDescent="0.5">
      <c r="A227" s="17" t="s">
        <v>1109</v>
      </c>
      <c r="B227" s="17" t="s">
        <v>100</v>
      </c>
      <c r="C227" s="17" t="s">
        <v>222</v>
      </c>
      <c r="D227" s="33">
        <v>45707</v>
      </c>
      <c r="E227" s="33">
        <v>45712</v>
      </c>
      <c r="F227" s="15" t="s">
        <v>103</v>
      </c>
      <c r="G227" s="17" t="s">
        <v>28</v>
      </c>
      <c r="H227" s="37">
        <v>37857</v>
      </c>
      <c r="I227" s="17" t="s">
        <v>30</v>
      </c>
      <c r="J227" s="17" t="s">
        <v>31</v>
      </c>
      <c r="K227" s="17" t="s">
        <v>122</v>
      </c>
      <c r="L227" s="17" t="s">
        <v>227</v>
      </c>
      <c r="M227" s="17">
        <v>8</v>
      </c>
      <c r="N227" s="26">
        <v>20</v>
      </c>
      <c r="O227" s="17">
        <v>15</v>
      </c>
      <c r="P227" s="26">
        <v>136</v>
      </c>
      <c r="Q227" s="17">
        <v>1</v>
      </c>
      <c r="R227" s="17" t="s">
        <v>79</v>
      </c>
      <c r="S227" s="17" t="s">
        <v>35</v>
      </c>
      <c r="T227" s="15" t="s">
        <v>144</v>
      </c>
      <c r="U227" s="17">
        <v>9389792144</v>
      </c>
      <c r="V227" s="17" t="s">
        <v>64</v>
      </c>
      <c r="W227" s="47">
        <f t="shared" ca="1" si="9"/>
        <v>23</v>
      </c>
      <c r="X227" s="42">
        <f t="shared" si="10"/>
        <v>5</v>
      </c>
      <c r="Y227" s="42" t="str">
        <f t="shared" si="11"/>
        <v xml:space="preserve">On Time </v>
      </c>
    </row>
    <row r="228" spans="1:25" x14ac:dyDescent="0.5">
      <c r="A228" s="15" t="s">
        <v>1113</v>
      </c>
      <c r="B228" s="15" t="s">
        <v>168</v>
      </c>
      <c r="C228" s="15" t="s">
        <v>40</v>
      </c>
      <c r="D228" s="32">
        <v>45767</v>
      </c>
      <c r="E228" s="32">
        <v>45778</v>
      </c>
      <c r="F228" s="15" t="s">
        <v>361</v>
      </c>
      <c r="G228" s="15" t="s">
        <v>28</v>
      </c>
      <c r="H228" s="36">
        <v>31247</v>
      </c>
      <c r="I228" s="15" t="s">
        <v>30</v>
      </c>
      <c r="J228" s="15" t="s">
        <v>31</v>
      </c>
      <c r="K228" s="15" t="s">
        <v>46</v>
      </c>
      <c r="L228" s="15" t="s">
        <v>47</v>
      </c>
      <c r="M228" s="15">
        <v>9</v>
      </c>
      <c r="N228" s="25">
        <v>12000</v>
      </c>
      <c r="O228" s="15">
        <v>5</v>
      </c>
      <c r="P228" s="25">
        <v>102600</v>
      </c>
      <c r="Q228" s="15">
        <v>2</v>
      </c>
      <c r="R228" s="15" t="s">
        <v>79</v>
      </c>
      <c r="S228" s="15" t="s">
        <v>35</v>
      </c>
      <c r="T228" s="15" t="s">
        <v>175</v>
      </c>
      <c r="U228" s="15">
        <v>9736113863</v>
      </c>
      <c r="V228" s="15" t="s">
        <v>69</v>
      </c>
      <c r="W228" s="46">
        <f t="shared" ca="1" si="9"/>
        <v>41</v>
      </c>
      <c r="X228" s="42">
        <f t="shared" si="10"/>
        <v>11</v>
      </c>
      <c r="Y228" s="42" t="str">
        <f t="shared" si="11"/>
        <v>Delayed</v>
      </c>
    </row>
    <row r="229" spans="1:25" x14ac:dyDescent="0.5">
      <c r="A229" s="17" t="s">
        <v>1118</v>
      </c>
      <c r="B229" s="17" t="s">
        <v>71</v>
      </c>
      <c r="C229" s="17" t="s">
        <v>92</v>
      </c>
      <c r="D229" s="33">
        <v>45813</v>
      </c>
      <c r="E229" s="33">
        <v>45821</v>
      </c>
      <c r="F229" s="15" t="s">
        <v>217</v>
      </c>
      <c r="G229" s="17" t="s">
        <v>76</v>
      </c>
      <c r="H229" s="37">
        <v>34464</v>
      </c>
      <c r="I229" s="17" t="s">
        <v>294</v>
      </c>
      <c r="J229" s="17" t="s">
        <v>295</v>
      </c>
      <c r="K229" s="17" t="s">
        <v>32</v>
      </c>
      <c r="L229" s="17" t="s">
        <v>97</v>
      </c>
      <c r="M229" s="17">
        <v>3</v>
      </c>
      <c r="N229" s="26">
        <v>3500</v>
      </c>
      <c r="O229" s="17">
        <v>15</v>
      </c>
      <c r="P229" s="26">
        <v>8925</v>
      </c>
      <c r="Q229" s="17">
        <v>1</v>
      </c>
      <c r="R229" s="17" t="s">
        <v>34</v>
      </c>
      <c r="S229" s="17" t="s">
        <v>49</v>
      </c>
      <c r="T229" s="15" t="s">
        <v>80</v>
      </c>
      <c r="U229" s="17">
        <v>9324634732</v>
      </c>
      <c r="V229" s="17" t="s">
        <v>69</v>
      </c>
      <c r="W229" s="47">
        <f t="shared" ca="1" si="9"/>
        <v>32</v>
      </c>
      <c r="X229" s="42">
        <f t="shared" si="10"/>
        <v>8</v>
      </c>
      <c r="Y229" s="42" t="str">
        <f t="shared" si="11"/>
        <v>Delayed</v>
      </c>
    </row>
    <row r="230" spans="1:25" x14ac:dyDescent="0.5">
      <c r="A230" s="15" t="s">
        <v>1123</v>
      </c>
      <c r="B230" s="15" t="s">
        <v>100</v>
      </c>
      <c r="C230" s="15" t="s">
        <v>184</v>
      </c>
      <c r="D230" s="32">
        <v>45797</v>
      </c>
      <c r="E230" s="32">
        <v>45800</v>
      </c>
      <c r="F230" s="15" t="s">
        <v>103</v>
      </c>
      <c r="G230" s="15" t="s">
        <v>28</v>
      </c>
      <c r="H230" s="36">
        <v>34051</v>
      </c>
      <c r="I230" s="15" t="s">
        <v>30</v>
      </c>
      <c r="J230" s="15" t="s">
        <v>31</v>
      </c>
      <c r="K230" s="15" t="s">
        <v>46</v>
      </c>
      <c r="L230" s="15" t="s">
        <v>189</v>
      </c>
      <c r="M230" s="15">
        <v>18</v>
      </c>
      <c r="N230" s="25">
        <v>700</v>
      </c>
      <c r="O230" s="15">
        <v>20</v>
      </c>
      <c r="P230" s="25">
        <v>10080</v>
      </c>
      <c r="Q230" s="15">
        <v>1</v>
      </c>
      <c r="R230" s="15" t="s">
        <v>79</v>
      </c>
      <c r="S230" s="15" t="s">
        <v>151</v>
      </c>
      <c r="T230" s="15" t="s">
        <v>144</v>
      </c>
      <c r="U230" s="15">
        <v>9529968110</v>
      </c>
      <c r="V230" s="15" t="s">
        <v>38</v>
      </c>
      <c r="W230" s="46">
        <f t="shared" ca="1" si="9"/>
        <v>33</v>
      </c>
      <c r="X230" s="42">
        <f t="shared" si="10"/>
        <v>3</v>
      </c>
      <c r="Y230" s="42" t="str">
        <f t="shared" si="11"/>
        <v xml:space="preserve">On Time </v>
      </c>
    </row>
    <row r="231" spans="1:25" x14ac:dyDescent="0.5">
      <c r="A231" s="17" t="s">
        <v>1127</v>
      </c>
      <c r="B231" s="17" t="s">
        <v>71</v>
      </c>
      <c r="C231" s="17" t="s">
        <v>92</v>
      </c>
      <c r="D231" s="33">
        <v>46046</v>
      </c>
      <c r="E231" s="33">
        <v>46053</v>
      </c>
      <c r="F231" s="15" t="s">
        <v>217</v>
      </c>
      <c r="G231" s="17" t="s">
        <v>76</v>
      </c>
      <c r="H231" s="37">
        <v>29019</v>
      </c>
      <c r="I231" s="17" t="s">
        <v>114</v>
      </c>
      <c r="J231" s="17" t="s">
        <v>106</v>
      </c>
      <c r="K231" s="17" t="s">
        <v>32</v>
      </c>
      <c r="L231" s="17" t="s">
        <v>97</v>
      </c>
      <c r="M231" s="17">
        <v>14</v>
      </c>
      <c r="N231" s="26">
        <v>3500</v>
      </c>
      <c r="O231" s="17">
        <v>5</v>
      </c>
      <c r="P231" s="26">
        <v>46550</v>
      </c>
      <c r="Q231" s="17">
        <v>1</v>
      </c>
      <c r="R231" s="17" t="s">
        <v>34</v>
      </c>
      <c r="S231" s="17" t="s">
        <v>61</v>
      </c>
      <c r="T231" s="15" t="s">
        <v>80</v>
      </c>
      <c r="U231" s="17">
        <v>9102417647</v>
      </c>
      <c r="V231" s="17" t="s">
        <v>38</v>
      </c>
      <c r="W231" s="47">
        <f t="shared" ca="1" si="9"/>
        <v>47</v>
      </c>
      <c r="X231" s="42">
        <f t="shared" si="10"/>
        <v>7</v>
      </c>
      <c r="Y231" s="42" t="str">
        <f t="shared" si="11"/>
        <v>Delayed</v>
      </c>
    </row>
    <row r="232" spans="1:25" x14ac:dyDescent="0.5">
      <c r="A232" s="15" t="s">
        <v>1131</v>
      </c>
      <c r="B232" s="15" t="s">
        <v>100</v>
      </c>
      <c r="C232" s="15" t="s">
        <v>184</v>
      </c>
      <c r="D232" s="32">
        <v>45810</v>
      </c>
      <c r="E232" s="32">
        <v>45812</v>
      </c>
      <c r="F232" s="15" t="s">
        <v>103</v>
      </c>
      <c r="G232" s="15" t="s">
        <v>28</v>
      </c>
      <c r="H232" s="36">
        <v>33262</v>
      </c>
      <c r="I232" s="15" t="s">
        <v>294</v>
      </c>
      <c r="J232" s="15" t="s">
        <v>295</v>
      </c>
      <c r="K232" s="15" t="s">
        <v>46</v>
      </c>
      <c r="L232" s="15" t="s">
        <v>189</v>
      </c>
      <c r="M232" s="15">
        <v>6</v>
      </c>
      <c r="N232" s="25">
        <v>700</v>
      </c>
      <c r="O232" s="15">
        <v>5</v>
      </c>
      <c r="P232" s="25">
        <v>3990</v>
      </c>
      <c r="Q232" s="15">
        <v>5</v>
      </c>
      <c r="R232" s="15" t="s">
        <v>34</v>
      </c>
      <c r="S232" s="15" t="s">
        <v>35</v>
      </c>
      <c r="T232" s="15" t="s">
        <v>144</v>
      </c>
      <c r="U232" s="15">
        <v>9630302865</v>
      </c>
      <c r="V232" s="15" t="s">
        <v>38</v>
      </c>
      <c r="W232" s="46">
        <f t="shared" ca="1" si="9"/>
        <v>35</v>
      </c>
      <c r="X232" s="42">
        <f t="shared" si="10"/>
        <v>2</v>
      </c>
      <c r="Y232" s="42" t="str">
        <f t="shared" si="11"/>
        <v xml:space="preserve">On Time </v>
      </c>
    </row>
    <row r="233" spans="1:25" x14ac:dyDescent="0.5">
      <c r="A233" s="17" t="s">
        <v>1134</v>
      </c>
      <c r="B233" s="17" t="s">
        <v>100</v>
      </c>
      <c r="C233" s="17" t="s">
        <v>92</v>
      </c>
      <c r="D233" s="33">
        <v>45819</v>
      </c>
      <c r="E233" s="33">
        <v>45827</v>
      </c>
      <c r="F233" s="15" t="s">
        <v>103</v>
      </c>
      <c r="G233" s="17" t="s">
        <v>28</v>
      </c>
      <c r="H233" s="37">
        <v>38039</v>
      </c>
      <c r="I233" s="17" t="s">
        <v>105</v>
      </c>
      <c r="J233" s="17" t="s">
        <v>106</v>
      </c>
      <c r="K233" s="17" t="s">
        <v>32</v>
      </c>
      <c r="L233" s="17" t="s">
        <v>97</v>
      </c>
      <c r="M233" s="17">
        <v>17</v>
      </c>
      <c r="N233" s="26">
        <v>3500</v>
      </c>
      <c r="O233" s="17">
        <v>15</v>
      </c>
      <c r="P233" s="26">
        <v>50575</v>
      </c>
      <c r="Q233" s="17">
        <v>3</v>
      </c>
      <c r="R233" s="17" t="s">
        <v>48</v>
      </c>
      <c r="S233" s="17" t="s">
        <v>49</v>
      </c>
      <c r="T233" s="15" t="s">
        <v>144</v>
      </c>
      <c r="U233" s="17">
        <v>9465353780</v>
      </c>
      <c r="V233" s="17" t="s">
        <v>64</v>
      </c>
      <c r="W233" s="47">
        <f t="shared" ca="1" si="9"/>
        <v>22</v>
      </c>
      <c r="X233" s="42">
        <f t="shared" si="10"/>
        <v>8</v>
      </c>
      <c r="Y233" s="42" t="str">
        <f t="shared" si="11"/>
        <v>Delayed</v>
      </c>
    </row>
    <row r="234" spans="1:25" x14ac:dyDescent="0.5">
      <c r="A234" s="15" t="s">
        <v>1137</v>
      </c>
      <c r="B234" s="15" t="s">
        <v>251</v>
      </c>
      <c r="C234" s="15" t="s">
        <v>222</v>
      </c>
      <c r="D234" s="32">
        <v>46038</v>
      </c>
      <c r="E234" s="32">
        <v>46046</v>
      </c>
      <c r="F234" s="15" t="s">
        <v>254</v>
      </c>
      <c r="G234" s="15" t="s">
        <v>28</v>
      </c>
      <c r="H234" s="36">
        <v>28240</v>
      </c>
      <c r="I234" s="15" t="s">
        <v>294</v>
      </c>
      <c r="J234" s="15" t="s">
        <v>295</v>
      </c>
      <c r="K234" s="15" t="s">
        <v>122</v>
      </c>
      <c r="L234" s="15" t="s">
        <v>227</v>
      </c>
      <c r="M234" s="15">
        <v>7</v>
      </c>
      <c r="N234" s="25">
        <v>20</v>
      </c>
      <c r="O234" s="15">
        <v>5</v>
      </c>
      <c r="P234" s="25">
        <v>133</v>
      </c>
      <c r="Q234" s="15">
        <v>2</v>
      </c>
      <c r="R234" s="15" t="s">
        <v>88</v>
      </c>
      <c r="S234" s="15" t="s">
        <v>151</v>
      </c>
      <c r="T234" s="15" t="s">
        <v>256</v>
      </c>
      <c r="U234" s="15">
        <v>9837426414</v>
      </c>
      <c r="V234" s="15" t="s">
        <v>38</v>
      </c>
      <c r="W234" s="46">
        <f t="shared" ca="1" si="9"/>
        <v>49</v>
      </c>
      <c r="X234" s="42">
        <f t="shared" si="10"/>
        <v>8</v>
      </c>
      <c r="Y234" s="42" t="str">
        <f t="shared" si="11"/>
        <v>Delayed</v>
      </c>
    </row>
    <row r="235" spans="1:25" x14ac:dyDescent="0.5">
      <c r="A235" s="17" t="s">
        <v>1140</v>
      </c>
      <c r="B235" s="17" t="s">
        <v>23</v>
      </c>
      <c r="C235" s="17" t="s">
        <v>24</v>
      </c>
      <c r="D235" s="33">
        <v>46073</v>
      </c>
      <c r="E235" s="33">
        <v>46085</v>
      </c>
      <c r="F235" s="15" t="s">
        <v>27</v>
      </c>
      <c r="G235" s="17" t="s">
        <v>28</v>
      </c>
      <c r="H235" s="37">
        <v>34537</v>
      </c>
      <c r="I235" s="17" t="s">
        <v>59</v>
      </c>
      <c r="J235" s="17" t="s">
        <v>31</v>
      </c>
      <c r="K235" s="17" t="s">
        <v>32</v>
      </c>
      <c r="L235" s="17" t="s">
        <v>33</v>
      </c>
      <c r="M235" s="17">
        <v>15</v>
      </c>
      <c r="N235" s="26">
        <v>2200</v>
      </c>
      <c r="O235" s="17">
        <v>20</v>
      </c>
      <c r="P235" s="26">
        <v>26400</v>
      </c>
      <c r="Q235" s="17">
        <v>2</v>
      </c>
      <c r="R235" s="17" t="s">
        <v>34</v>
      </c>
      <c r="S235" s="17" t="s">
        <v>61</v>
      </c>
      <c r="T235" s="15" t="s">
        <v>50</v>
      </c>
      <c r="U235" s="17">
        <v>9249918272</v>
      </c>
      <c r="V235" s="17" t="s">
        <v>38</v>
      </c>
      <c r="W235" s="47">
        <f t="shared" ca="1" si="9"/>
        <v>32</v>
      </c>
      <c r="X235" s="42">
        <f t="shared" si="10"/>
        <v>12</v>
      </c>
      <c r="Y235" s="42" t="str">
        <f t="shared" si="11"/>
        <v>Delayed</v>
      </c>
    </row>
    <row r="236" spans="1:25" x14ac:dyDescent="0.5">
      <c r="A236" s="15" t="s">
        <v>1145</v>
      </c>
      <c r="B236" s="15" t="s">
        <v>71</v>
      </c>
      <c r="C236" s="15" t="s">
        <v>222</v>
      </c>
      <c r="D236" s="32">
        <v>46070</v>
      </c>
      <c r="E236" s="32">
        <v>46078</v>
      </c>
      <c r="F236" s="15" t="s">
        <v>217</v>
      </c>
      <c r="G236" s="15" t="s">
        <v>76</v>
      </c>
      <c r="H236" s="36">
        <v>29170</v>
      </c>
      <c r="I236" s="15" t="s">
        <v>105</v>
      </c>
      <c r="J236" s="15" t="s">
        <v>106</v>
      </c>
      <c r="K236" s="15" t="s">
        <v>122</v>
      </c>
      <c r="L236" s="15" t="s">
        <v>227</v>
      </c>
      <c r="M236" s="15">
        <v>5</v>
      </c>
      <c r="N236" s="25">
        <v>20</v>
      </c>
      <c r="O236" s="15">
        <v>0</v>
      </c>
      <c r="P236" s="25">
        <v>100</v>
      </c>
      <c r="Q236" s="15">
        <v>3</v>
      </c>
      <c r="R236" s="15" t="s">
        <v>34</v>
      </c>
      <c r="S236" s="15" t="s">
        <v>151</v>
      </c>
      <c r="T236" s="15" t="s">
        <v>80</v>
      </c>
      <c r="U236" s="15">
        <v>9265580582</v>
      </c>
      <c r="V236" s="15" t="s">
        <v>38</v>
      </c>
      <c r="W236" s="46">
        <f t="shared" ca="1" si="9"/>
        <v>46</v>
      </c>
      <c r="X236" s="42">
        <f t="shared" si="10"/>
        <v>8</v>
      </c>
      <c r="Y236" s="42" t="str">
        <f t="shared" si="11"/>
        <v>Delayed</v>
      </c>
    </row>
    <row r="237" spans="1:25" x14ac:dyDescent="0.5">
      <c r="A237" s="17" t="s">
        <v>1148</v>
      </c>
      <c r="B237" s="17" t="s">
        <v>127</v>
      </c>
      <c r="C237" s="17" t="s">
        <v>40</v>
      </c>
      <c r="D237" s="33">
        <v>45847</v>
      </c>
      <c r="E237" s="33">
        <v>45852</v>
      </c>
      <c r="F237" s="15" t="s">
        <v>200</v>
      </c>
      <c r="G237" s="17" t="s">
        <v>76</v>
      </c>
      <c r="H237" s="37">
        <v>34846</v>
      </c>
      <c r="I237" s="17" t="s">
        <v>44</v>
      </c>
      <c r="J237" s="17" t="s">
        <v>45</v>
      </c>
      <c r="K237" s="17" t="s">
        <v>46</v>
      </c>
      <c r="L237" s="17" t="s">
        <v>47</v>
      </c>
      <c r="M237" s="17">
        <v>8</v>
      </c>
      <c r="N237" s="26">
        <v>12000</v>
      </c>
      <c r="O237" s="17">
        <v>20</v>
      </c>
      <c r="P237" s="26">
        <v>76800</v>
      </c>
      <c r="Q237" s="17">
        <v>3</v>
      </c>
      <c r="R237" s="17" t="s">
        <v>79</v>
      </c>
      <c r="S237" s="17" t="s">
        <v>61</v>
      </c>
      <c r="T237" s="15" t="s">
        <v>132</v>
      </c>
      <c r="U237" s="17">
        <v>9751049833</v>
      </c>
      <c r="V237" s="17" t="s">
        <v>64</v>
      </c>
      <c r="W237" s="47">
        <f t="shared" ca="1" si="9"/>
        <v>31</v>
      </c>
      <c r="X237" s="42">
        <f t="shared" si="10"/>
        <v>5</v>
      </c>
      <c r="Y237" s="42" t="str">
        <f t="shared" si="11"/>
        <v xml:space="preserve">On Time </v>
      </c>
    </row>
    <row r="238" spans="1:25" x14ac:dyDescent="0.5">
      <c r="A238" s="15" t="s">
        <v>1152</v>
      </c>
      <c r="B238" s="15" t="s">
        <v>127</v>
      </c>
      <c r="C238" s="15" t="s">
        <v>92</v>
      </c>
      <c r="D238" s="32">
        <v>45696</v>
      </c>
      <c r="E238" s="32">
        <v>45704</v>
      </c>
      <c r="F238" s="15" t="s">
        <v>200</v>
      </c>
      <c r="G238" s="15" t="s">
        <v>76</v>
      </c>
      <c r="H238" s="36">
        <v>35964</v>
      </c>
      <c r="I238" s="15" t="s">
        <v>105</v>
      </c>
      <c r="J238" s="15" t="s">
        <v>106</v>
      </c>
      <c r="K238" s="15" t="s">
        <v>32</v>
      </c>
      <c r="L238" s="15" t="s">
        <v>97</v>
      </c>
      <c r="M238" s="15">
        <v>4</v>
      </c>
      <c r="N238" s="25">
        <v>3500</v>
      </c>
      <c r="O238" s="15">
        <v>20</v>
      </c>
      <c r="P238" s="25">
        <v>11200</v>
      </c>
      <c r="Q238" s="15">
        <v>1</v>
      </c>
      <c r="R238" s="15" t="s">
        <v>79</v>
      </c>
      <c r="S238" s="15" t="s">
        <v>115</v>
      </c>
      <c r="T238" s="15" t="s">
        <v>132</v>
      </c>
      <c r="U238" s="15">
        <v>9741671507</v>
      </c>
      <c r="V238" s="15" t="s">
        <v>38</v>
      </c>
      <c r="W238" s="46">
        <f t="shared" ca="1" si="9"/>
        <v>28</v>
      </c>
      <c r="X238" s="42">
        <f t="shared" si="10"/>
        <v>8</v>
      </c>
      <c r="Y238" s="42" t="str">
        <f t="shared" si="11"/>
        <v>Delayed</v>
      </c>
    </row>
    <row r="239" spans="1:25" x14ac:dyDescent="0.5">
      <c r="A239" s="17" t="s">
        <v>1156</v>
      </c>
      <c r="B239" s="17" t="s">
        <v>221</v>
      </c>
      <c r="C239" s="17" t="s">
        <v>259</v>
      </c>
      <c r="D239" s="33">
        <v>45713</v>
      </c>
      <c r="E239" s="33">
        <v>45720</v>
      </c>
      <c r="F239" s="15" t="s">
        <v>225</v>
      </c>
      <c r="G239" s="17" t="s">
        <v>76</v>
      </c>
      <c r="H239" s="37">
        <v>30337</v>
      </c>
      <c r="I239" s="17" t="s">
        <v>30</v>
      </c>
      <c r="J239" s="17" t="s">
        <v>31</v>
      </c>
      <c r="K239" s="17" t="s">
        <v>122</v>
      </c>
      <c r="L239" s="17" t="s">
        <v>263</v>
      </c>
      <c r="M239" s="17">
        <v>19</v>
      </c>
      <c r="N239" s="26">
        <v>45</v>
      </c>
      <c r="O239" s="17">
        <v>10</v>
      </c>
      <c r="P239" s="26">
        <v>769.5</v>
      </c>
      <c r="Q239" s="17">
        <v>1</v>
      </c>
      <c r="R239" s="17" t="s">
        <v>34</v>
      </c>
      <c r="S239" s="17" t="s">
        <v>115</v>
      </c>
      <c r="T239" s="15" t="s">
        <v>228</v>
      </c>
      <c r="U239" s="17">
        <v>9367541035</v>
      </c>
      <c r="V239" s="17" t="s">
        <v>38</v>
      </c>
      <c r="W239" s="47">
        <f t="shared" ca="1" si="9"/>
        <v>43</v>
      </c>
      <c r="X239" s="42">
        <f t="shared" si="10"/>
        <v>7</v>
      </c>
      <c r="Y239" s="42" t="str">
        <f t="shared" si="11"/>
        <v>Delayed</v>
      </c>
    </row>
    <row r="240" spans="1:25" x14ac:dyDescent="0.5">
      <c r="A240" s="15" t="s">
        <v>1160</v>
      </c>
      <c r="B240" s="15" t="s">
        <v>53</v>
      </c>
      <c r="C240" s="15" t="s">
        <v>259</v>
      </c>
      <c r="D240" s="32">
        <v>46049</v>
      </c>
      <c r="E240" s="32">
        <v>46059</v>
      </c>
      <c r="F240" s="15" t="s">
        <v>163</v>
      </c>
      <c r="G240" s="15" t="s">
        <v>28</v>
      </c>
      <c r="H240" s="36">
        <v>28552</v>
      </c>
      <c r="I240" s="15" t="s">
        <v>114</v>
      </c>
      <c r="J240" s="15" t="s">
        <v>106</v>
      </c>
      <c r="K240" s="15" t="s">
        <v>122</v>
      </c>
      <c r="L240" s="15" t="s">
        <v>263</v>
      </c>
      <c r="M240" s="15">
        <v>10</v>
      </c>
      <c r="N240" s="25">
        <v>45</v>
      </c>
      <c r="O240" s="15">
        <v>0</v>
      </c>
      <c r="P240" s="25">
        <v>450</v>
      </c>
      <c r="Q240" s="15">
        <v>4</v>
      </c>
      <c r="R240" s="15" t="s">
        <v>88</v>
      </c>
      <c r="S240" s="15" t="s">
        <v>61</v>
      </c>
      <c r="T240" s="15" t="s">
        <v>62</v>
      </c>
      <c r="U240" s="15">
        <v>9323696971</v>
      </c>
      <c r="V240" s="15" t="s">
        <v>38</v>
      </c>
      <c r="W240" s="46">
        <f t="shared" ca="1" si="9"/>
        <v>48</v>
      </c>
      <c r="X240" s="42">
        <f t="shared" si="10"/>
        <v>10</v>
      </c>
      <c r="Y240" s="42" t="str">
        <f t="shared" si="11"/>
        <v>Delayed</v>
      </c>
    </row>
    <row r="241" spans="1:25" x14ac:dyDescent="0.5">
      <c r="A241" s="17" t="s">
        <v>1164</v>
      </c>
      <c r="B241" s="17" t="s">
        <v>53</v>
      </c>
      <c r="C241" s="17" t="s">
        <v>259</v>
      </c>
      <c r="D241" s="33">
        <v>46030</v>
      </c>
      <c r="E241" s="33">
        <v>46039</v>
      </c>
      <c r="F241" s="15" t="s">
        <v>163</v>
      </c>
      <c r="G241" s="17" t="s">
        <v>28</v>
      </c>
      <c r="H241" s="37">
        <v>35605</v>
      </c>
      <c r="I241" s="17" t="s">
        <v>30</v>
      </c>
      <c r="J241" s="17" t="s">
        <v>31</v>
      </c>
      <c r="K241" s="17" t="s">
        <v>122</v>
      </c>
      <c r="L241" s="17" t="s">
        <v>263</v>
      </c>
      <c r="M241" s="17">
        <v>16</v>
      </c>
      <c r="N241" s="26">
        <v>45</v>
      </c>
      <c r="O241" s="17">
        <v>15</v>
      </c>
      <c r="P241" s="26">
        <v>612</v>
      </c>
      <c r="Q241" s="17">
        <v>3</v>
      </c>
      <c r="R241" s="17" t="s">
        <v>34</v>
      </c>
      <c r="S241" s="17" t="s">
        <v>115</v>
      </c>
      <c r="T241" s="15" t="s">
        <v>62</v>
      </c>
      <c r="U241" s="17">
        <v>9786384529</v>
      </c>
      <c r="V241" s="17" t="s">
        <v>69</v>
      </c>
      <c r="W241" s="47">
        <f t="shared" ca="1" si="9"/>
        <v>29</v>
      </c>
      <c r="X241" s="42">
        <f t="shared" si="10"/>
        <v>9</v>
      </c>
      <c r="Y241" s="42" t="str">
        <f t="shared" si="11"/>
        <v>Delayed</v>
      </c>
    </row>
    <row r="242" spans="1:25" x14ac:dyDescent="0.5">
      <c r="A242" s="15" t="s">
        <v>1168</v>
      </c>
      <c r="B242" s="15" t="s">
        <v>168</v>
      </c>
      <c r="C242" s="15" t="s">
        <v>169</v>
      </c>
      <c r="D242" s="32">
        <v>45741</v>
      </c>
      <c r="E242" s="32">
        <v>45743</v>
      </c>
      <c r="F242" s="15" t="s">
        <v>361</v>
      </c>
      <c r="G242" s="15" t="s">
        <v>28</v>
      </c>
      <c r="H242" s="36">
        <v>27997</v>
      </c>
      <c r="I242" s="15" t="s">
        <v>114</v>
      </c>
      <c r="J242" s="15" t="s">
        <v>106</v>
      </c>
      <c r="K242" s="15" t="s">
        <v>32</v>
      </c>
      <c r="L242" s="15" t="s">
        <v>174</v>
      </c>
      <c r="M242" s="15">
        <v>16</v>
      </c>
      <c r="N242" s="25">
        <v>8500</v>
      </c>
      <c r="O242" s="15">
        <v>15</v>
      </c>
      <c r="P242" s="25">
        <v>115600</v>
      </c>
      <c r="Q242" s="15">
        <v>4</v>
      </c>
      <c r="R242" s="15" t="s">
        <v>48</v>
      </c>
      <c r="S242" s="15" t="s">
        <v>35</v>
      </c>
      <c r="T242" s="15" t="s">
        <v>175</v>
      </c>
      <c r="U242" s="15">
        <v>9444900541</v>
      </c>
      <c r="V242" s="15" t="s">
        <v>69</v>
      </c>
      <c r="W242" s="46">
        <f t="shared" ca="1" si="9"/>
        <v>50</v>
      </c>
      <c r="X242" s="42">
        <f t="shared" si="10"/>
        <v>2</v>
      </c>
      <c r="Y242" s="42" t="str">
        <f t="shared" si="11"/>
        <v xml:space="preserve">On Time </v>
      </c>
    </row>
    <row r="243" spans="1:25" x14ac:dyDescent="0.5">
      <c r="A243" s="17" t="s">
        <v>1171</v>
      </c>
      <c r="B243" s="17" t="s">
        <v>168</v>
      </c>
      <c r="C243" s="17" t="s">
        <v>222</v>
      </c>
      <c r="D243" s="33">
        <v>45901</v>
      </c>
      <c r="E243" s="33">
        <v>45912</v>
      </c>
      <c r="F243" s="15" t="s">
        <v>361</v>
      </c>
      <c r="G243" s="17" t="s">
        <v>28</v>
      </c>
      <c r="H243" s="37">
        <v>35159</v>
      </c>
      <c r="I243" s="17" t="s">
        <v>294</v>
      </c>
      <c r="J243" s="17" t="s">
        <v>295</v>
      </c>
      <c r="K243" s="17" t="s">
        <v>122</v>
      </c>
      <c r="L243" s="17" t="s">
        <v>227</v>
      </c>
      <c r="M243" s="17">
        <v>15</v>
      </c>
      <c r="N243" s="26">
        <v>20</v>
      </c>
      <c r="O243" s="17">
        <v>20</v>
      </c>
      <c r="P243" s="26">
        <v>240</v>
      </c>
      <c r="Q243" s="17">
        <v>3</v>
      </c>
      <c r="R243" s="17" t="s">
        <v>48</v>
      </c>
      <c r="S243" s="17" t="s">
        <v>49</v>
      </c>
      <c r="T243" s="15" t="s">
        <v>175</v>
      </c>
      <c r="U243" s="17">
        <v>9108024911</v>
      </c>
      <c r="V243" s="17" t="s">
        <v>69</v>
      </c>
      <c r="W243" s="47">
        <f t="shared" ca="1" si="9"/>
        <v>30</v>
      </c>
      <c r="X243" s="42">
        <f t="shared" si="10"/>
        <v>11</v>
      </c>
      <c r="Y243" s="42" t="str">
        <f t="shared" si="11"/>
        <v>Delayed</v>
      </c>
    </row>
    <row r="244" spans="1:25" x14ac:dyDescent="0.5">
      <c r="A244" s="15" t="s">
        <v>1175</v>
      </c>
      <c r="B244" s="15" t="s">
        <v>83</v>
      </c>
      <c r="C244" s="15" t="s">
        <v>118</v>
      </c>
      <c r="D244" s="32">
        <v>46031</v>
      </c>
      <c r="E244" s="32">
        <v>46035</v>
      </c>
      <c r="F244" s="15" t="s">
        <v>180</v>
      </c>
      <c r="G244" s="15" t="s">
        <v>76</v>
      </c>
      <c r="H244" s="36">
        <v>37173</v>
      </c>
      <c r="I244" s="15" t="s">
        <v>59</v>
      </c>
      <c r="J244" s="15" t="s">
        <v>31</v>
      </c>
      <c r="K244" s="15" t="s">
        <v>122</v>
      </c>
      <c r="L244" s="15" t="s">
        <v>123</v>
      </c>
      <c r="M244" s="15">
        <v>14</v>
      </c>
      <c r="N244" s="25">
        <v>60</v>
      </c>
      <c r="O244" s="15">
        <v>5</v>
      </c>
      <c r="P244" s="25">
        <v>798</v>
      </c>
      <c r="Q244" s="15">
        <v>4</v>
      </c>
      <c r="R244" s="15" t="s">
        <v>34</v>
      </c>
      <c r="S244" s="15" t="s">
        <v>49</v>
      </c>
      <c r="T244" s="15" t="s">
        <v>89</v>
      </c>
      <c r="U244" s="15">
        <v>9897181325</v>
      </c>
      <c r="V244" s="15" t="s">
        <v>38</v>
      </c>
      <c r="W244" s="46">
        <f t="shared" ca="1" si="9"/>
        <v>25</v>
      </c>
      <c r="X244" s="42">
        <f t="shared" si="10"/>
        <v>4</v>
      </c>
      <c r="Y244" s="42" t="str">
        <f t="shared" si="11"/>
        <v xml:space="preserve">On Time </v>
      </c>
    </row>
    <row r="245" spans="1:25" x14ac:dyDescent="0.5">
      <c r="A245" s="17" t="s">
        <v>1179</v>
      </c>
      <c r="B245" s="17" t="s">
        <v>53</v>
      </c>
      <c r="C245" s="17" t="s">
        <v>72</v>
      </c>
      <c r="D245" s="33">
        <v>46158</v>
      </c>
      <c r="E245" s="33">
        <v>46161</v>
      </c>
      <c r="F245" s="15" t="s">
        <v>163</v>
      </c>
      <c r="G245" s="17" t="s">
        <v>28</v>
      </c>
      <c r="H245" s="37">
        <v>34800</v>
      </c>
      <c r="I245" s="17" t="s">
        <v>105</v>
      </c>
      <c r="J245" s="17" t="s">
        <v>106</v>
      </c>
      <c r="K245" s="17" t="s">
        <v>46</v>
      </c>
      <c r="L245" s="17" t="s">
        <v>78</v>
      </c>
      <c r="M245" s="17">
        <v>19</v>
      </c>
      <c r="N245" s="26">
        <v>1200</v>
      </c>
      <c r="O245" s="17">
        <v>20</v>
      </c>
      <c r="P245" s="26">
        <v>18240</v>
      </c>
      <c r="Q245" s="17">
        <v>2</v>
      </c>
      <c r="R245" s="17" t="s">
        <v>34</v>
      </c>
      <c r="S245" s="17" t="s">
        <v>115</v>
      </c>
      <c r="T245" s="15" t="s">
        <v>62</v>
      </c>
      <c r="U245" s="17">
        <v>9554719621</v>
      </c>
      <c r="V245" s="17" t="s">
        <v>69</v>
      </c>
      <c r="W245" s="47">
        <f t="shared" ca="1" si="9"/>
        <v>31</v>
      </c>
      <c r="X245" s="42">
        <f t="shared" si="10"/>
        <v>3</v>
      </c>
      <c r="Y245" s="42" t="str">
        <f t="shared" si="11"/>
        <v xml:space="preserve">On Time </v>
      </c>
    </row>
    <row r="246" spans="1:25" x14ac:dyDescent="0.5">
      <c r="A246" s="15" t="s">
        <v>1184</v>
      </c>
      <c r="B246" s="15" t="s">
        <v>23</v>
      </c>
      <c r="C246" s="15" t="s">
        <v>259</v>
      </c>
      <c r="D246" s="32">
        <v>45943</v>
      </c>
      <c r="E246" s="32">
        <v>45944</v>
      </c>
      <c r="F246" s="15" t="s">
        <v>27</v>
      </c>
      <c r="G246" s="15" t="s">
        <v>28</v>
      </c>
      <c r="H246" s="36">
        <v>36650</v>
      </c>
      <c r="I246" s="15" t="s">
        <v>59</v>
      </c>
      <c r="J246" s="15" t="s">
        <v>31</v>
      </c>
      <c r="K246" s="15" t="s">
        <v>122</v>
      </c>
      <c r="L246" s="15" t="s">
        <v>263</v>
      </c>
      <c r="M246" s="15">
        <v>5</v>
      </c>
      <c r="N246" s="25">
        <v>45</v>
      </c>
      <c r="O246" s="15">
        <v>15</v>
      </c>
      <c r="P246" s="25">
        <v>191.25</v>
      </c>
      <c r="Q246" s="15">
        <v>2</v>
      </c>
      <c r="R246" s="15" t="s">
        <v>34</v>
      </c>
      <c r="S246" s="15" t="s">
        <v>61</v>
      </c>
      <c r="T246" s="15" t="s">
        <v>50</v>
      </c>
      <c r="U246" s="15">
        <v>9815899217</v>
      </c>
      <c r="V246" s="15" t="s">
        <v>69</v>
      </c>
      <c r="W246" s="46">
        <f t="shared" ca="1" si="9"/>
        <v>26</v>
      </c>
      <c r="X246" s="42">
        <f t="shared" si="10"/>
        <v>1</v>
      </c>
      <c r="Y246" s="42" t="str">
        <f t="shared" si="11"/>
        <v xml:space="preserve">On Time </v>
      </c>
    </row>
    <row r="247" spans="1:25" x14ac:dyDescent="0.5">
      <c r="A247" s="17" t="s">
        <v>1187</v>
      </c>
      <c r="B247" s="17" t="s">
        <v>327</v>
      </c>
      <c r="C247" s="17" t="s">
        <v>184</v>
      </c>
      <c r="D247" s="33">
        <v>45802</v>
      </c>
      <c r="E247" s="33">
        <v>45809</v>
      </c>
      <c r="F247" s="15" t="s">
        <v>394</v>
      </c>
      <c r="G247" s="17" t="s">
        <v>76</v>
      </c>
      <c r="H247" s="37">
        <v>37316</v>
      </c>
      <c r="I247" s="17" t="s">
        <v>30</v>
      </c>
      <c r="J247" s="17" t="s">
        <v>31</v>
      </c>
      <c r="K247" s="17" t="s">
        <v>46</v>
      </c>
      <c r="L247" s="17" t="s">
        <v>189</v>
      </c>
      <c r="M247" s="17">
        <v>19</v>
      </c>
      <c r="N247" s="26">
        <v>700</v>
      </c>
      <c r="O247" s="17">
        <v>5</v>
      </c>
      <c r="P247" s="26">
        <v>12635</v>
      </c>
      <c r="Q247" s="17">
        <v>5</v>
      </c>
      <c r="R247" s="17" t="s">
        <v>88</v>
      </c>
      <c r="S247" s="17" t="s">
        <v>151</v>
      </c>
      <c r="T247" s="15" t="s">
        <v>332</v>
      </c>
      <c r="U247" s="17">
        <v>9308497039</v>
      </c>
      <c r="V247" s="17" t="s">
        <v>38</v>
      </c>
      <c r="W247" s="47">
        <f t="shared" ca="1" si="9"/>
        <v>24</v>
      </c>
      <c r="X247" s="42">
        <f t="shared" si="10"/>
        <v>7</v>
      </c>
      <c r="Y247" s="42" t="str">
        <f t="shared" si="11"/>
        <v>Delayed</v>
      </c>
    </row>
    <row r="248" spans="1:25" x14ac:dyDescent="0.5">
      <c r="A248" s="15" t="s">
        <v>1191</v>
      </c>
      <c r="B248" s="15" t="s">
        <v>127</v>
      </c>
      <c r="C248" s="15" t="s">
        <v>118</v>
      </c>
      <c r="D248" s="32">
        <v>46025</v>
      </c>
      <c r="E248" s="32">
        <v>46026</v>
      </c>
      <c r="F248" s="15" t="s">
        <v>200</v>
      </c>
      <c r="G248" s="15" t="s">
        <v>76</v>
      </c>
      <c r="H248" s="36">
        <v>27541</v>
      </c>
      <c r="I248" s="15" t="s">
        <v>294</v>
      </c>
      <c r="J248" s="15" t="s">
        <v>295</v>
      </c>
      <c r="K248" s="15" t="s">
        <v>122</v>
      </c>
      <c r="L248" s="15" t="s">
        <v>123</v>
      </c>
      <c r="M248" s="15">
        <v>7</v>
      </c>
      <c r="N248" s="25">
        <v>60</v>
      </c>
      <c r="O248" s="15">
        <v>0</v>
      </c>
      <c r="P248" s="25">
        <v>420</v>
      </c>
      <c r="Q248" s="15">
        <v>4</v>
      </c>
      <c r="R248" s="15" t="s">
        <v>34</v>
      </c>
      <c r="S248" s="15" t="s">
        <v>115</v>
      </c>
      <c r="T248" s="15" t="s">
        <v>132</v>
      </c>
      <c r="U248" s="15">
        <v>9882054354</v>
      </c>
      <c r="V248" s="15" t="s">
        <v>64</v>
      </c>
      <c r="W248" s="46">
        <f t="shared" ca="1" si="9"/>
        <v>51</v>
      </c>
      <c r="X248" s="42">
        <f t="shared" si="10"/>
        <v>1</v>
      </c>
      <c r="Y248" s="42" t="str">
        <f t="shared" si="11"/>
        <v xml:space="preserve">On Time </v>
      </c>
    </row>
    <row r="249" spans="1:25" x14ac:dyDescent="0.5">
      <c r="A249" s="17" t="s">
        <v>1194</v>
      </c>
      <c r="B249" s="17" t="s">
        <v>71</v>
      </c>
      <c r="C249" s="17" t="s">
        <v>24</v>
      </c>
      <c r="D249" s="33">
        <v>46013</v>
      </c>
      <c r="E249" s="33">
        <v>46024</v>
      </c>
      <c r="F249" s="15" t="s">
        <v>217</v>
      </c>
      <c r="G249" s="17" t="s">
        <v>76</v>
      </c>
      <c r="H249" s="37">
        <v>32479</v>
      </c>
      <c r="I249" s="17" t="s">
        <v>105</v>
      </c>
      <c r="J249" s="17" t="s">
        <v>106</v>
      </c>
      <c r="K249" s="17" t="s">
        <v>32</v>
      </c>
      <c r="L249" s="17" t="s">
        <v>33</v>
      </c>
      <c r="M249" s="17">
        <v>13</v>
      </c>
      <c r="N249" s="26">
        <v>2200</v>
      </c>
      <c r="O249" s="17">
        <v>10</v>
      </c>
      <c r="P249" s="26">
        <v>25740</v>
      </c>
      <c r="Q249" s="17">
        <v>1</v>
      </c>
      <c r="R249" s="17" t="s">
        <v>79</v>
      </c>
      <c r="S249" s="17" t="s">
        <v>151</v>
      </c>
      <c r="T249" s="15" t="s">
        <v>80</v>
      </c>
      <c r="U249" s="17">
        <v>9193016830</v>
      </c>
      <c r="V249" s="17" t="s">
        <v>38</v>
      </c>
      <c r="W249" s="47">
        <f t="shared" ca="1" si="9"/>
        <v>37</v>
      </c>
      <c r="X249" s="42">
        <f t="shared" si="10"/>
        <v>11</v>
      </c>
      <c r="Y249" s="42" t="str">
        <f t="shared" si="11"/>
        <v>Delayed</v>
      </c>
    </row>
    <row r="250" spans="1:25" x14ac:dyDescent="0.5">
      <c r="A250" s="15" t="s">
        <v>1197</v>
      </c>
      <c r="B250" s="15" t="s">
        <v>71</v>
      </c>
      <c r="C250" s="15" t="s">
        <v>24</v>
      </c>
      <c r="D250" s="32">
        <v>46019</v>
      </c>
      <c r="E250" s="32">
        <v>46027</v>
      </c>
      <c r="F250" s="15" t="s">
        <v>217</v>
      </c>
      <c r="G250" s="15" t="s">
        <v>76</v>
      </c>
      <c r="H250" s="36">
        <v>31022</v>
      </c>
      <c r="I250" s="15" t="s">
        <v>59</v>
      </c>
      <c r="J250" s="15" t="s">
        <v>31</v>
      </c>
      <c r="K250" s="15" t="s">
        <v>32</v>
      </c>
      <c r="L250" s="15" t="s">
        <v>33</v>
      </c>
      <c r="M250" s="15">
        <v>9</v>
      </c>
      <c r="N250" s="25">
        <v>2200</v>
      </c>
      <c r="O250" s="15">
        <v>10</v>
      </c>
      <c r="P250" s="25">
        <v>17820</v>
      </c>
      <c r="Q250" s="15">
        <v>2</v>
      </c>
      <c r="R250" s="15" t="s">
        <v>1201</v>
      </c>
      <c r="S250" s="15" t="s">
        <v>61</v>
      </c>
      <c r="T250" s="15" t="s">
        <v>80</v>
      </c>
      <c r="U250" s="15">
        <v>9921470418</v>
      </c>
      <c r="V250" s="15" t="s">
        <v>69</v>
      </c>
      <c r="W250" s="46">
        <f t="shared" ca="1" si="9"/>
        <v>41</v>
      </c>
      <c r="X250" s="42">
        <f t="shared" si="10"/>
        <v>8</v>
      </c>
      <c r="Y250" s="42" t="str">
        <f t="shared" si="11"/>
        <v>Delayed</v>
      </c>
    </row>
    <row r="251" spans="1:25" x14ac:dyDescent="0.5">
      <c r="A251" s="17" t="s">
        <v>1203</v>
      </c>
      <c r="B251" s="17" t="s">
        <v>327</v>
      </c>
      <c r="C251" s="17" t="s">
        <v>169</v>
      </c>
      <c r="D251" s="33">
        <v>45792</v>
      </c>
      <c r="E251" s="33">
        <v>45794</v>
      </c>
      <c r="F251" s="15" t="s">
        <v>394</v>
      </c>
      <c r="G251" s="17" t="s">
        <v>76</v>
      </c>
      <c r="H251" s="37">
        <v>32994</v>
      </c>
      <c r="I251" s="17" t="s">
        <v>59</v>
      </c>
      <c r="J251" s="17" t="s">
        <v>31</v>
      </c>
      <c r="K251" s="17" t="s">
        <v>32</v>
      </c>
      <c r="L251" s="17" t="s">
        <v>174</v>
      </c>
      <c r="M251" s="17">
        <v>6</v>
      </c>
      <c r="N251" s="26">
        <v>8500</v>
      </c>
      <c r="O251" s="17">
        <v>15</v>
      </c>
      <c r="P251" s="26">
        <v>43350</v>
      </c>
      <c r="Q251" s="17">
        <v>2</v>
      </c>
      <c r="R251" s="17" t="s">
        <v>34</v>
      </c>
      <c r="S251" s="17" t="s">
        <v>151</v>
      </c>
      <c r="T251" s="15" t="s">
        <v>332</v>
      </c>
      <c r="U251" s="17">
        <v>9686979026</v>
      </c>
      <c r="V251" s="17" t="s">
        <v>69</v>
      </c>
      <c r="W251" s="47">
        <f t="shared" ca="1" si="9"/>
        <v>36</v>
      </c>
      <c r="X251" s="42">
        <f t="shared" si="10"/>
        <v>2</v>
      </c>
      <c r="Y251" s="42" t="str">
        <f t="shared" si="11"/>
        <v xml:space="preserve">On Time </v>
      </c>
    </row>
    <row r="252" spans="1:25" x14ac:dyDescent="0.5">
      <c r="A252" s="15" t="s">
        <v>1207</v>
      </c>
      <c r="B252" s="15" t="s">
        <v>221</v>
      </c>
      <c r="C252" s="15" t="s">
        <v>24</v>
      </c>
      <c r="D252" s="32">
        <v>46070</v>
      </c>
      <c r="E252" s="32">
        <v>46078</v>
      </c>
      <c r="F252" s="15" t="s">
        <v>225</v>
      </c>
      <c r="G252" s="15" t="s">
        <v>76</v>
      </c>
      <c r="H252" s="36">
        <v>32182</v>
      </c>
      <c r="I252" s="15" t="s">
        <v>44</v>
      </c>
      <c r="J252" s="15" t="s">
        <v>45</v>
      </c>
      <c r="K252" s="15" t="s">
        <v>32</v>
      </c>
      <c r="L252" s="15" t="s">
        <v>33</v>
      </c>
      <c r="M252" s="15">
        <v>9</v>
      </c>
      <c r="N252" s="25">
        <v>2200</v>
      </c>
      <c r="O252" s="15">
        <v>10</v>
      </c>
      <c r="P252" s="25">
        <v>17820</v>
      </c>
      <c r="Q252" s="15">
        <v>3</v>
      </c>
      <c r="R252" s="15" t="s">
        <v>79</v>
      </c>
      <c r="S252" s="15" t="s">
        <v>35</v>
      </c>
      <c r="T252" s="15" t="s">
        <v>228</v>
      </c>
      <c r="U252" s="15">
        <v>9569007422</v>
      </c>
      <c r="V252" s="15" t="s">
        <v>64</v>
      </c>
      <c r="W252" s="46">
        <f t="shared" ca="1" si="9"/>
        <v>38</v>
      </c>
      <c r="X252" s="42">
        <f t="shared" si="10"/>
        <v>8</v>
      </c>
      <c r="Y252" s="42" t="str">
        <f t="shared" si="11"/>
        <v>Delayed</v>
      </c>
    </row>
    <row r="253" spans="1:25" x14ac:dyDescent="0.5">
      <c r="A253" s="17" t="s">
        <v>1210</v>
      </c>
      <c r="B253" s="17" t="s">
        <v>23</v>
      </c>
      <c r="C253" s="17" t="s">
        <v>169</v>
      </c>
      <c r="D253" s="33">
        <v>45739</v>
      </c>
      <c r="E253" s="33">
        <v>45742</v>
      </c>
      <c r="F253" s="15" t="s">
        <v>27</v>
      </c>
      <c r="G253" s="17" t="s">
        <v>28</v>
      </c>
      <c r="H253" s="37">
        <v>30038</v>
      </c>
      <c r="I253" s="17" t="s">
        <v>294</v>
      </c>
      <c r="J253" s="17" t="s">
        <v>295</v>
      </c>
      <c r="K253" s="17" t="s">
        <v>32</v>
      </c>
      <c r="L253" s="17" t="s">
        <v>174</v>
      </c>
      <c r="M253" s="17">
        <v>16</v>
      </c>
      <c r="N253" s="26">
        <v>8500</v>
      </c>
      <c r="O253" s="17">
        <v>0</v>
      </c>
      <c r="P253" s="26">
        <v>136000</v>
      </c>
      <c r="Q253" s="17">
        <v>5</v>
      </c>
      <c r="R253" s="17" t="s">
        <v>88</v>
      </c>
      <c r="S253" s="17" t="s">
        <v>115</v>
      </c>
      <c r="T253" s="15" t="s">
        <v>50</v>
      </c>
      <c r="U253" s="17">
        <v>9180820441</v>
      </c>
      <c r="V253" s="17" t="s">
        <v>69</v>
      </c>
      <c r="W253" s="47">
        <f t="shared" ca="1" si="9"/>
        <v>44</v>
      </c>
      <c r="X253" s="42">
        <f t="shared" si="10"/>
        <v>3</v>
      </c>
      <c r="Y253" s="42" t="str">
        <f t="shared" si="11"/>
        <v xml:space="preserve">On Time </v>
      </c>
    </row>
    <row r="254" spans="1:25" x14ac:dyDescent="0.5">
      <c r="A254" s="15" t="s">
        <v>1213</v>
      </c>
      <c r="B254" s="15" t="s">
        <v>327</v>
      </c>
      <c r="C254" s="15" t="s">
        <v>72</v>
      </c>
      <c r="D254" s="32">
        <v>46006</v>
      </c>
      <c r="E254" s="32">
        <v>46007</v>
      </c>
      <c r="F254" s="15" t="s">
        <v>394</v>
      </c>
      <c r="G254" s="15" t="s">
        <v>76</v>
      </c>
      <c r="H254" s="36">
        <v>28122</v>
      </c>
      <c r="I254" s="15" t="s">
        <v>44</v>
      </c>
      <c r="J254" s="15" t="s">
        <v>45</v>
      </c>
      <c r="K254" s="15" t="s">
        <v>46</v>
      </c>
      <c r="L254" s="15" t="s">
        <v>78</v>
      </c>
      <c r="M254" s="15">
        <v>10</v>
      </c>
      <c r="N254" s="25">
        <v>1200</v>
      </c>
      <c r="O254" s="15">
        <v>15</v>
      </c>
      <c r="P254" s="25">
        <v>10200</v>
      </c>
      <c r="Q254" s="15">
        <v>5</v>
      </c>
      <c r="R254" s="15" t="s">
        <v>34</v>
      </c>
      <c r="S254" s="15" t="s">
        <v>49</v>
      </c>
      <c r="T254" s="15" t="s">
        <v>332</v>
      </c>
      <c r="U254" s="15">
        <v>9769075826</v>
      </c>
      <c r="V254" s="15" t="s">
        <v>38</v>
      </c>
      <c r="W254" s="46">
        <f t="shared" ca="1" si="9"/>
        <v>49</v>
      </c>
      <c r="X254" s="42">
        <f t="shared" si="10"/>
        <v>1</v>
      </c>
      <c r="Y254" s="42" t="str">
        <f t="shared" si="11"/>
        <v xml:space="preserve">On Time </v>
      </c>
    </row>
    <row r="255" spans="1:25" x14ac:dyDescent="0.5">
      <c r="A255" s="17" t="s">
        <v>1217</v>
      </c>
      <c r="B255" s="17" t="s">
        <v>127</v>
      </c>
      <c r="C255" s="17" t="s">
        <v>40</v>
      </c>
      <c r="D255" s="33">
        <v>45721</v>
      </c>
      <c r="E255" s="33">
        <v>45731</v>
      </c>
      <c r="F255" s="15" t="s">
        <v>200</v>
      </c>
      <c r="G255" s="17" t="s">
        <v>76</v>
      </c>
      <c r="H255" s="37">
        <v>37836</v>
      </c>
      <c r="I255" s="17" t="s">
        <v>294</v>
      </c>
      <c r="J255" s="17" t="s">
        <v>295</v>
      </c>
      <c r="K255" s="17" t="s">
        <v>46</v>
      </c>
      <c r="L255" s="17" t="s">
        <v>47</v>
      </c>
      <c r="M255" s="17">
        <v>7</v>
      </c>
      <c r="N255" s="26">
        <v>12000</v>
      </c>
      <c r="O255" s="17">
        <v>0</v>
      </c>
      <c r="P255" s="26">
        <v>84000</v>
      </c>
      <c r="Q255" s="17">
        <v>1</v>
      </c>
      <c r="R255" s="17" t="s">
        <v>88</v>
      </c>
      <c r="S255" s="17" t="s">
        <v>151</v>
      </c>
      <c r="T255" s="15" t="s">
        <v>132</v>
      </c>
      <c r="U255" s="17">
        <v>9467916296</v>
      </c>
      <c r="V255" s="17" t="s">
        <v>64</v>
      </c>
      <c r="W255" s="47">
        <f t="shared" ca="1" si="9"/>
        <v>23</v>
      </c>
      <c r="X255" s="42">
        <f t="shared" si="10"/>
        <v>10</v>
      </c>
      <c r="Y255" s="42" t="str">
        <f t="shared" si="11"/>
        <v>Delayed</v>
      </c>
    </row>
    <row r="256" spans="1:25" x14ac:dyDescent="0.5">
      <c r="A256" s="15" t="s">
        <v>1220</v>
      </c>
      <c r="B256" s="15" t="s">
        <v>221</v>
      </c>
      <c r="C256" s="15" t="s">
        <v>40</v>
      </c>
      <c r="D256" s="32">
        <v>45919</v>
      </c>
      <c r="E256" s="32">
        <v>45931</v>
      </c>
      <c r="F256" s="15" t="s">
        <v>225</v>
      </c>
      <c r="G256" s="15" t="s">
        <v>76</v>
      </c>
      <c r="H256" s="36">
        <v>31538</v>
      </c>
      <c r="I256" s="15" t="s">
        <v>114</v>
      </c>
      <c r="J256" s="15" t="s">
        <v>106</v>
      </c>
      <c r="K256" s="15" t="s">
        <v>46</v>
      </c>
      <c r="L256" s="15" t="s">
        <v>47</v>
      </c>
      <c r="M256" s="15">
        <v>3</v>
      </c>
      <c r="N256" s="25">
        <v>12000</v>
      </c>
      <c r="O256" s="15">
        <v>10</v>
      </c>
      <c r="P256" s="25">
        <v>32400</v>
      </c>
      <c r="Q256" s="15">
        <v>4</v>
      </c>
      <c r="R256" s="15" t="s">
        <v>79</v>
      </c>
      <c r="S256" s="15" t="s">
        <v>151</v>
      </c>
      <c r="T256" s="15" t="s">
        <v>228</v>
      </c>
      <c r="U256" s="15">
        <v>9477052923</v>
      </c>
      <c r="V256" s="15" t="s">
        <v>38</v>
      </c>
      <c r="W256" s="46">
        <f t="shared" ca="1" si="9"/>
        <v>40</v>
      </c>
      <c r="X256" s="42">
        <f t="shared" si="10"/>
        <v>12</v>
      </c>
      <c r="Y256" s="42" t="str">
        <f t="shared" si="11"/>
        <v>Delayed</v>
      </c>
    </row>
    <row r="257" spans="1:25" x14ac:dyDescent="0.5">
      <c r="A257" s="17" t="s">
        <v>1224</v>
      </c>
      <c r="B257" s="17" t="s">
        <v>221</v>
      </c>
      <c r="C257" s="17" t="s">
        <v>40</v>
      </c>
      <c r="D257" s="33">
        <v>45964</v>
      </c>
      <c r="E257" s="33">
        <v>45970</v>
      </c>
      <c r="F257" s="15" t="s">
        <v>225</v>
      </c>
      <c r="G257" s="17" t="s">
        <v>76</v>
      </c>
      <c r="H257" s="37">
        <v>32543</v>
      </c>
      <c r="I257" s="17" t="s">
        <v>30</v>
      </c>
      <c r="J257" s="17" t="s">
        <v>31</v>
      </c>
      <c r="K257" s="17" t="s">
        <v>46</v>
      </c>
      <c r="L257" s="17" t="s">
        <v>47</v>
      </c>
      <c r="M257" s="17">
        <v>4</v>
      </c>
      <c r="N257" s="26">
        <v>12000</v>
      </c>
      <c r="O257" s="17">
        <v>15</v>
      </c>
      <c r="P257" s="26">
        <v>40800</v>
      </c>
      <c r="Q257" s="17">
        <v>3</v>
      </c>
      <c r="R257" s="17" t="s">
        <v>79</v>
      </c>
      <c r="S257" s="17" t="s">
        <v>35</v>
      </c>
      <c r="T257" s="15" t="s">
        <v>228</v>
      </c>
      <c r="U257" s="17">
        <v>9184311420</v>
      </c>
      <c r="V257" s="17" t="s">
        <v>64</v>
      </c>
      <c r="W257" s="47">
        <f t="shared" ca="1" si="9"/>
        <v>37</v>
      </c>
      <c r="X257" s="42">
        <f t="shared" si="10"/>
        <v>6</v>
      </c>
      <c r="Y257" s="42" t="str">
        <f t="shared" si="11"/>
        <v>Delayed</v>
      </c>
    </row>
    <row r="258" spans="1:25" x14ac:dyDescent="0.5">
      <c r="A258" s="15" t="s">
        <v>1228</v>
      </c>
      <c r="B258" s="15" t="s">
        <v>127</v>
      </c>
      <c r="C258" s="15" t="s">
        <v>40</v>
      </c>
      <c r="D258" s="32">
        <v>45824</v>
      </c>
      <c r="E258" s="32">
        <v>45826</v>
      </c>
      <c r="F258" s="15" t="s">
        <v>200</v>
      </c>
      <c r="G258" s="15" t="s">
        <v>76</v>
      </c>
      <c r="H258" s="36">
        <v>29259</v>
      </c>
      <c r="I258" s="15" t="s">
        <v>30</v>
      </c>
      <c r="J258" s="15" t="s">
        <v>31</v>
      </c>
      <c r="K258" s="15" t="s">
        <v>46</v>
      </c>
      <c r="L258" s="15" t="s">
        <v>47</v>
      </c>
      <c r="M258" s="15">
        <v>13</v>
      </c>
      <c r="N258" s="25">
        <v>12000</v>
      </c>
      <c r="O258" s="15">
        <v>10</v>
      </c>
      <c r="P258" s="25">
        <v>140400</v>
      </c>
      <c r="Q258" s="15">
        <v>2</v>
      </c>
      <c r="R258" s="15" t="s">
        <v>34</v>
      </c>
      <c r="S258" s="15" t="s">
        <v>151</v>
      </c>
      <c r="T258" s="15" t="s">
        <v>132</v>
      </c>
      <c r="U258" s="15">
        <v>9630913127</v>
      </c>
      <c r="V258" s="15" t="s">
        <v>69</v>
      </c>
      <c r="W258" s="46">
        <f t="shared" ca="1" si="9"/>
        <v>46</v>
      </c>
      <c r="X258" s="42">
        <f t="shared" si="10"/>
        <v>2</v>
      </c>
      <c r="Y258" s="42" t="str">
        <f t="shared" si="11"/>
        <v xml:space="preserve">On Time </v>
      </c>
    </row>
    <row r="259" spans="1:25" x14ac:dyDescent="0.5">
      <c r="A259" s="17" t="s">
        <v>1231</v>
      </c>
      <c r="B259" s="17" t="s">
        <v>23</v>
      </c>
      <c r="C259" s="17" t="s">
        <v>92</v>
      </c>
      <c r="D259" s="33">
        <v>45812</v>
      </c>
      <c r="E259" s="33">
        <v>45819</v>
      </c>
      <c r="F259" s="15" t="s">
        <v>27</v>
      </c>
      <c r="G259" s="17" t="s">
        <v>28</v>
      </c>
      <c r="H259" s="37">
        <v>31060</v>
      </c>
      <c r="I259" s="17" t="s">
        <v>59</v>
      </c>
      <c r="J259" s="17" t="s">
        <v>31</v>
      </c>
      <c r="K259" s="17" t="s">
        <v>32</v>
      </c>
      <c r="L259" s="17" t="s">
        <v>97</v>
      </c>
      <c r="M259" s="17">
        <v>19</v>
      </c>
      <c r="N259" s="26">
        <v>3500</v>
      </c>
      <c r="O259" s="17">
        <v>20</v>
      </c>
      <c r="P259" s="26">
        <v>53200</v>
      </c>
      <c r="Q259" s="17">
        <v>1</v>
      </c>
      <c r="R259" s="17" t="s">
        <v>34</v>
      </c>
      <c r="S259" s="17" t="s">
        <v>61</v>
      </c>
      <c r="T259" s="15" t="s">
        <v>50</v>
      </c>
      <c r="U259" s="17">
        <v>9997515828</v>
      </c>
      <c r="V259" s="17" t="s">
        <v>69</v>
      </c>
      <c r="W259" s="47">
        <f t="shared" ref="W259:W322" ca="1" si="12">DATEDIF(H259, TODAY(), "y")</f>
        <v>41</v>
      </c>
      <c r="X259" s="42">
        <f t="shared" ref="X259:X322" si="13">IF(OR(ISBLANK(D259), ISBLANK(E259)), "Not Available", E259-D259)</f>
        <v>7</v>
      </c>
      <c r="Y259" s="42" t="str">
        <f t="shared" ref="Y259:Y322" si="14">IF(ISBLANK(E259), "Pending", IF(E259-D259&lt;=5, "On Time ",  "Delayed"))</f>
        <v>Delayed</v>
      </c>
    </row>
    <row r="260" spans="1:25" x14ac:dyDescent="0.5">
      <c r="A260" s="15" t="s">
        <v>1234</v>
      </c>
      <c r="B260" s="15" t="s">
        <v>23</v>
      </c>
      <c r="C260" s="15" t="s">
        <v>24</v>
      </c>
      <c r="D260" s="32">
        <v>45695</v>
      </c>
      <c r="E260" s="32">
        <v>45700</v>
      </c>
      <c r="F260" s="15" t="s">
        <v>27</v>
      </c>
      <c r="G260" s="15" t="s">
        <v>28</v>
      </c>
      <c r="H260" s="36">
        <v>29060</v>
      </c>
      <c r="I260" s="15" t="s">
        <v>105</v>
      </c>
      <c r="J260" s="15" t="s">
        <v>106</v>
      </c>
      <c r="K260" s="15" t="s">
        <v>32</v>
      </c>
      <c r="L260" s="15" t="s">
        <v>33</v>
      </c>
      <c r="M260" s="15">
        <v>7</v>
      </c>
      <c r="N260" s="25">
        <v>2200</v>
      </c>
      <c r="O260" s="15">
        <v>5</v>
      </c>
      <c r="P260" s="25">
        <v>14630</v>
      </c>
      <c r="Q260" s="15">
        <v>3</v>
      </c>
      <c r="R260" s="15" t="s">
        <v>88</v>
      </c>
      <c r="S260" s="15" t="s">
        <v>61</v>
      </c>
      <c r="T260" s="15" t="s">
        <v>50</v>
      </c>
      <c r="U260" s="15">
        <v>9394291182</v>
      </c>
      <c r="V260" s="15" t="s">
        <v>69</v>
      </c>
      <c r="W260" s="46">
        <f t="shared" ca="1" si="12"/>
        <v>47</v>
      </c>
      <c r="X260" s="42">
        <f t="shared" si="13"/>
        <v>5</v>
      </c>
      <c r="Y260" s="42" t="str">
        <f t="shared" si="14"/>
        <v xml:space="preserve">On Time </v>
      </c>
    </row>
    <row r="261" spans="1:25" x14ac:dyDescent="0.5">
      <c r="A261" s="17" t="s">
        <v>1237</v>
      </c>
      <c r="B261" s="17" t="s">
        <v>83</v>
      </c>
      <c r="C261" s="17" t="s">
        <v>184</v>
      </c>
      <c r="D261" s="33">
        <v>46151</v>
      </c>
      <c r="E261" s="33">
        <v>46155</v>
      </c>
      <c r="F261" s="15" t="s">
        <v>180</v>
      </c>
      <c r="G261" s="17" t="s">
        <v>76</v>
      </c>
      <c r="H261" s="37">
        <v>34184</v>
      </c>
      <c r="I261" s="17" t="s">
        <v>212</v>
      </c>
      <c r="J261" s="17" t="s">
        <v>45</v>
      </c>
      <c r="K261" s="17" t="s">
        <v>46</v>
      </c>
      <c r="L261" s="17" t="s">
        <v>189</v>
      </c>
      <c r="M261" s="17">
        <v>18</v>
      </c>
      <c r="N261" s="26">
        <v>700</v>
      </c>
      <c r="O261" s="17">
        <v>5</v>
      </c>
      <c r="P261" s="26">
        <v>11970</v>
      </c>
      <c r="Q261" s="17">
        <v>2</v>
      </c>
      <c r="R261" s="17" t="s">
        <v>88</v>
      </c>
      <c r="S261" s="17" t="s">
        <v>61</v>
      </c>
      <c r="T261" s="15" t="s">
        <v>89</v>
      </c>
      <c r="U261" s="17">
        <v>9616853220</v>
      </c>
      <c r="V261" s="17" t="s">
        <v>69</v>
      </c>
      <c r="W261" s="47">
        <f t="shared" ca="1" si="12"/>
        <v>33</v>
      </c>
      <c r="X261" s="42">
        <f t="shared" si="13"/>
        <v>4</v>
      </c>
      <c r="Y261" s="42" t="str">
        <f t="shared" si="14"/>
        <v xml:space="preserve">On Time </v>
      </c>
    </row>
    <row r="262" spans="1:25" x14ac:dyDescent="0.5">
      <c r="A262" s="15" t="s">
        <v>1241</v>
      </c>
      <c r="B262" s="15" t="s">
        <v>23</v>
      </c>
      <c r="C262" s="15" t="s">
        <v>222</v>
      </c>
      <c r="D262" s="32">
        <v>45858</v>
      </c>
      <c r="E262" s="32">
        <v>45868</v>
      </c>
      <c r="F262" s="15" t="s">
        <v>27</v>
      </c>
      <c r="G262" s="15" t="s">
        <v>28</v>
      </c>
      <c r="H262" s="36">
        <v>27629</v>
      </c>
      <c r="I262" s="15" t="s">
        <v>294</v>
      </c>
      <c r="J262" s="15" t="s">
        <v>295</v>
      </c>
      <c r="K262" s="15" t="s">
        <v>122</v>
      </c>
      <c r="L262" s="15" t="s">
        <v>227</v>
      </c>
      <c r="M262" s="15">
        <v>11</v>
      </c>
      <c r="N262" s="25">
        <v>20</v>
      </c>
      <c r="O262" s="15">
        <v>0</v>
      </c>
      <c r="P262" s="25">
        <v>220</v>
      </c>
      <c r="Q262" s="15">
        <v>2</v>
      </c>
      <c r="R262" s="15" t="s">
        <v>48</v>
      </c>
      <c r="S262" s="15" t="s">
        <v>115</v>
      </c>
      <c r="T262" s="15" t="s">
        <v>50</v>
      </c>
      <c r="U262" s="15">
        <v>9147552626</v>
      </c>
      <c r="V262" s="15" t="s">
        <v>69</v>
      </c>
      <c r="W262" s="46">
        <f t="shared" ca="1" si="12"/>
        <v>51</v>
      </c>
      <c r="X262" s="42">
        <f t="shared" si="13"/>
        <v>10</v>
      </c>
      <c r="Y262" s="42" t="str">
        <f t="shared" si="14"/>
        <v>Delayed</v>
      </c>
    </row>
    <row r="263" spans="1:25" x14ac:dyDescent="0.5">
      <c r="A263" s="17" t="s">
        <v>1245</v>
      </c>
      <c r="B263" s="17" t="s">
        <v>327</v>
      </c>
      <c r="C263" s="17" t="s">
        <v>40</v>
      </c>
      <c r="D263" s="33">
        <v>45716</v>
      </c>
      <c r="E263" s="33">
        <v>45723</v>
      </c>
      <c r="F263" s="15" t="s">
        <v>394</v>
      </c>
      <c r="G263" s="17" t="s">
        <v>76</v>
      </c>
      <c r="H263" s="37">
        <v>28603</v>
      </c>
      <c r="I263" s="17" t="s">
        <v>114</v>
      </c>
      <c r="J263" s="17" t="s">
        <v>106</v>
      </c>
      <c r="K263" s="17" t="s">
        <v>46</v>
      </c>
      <c r="L263" s="17" t="s">
        <v>47</v>
      </c>
      <c r="M263" s="17">
        <v>17</v>
      </c>
      <c r="N263" s="26">
        <v>12000</v>
      </c>
      <c r="O263" s="17">
        <v>20</v>
      </c>
      <c r="P263" s="26">
        <v>163200</v>
      </c>
      <c r="Q263" s="17">
        <v>4</v>
      </c>
      <c r="R263" s="17" t="s">
        <v>88</v>
      </c>
      <c r="S263" s="17" t="s">
        <v>151</v>
      </c>
      <c r="T263" s="15" t="s">
        <v>332</v>
      </c>
      <c r="U263" s="17">
        <v>9724197033</v>
      </c>
      <c r="V263" s="17" t="s">
        <v>38</v>
      </c>
      <c r="W263" s="47">
        <f t="shared" ca="1" si="12"/>
        <v>48</v>
      </c>
      <c r="X263" s="42">
        <f t="shared" si="13"/>
        <v>7</v>
      </c>
      <c r="Y263" s="42" t="str">
        <f t="shared" si="14"/>
        <v>Delayed</v>
      </c>
    </row>
    <row r="264" spans="1:25" x14ac:dyDescent="0.5">
      <c r="A264" s="15" t="s">
        <v>1248</v>
      </c>
      <c r="B264" s="15" t="s">
        <v>251</v>
      </c>
      <c r="C264" s="15" t="s">
        <v>24</v>
      </c>
      <c r="D264" s="32">
        <v>45846</v>
      </c>
      <c r="E264" s="32">
        <v>45851</v>
      </c>
      <c r="F264" s="15" t="s">
        <v>254</v>
      </c>
      <c r="G264" s="15" t="s">
        <v>28</v>
      </c>
      <c r="H264" s="36">
        <v>37889</v>
      </c>
      <c r="I264" s="15" t="s">
        <v>294</v>
      </c>
      <c r="J264" s="15" t="s">
        <v>295</v>
      </c>
      <c r="K264" s="15" t="s">
        <v>32</v>
      </c>
      <c r="L264" s="15" t="s">
        <v>33</v>
      </c>
      <c r="M264" s="15">
        <v>4</v>
      </c>
      <c r="N264" s="25">
        <v>2200</v>
      </c>
      <c r="O264" s="15">
        <v>5</v>
      </c>
      <c r="P264" s="25">
        <v>8360</v>
      </c>
      <c r="Q264" s="15">
        <v>2</v>
      </c>
      <c r="R264" s="15" t="s">
        <v>34</v>
      </c>
      <c r="S264" s="15" t="s">
        <v>35</v>
      </c>
      <c r="T264" s="15" t="s">
        <v>256</v>
      </c>
      <c r="U264" s="15">
        <v>9130666128</v>
      </c>
      <c r="V264" s="15" t="s">
        <v>38</v>
      </c>
      <c r="W264" s="46">
        <f t="shared" ca="1" si="12"/>
        <v>23</v>
      </c>
      <c r="X264" s="42">
        <f t="shared" si="13"/>
        <v>5</v>
      </c>
      <c r="Y264" s="42" t="str">
        <f t="shared" si="14"/>
        <v xml:space="preserve">On Time </v>
      </c>
    </row>
    <row r="265" spans="1:25" x14ac:dyDescent="0.5">
      <c r="A265" s="17" t="s">
        <v>1252</v>
      </c>
      <c r="B265" s="17" t="s">
        <v>23</v>
      </c>
      <c r="C265" s="17" t="s">
        <v>54</v>
      </c>
      <c r="D265" s="33">
        <v>46003</v>
      </c>
      <c r="E265" s="33">
        <v>46010</v>
      </c>
      <c r="F265" s="15" t="s">
        <v>27</v>
      </c>
      <c r="G265" s="17" t="s">
        <v>28</v>
      </c>
      <c r="H265" s="37">
        <v>37355</v>
      </c>
      <c r="I265" s="17" t="s">
        <v>138</v>
      </c>
      <c r="J265" s="17" t="s">
        <v>106</v>
      </c>
      <c r="K265" s="17" t="s">
        <v>46</v>
      </c>
      <c r="L265" s="17" t="s">
        <v>60</v>
      </c>
      <c r="M265" s="17">
        <v>6</v>
      </c>
      <c r="N265" s="26">
        <v>55000</v>
      </c>
      <c r="O265" s="17">
        <v>20</v>
      </c>
      <c r="P265" s="26">
        <v>264000</v>
      </c>
      <c r="Q265" s="17">
        <v>2</v>
      </c>
      <c r="R265" s="17" t="s">
        <v>88</v>
      </c>
      <c r="S265" s="17" t="s">
        <v>151</v>
      </c>
      <c r="T265" s="15" t="s">
        <v>50</v>
      </c>
      <c r="U265" s="17">
        <v>9866567601</v>
      </c>
      <c r="V265" s="17" t="s">
        <v>69</v>
      </c>
      <c r="W265" s="47">
        <f t="shared" ca="1" si="12"/>
        <v>24</v>
      </c>
      <c r="X265" s="42">
        <f t="shared" si="13"/>
        <v>7</v>
      </c>
      <c r="Y265" s="42" t="str">
        <f t="shared" si="14"/>
        <v>Delayed</v>
      </c>
    </row>
    <row r="266" spans="1:25" x14ac:dyDescent="0.5">
      <c r="A266" s="15" t="s">
        <v>1256</v>
      </c>
      <c r="B266" s="15" t="s">
        <v>71</v>
      </c>
      <c r="C266" s="15" t="s">
        <v>169</v>
      </c>
      <c r="D266" s="32">
        <v>46026</v>
      </c>
      <c r="E266" s="32">
        <v>46036</v>
      </c>
      <c r="F266" s="15" t="s">
        <v>217</v>
      </c>
      <c r="G266" s="15" t="s">
        <v>76</v>
      </c>
      <c r="H266" s="36">
        <v>31314</v>
      </c>
      <c r="I266" s="15" t="s">
        <v>44</v>
      </c>
      <c r="J266" s="15" t="s">
        <v>45</v>
      </c>
      <c r="K266" s="15" t="s">
        <v>32</v>
      </c>
      <c r="L266" s="15" t="s">
        <v>174</v>
      </c>
      <c r="M266" s="15">
        <v>6</v>
      </c>
      <c r="N266" s="25">
        <v>8500</v>
      </c>
      <c r="O266" s="15">
        <v>10</v>
      </c>
      <c r="P266" s="25">
        <v>45900</v>
      </c>
      <c r="Q266" s="15">
        <v>5</v>
      </c>
      <c r="R266" s="15" t="s">
        <v>88</v>
      </c>
      <c r="S266" s="15" t="s">
        <v>61</v>
      </c>
      <c r="T266" s="15" t="s">
        <v>80</v>
      </c>
      <c r="U266" s="15">
        <v>9477282450</v>
      </c>
      <c r="V266" s="15" t="s">
        <v>38</v>
      </c>
      <c r="W266" s="46">
        <f t="shared" ca="1" si="12"/>
        <v>41</v>
      </c>
      <c r="X266" s="42">
        <f t="shared" si="13"/>
        <v>10</v>
      </c>
      <c r="Y266" s="42" t="str">
        <f t="shared" si="14"/>
        <v>Delayed</v>
      </c>
    </row>
    <row r="267" spans="1:25" x14ac:dyDescent="0.5">
      <c r="A267" s="17" t="s">
        <v>1259</v>
      </c>
      <c r="B267" s="17" t="s">
        <v>23</v>
      </c>
      <c r="C267" s="17" t="s">
        <v>222</v>
      </c>
      <c r="D267" s="33">
        <v>45889</v>
      </c>
      <c r="E267" s="33">
        <v>45894</v>
      </c>
      <c r="F267" s="15" t="s">
        <v>27</v>
      </c>
      <c r="G267" s="17" t="s">
        <v>28</v>
      </c>
      <c r="H267" s="37">
        <v>31028</v>
      </c>
      <c r="I267" s="17" t="s">
        <v>212</v>
      </c>
      <c r="J267" s="17" t="s">
        <v>45</v>
      </c>
      <c r="K267" s="17" t="s">
        <v>122</v>
      </c>
      <c r="L267" s="17" t="s">
        <v>227</v>
      </c>
      <c r="M267" s="17">
        <v>6</v>
      </c>
      <c r="N267" s="26">
        <v>20</v>
      </c>
      <c r="O267" s="17">
        <v>15</v>
      </c>
      <c r="P267" s="26">
        <v>102</v>
      </c>
      <c r="Q267" s="17">
        <v>2</v>
      </c>
      <c r="R267" s="17" t="s">
        <v>88</v>
      </c>
      <c r="S267" s="17" t="s">
        <v>49</v>
      </c>
      <c r="T267" s="15" t="s">
        <v>50</v>
      </c>
      <c r="U267" s="17">
        <v>9857621478</v>
      </c>
      <c r="V267" s="17" t="s">
        <v>69</v>
      </c>
      <c r="W267" s="47">
        <f t="shared" ca="1" si="12"/>
        <v>41</v>
      </c>
      <c r="X267" s="42">
        <f t="shared" si="13"/>
        <v>5</v>
      </c>
      <c r="Y267" s="42" t="str">
        <f t="shared" si="14"/>
        <v xml:space="preserve">On Time </v>
      </c>
    </row>
    <row r="268" spans="1:25" x14ac:dyDescent="0.5">
      <c r="A268" s="15" t="s">
        <v>1262</v>
      </c>
      <c r="B268" s="15" t="s">
        <v>53</v>
      </c>
      <c r="C268" s="15" t="s">
        <v>118</v>
      </c>
      <c r="D268" s="32">
        <v>45780</v>
      </c>
      <c r="E268" s="32">
        <v>45788</v>
      </c>
      <c r="F268" s="15" t="s">
        <v>163</v>
      </c>
      <c r="G268" s="15" t="s">
        <v>28</v>
      </c>
      <c r="H268" s="36">
        <v>30883</v>
      </c>
      <c r="I268" s="15" t="s">
        <v>105</v>
      </c>
      <c r="J268" s="15" t="s">
        <v>106</v>
      </c>
      <c r="K268" s="15" t="s">
        <v>122</v>
      </c>
      <c r="L268" s="15" t="s">
        <v>123</v>
      </c>
      <c r="M268" s="15">
        <v>6</v>
      </c>
      <c r="N268" s="25">
        <v>60</v>
      </c>
      <c r="O268" s="15">
        <v>5</v>
      </c>
      <c r="P268" s="25">
        <v>342</v>
      </c>
      <c r="Q268" s="15">
        <v>1</v>
      </c>
      <c r="R268" s="15" t="s">
        <v>48</v>
      </c>
      <c r="S268" s="15" t="s">
        <v>61</v>
      </c>
      <c r="T268" s="15" t="s">
        <v>62</v>
      </c>
      <c r="U268" s="15">
        <v>9753869055</v>
      </c>
      <c r="V268" s="15" t="s">
        <v>38</v>
      </c>
      <c r="W268" s="46">
        <f t="shared" ca="1" si="12"/>
        <v>42</v>
      </c>
      <c r="X268" s="42">
        <f t="shared" si="13"/>
        <v>8</v>
      </c>
      <c r="Y268" s="42" t="str">
        <f t="shared" si="14"/>
        <v>Delayed</v>
      </c>
    </row>
    <row r="269" spans="1:25" x14ac:dyDescent="0.5">
      <c r="A269" s="17" t="s">
        <v>1266</v>
      </c>
      <c r="B269" s="17" t="s">
        <v>127</v>
      </c>
      <c r="C269" s="17" t="s">
        <v>169</v>
      </c>
      <c r="D269" s="33">
        <v>45666</v>
      </c>
      <c r="E269" s="33">
        <v>45669</v>
      </c>
      <c r="F269" s="15" t="s">
        <v>200</v>
      </c>
      <c r="G269" s="17" t="s">
        <v>76</v>
      </c>
      <c r="H269" s="37">
        <v>32217</v>
      </c>
      <c r="I269" s="17" t="s">
        <v>30</v>
      </c>
      <c r="J269" s="17" t="s">
        <v>31</v>
      </c>
      <c r="K269" s="17" t="s">
        <v>32</v>
      </c>
      <c r="L269" s="17" t="s">
        <v>174</v>
      </c>
      <c r="M269" s="17">
        <v>19</v>
      </c>
      <c r="N269" s="26">
        <v>8500</v>
      </c>
      <c r="O269" s="17">
        <v>0</v>
      </c>
      <c r="P269" s="26">
        <v>161500</v>
      </c>
      <c r="Q269" s="17">
        <v>5</v>
      </c>
      <c r="R269" s="17" t="s">
        <v>88</v>
      </c>
      <c r="S269" s="17" t="s">
        <v>151</v>
      </c>
      <c r="T269" s="15" t="s">
        <v>132</v>
      </c>
      <c r="U269" s="17">
        <v>9663266204</v>
      </c>
      <c r="V269" s="17" t="s">
        <v>38</v>
      </c>
      <c r="W269" s="47">
        <f t="shared" ca="1" si="12"/>
        <v>38</v>
      </c>
      <c r="X269" s="42">
        <f t="shared" si="13"/>
        <v>3</v>
      </c>
      <c r="Y269" s="42" t="str">
        <f t="shared" si="14"/>
        <v xml:space="preserve">On Time </v>
      </c>
    </row>
    <row r="270" spans="1:25" x14ac:dyDescent="0.5">
      <c r="A270" s="15" t="s">
        <v>1271</v>
      </c>
      <c r="B270" s="15" t="s">
        <v>251</v>
      </c>
      <c r="C270" s="15" t="s">
        <v>54</v>
      </c>
      <c r="D270" s="32">
        <v>45901</v>
      </c>
      <c r="E270" s="32">
        <v>45910</v>
      </c>
      <c r="F270" s="15" t="s">
        <v>254</v>
      </c>
      <c r="G270" s="15" t="s">
        <v>28</v>
      </c>
      <c r="H270" s="36">
        <v>31924</v>
      </c>
      <c r="I270" s="15" t="s">
        <v>212</v>
      </c>
      <c r="J270" s="15" t="s">
        <v>45</v>
      </c>
      <c r="K270" s="15" t="s">
        <v>46</v>
      </c>
      <c r="L270" s="15" t="s">
        <v>60</v>
      </c>
      <c r="M270" s="15">
        <v>8</v>
      </c>
      <c r="N270" s="25">
        <v>55000</v>
      </c>
      <c r="O270" s="15">
        <v>0</v>
      </c>
      <c r="P270" s="25">
        <v>440000</v>
      </c>
      <c r="Q270" s="15">
        <v>3</v>
      </c>
      <c r="R270" s="15" t="s">
        <v>79</v>
      </c>
      <c r="S270" s="15" t="s">
        <v>115</v>
      </c>
      <c r="T270" s="15" t="s">
        <v>256</v>
      </c>
      <c r="U270" s="15">
        <v>9675208616</v>
      </c>
      <c r="V270" s="15" t="s">
        <v>64</v>
      </c>
      <c r="W270" s="46">
        <f t="shared" ca="1" si="12"/>
        <v>39</v>
      </c>
      <c r="X270" s="42">
        <f t="shared" si="13"/>
        <v>9</v>
      </c>
      <c r="Y270" s="42" t="str">
        <f t="shared" si="14"/>
        <v>Delayed</v>
      </c>
    </row>
    <row r="271" spans="1:25" x14ac:dyDescent="0.5">
      <c r="A271" s="17" t="s">
        <v>1274</v>
      </c>
      <c r="B271" s="17" t="s">
        <v>71</v>
      </c>
      <c r="C271" s="17" t="s">
        <v>40</v>
      </c>
      <c r="D271" s="33">
        <v>46144</v>
      </c>
      <c r="E271" s="33">
        <v>46149</v>
      </c>
      <c r="F271" s="15" t="s">
        <v>217</v>
      </c>
      <c r="G271" s="17" t="s">
        <v>76</v>
      </c>
      <c r="H271" s="37">
        <v>32441</v>
      </c>
      <c r="I271" s="17" t="s">
        <v>294</v>
      </c>
      <c r="J271" s="17" t="s">
        <v>295</v>
      </c>
      <c r="K271" s="17" t="s">
        <v>46</v>
      </c>
      <c r="L271" s="17" t="s">
        <v>47</v>
      </c>
      <c r="M271" s="17">
        <v>18</v>
      </c>
      <c r="N271" s="26">
        <v>12000</v>
      </c>
      <c r="O271" s="17">
        <v>20</v>
      </c>
      <c r="P271" s="26">
        <v>172800</v>
      </c>
      <c r="Q271" s="17">
        <v>5</v>
      </c>
      <c r="R271" s="17" t="s">
        <v>88</v>
      </c>
      <c r="S271" s="17" t="s">
        <v>61</v>
      </c>
      <c r="T271" s="15" t="s">
        <v>80</v>
      </c>
      <c r="U271" s="17">
        <v>9618393586</v>
      </c>
      <c r="V271" s="17" t="s">
        <v>69</v>
      </c>
      <c r="W271" s="47">
        <f t="shared" ca="1" si="12"/>
        <v>37</v>
      </c>
      <c r="X271" s="42">
        <f t="shared" si="13"/>
        <v>5</v>
      </c>
      <c r="Y271" s="42" t="str">
        <f t="shared" si="14"/>
        <v xml:space="preserve">On Time </v>
      </c>
    </row>
    <row r="272" spans="1:25" x14ac:dyDescent="0.5">
      <c r="A272" s="15" t="s">
        <v>1277</v>
      </c>
      <c r="B272" s="15" t="s">
        <v>127</v>
      </c>
      <c r="C272" s="15" t="s">
        <v>169</v>
      </c>
      <c r="D272" s="32">
        <v>45764</v>
      </c>
      <c r="E272" s="32">
        <v>45773</v>
      </c>
      <c r="F272" s="15" t="s">
        <v>200</v>
      </c>
      <c r="G272" s="15" t="s">
        <v>76</v>
      </c>
      <c r="H272" s="36">
        <v>33219</v>
      </c>
      <c r="I272" s="15" t="s">
        <v>138</v>
      </c>
      <c r="J272" s="15" t="s">
        <v>106</v>
      </c>
      <c r="K272" s="15" t="s">
        <v>32</v>
      </c>
      <c r="L272" s="15" t="s">
        <v>174</v>
      </c>
      <c r="M272" s="15">
        <v>8</v>
      </c>
      <c r="N272" s="25">
        <v>8500</v>
      </c>
      <c r="O272" s="15">
        <v>5</v>
      </c>
      <c r="P272" s="25">
        <v>64600</v>
      </c>
      <c r="Q272" s="15">
        <v>2</v>
      </c>
      <c r="R272" s="15" t="s">
        <v>79</v>
      </c>
      <c r="S272" s="15" t="s">
        <v>61</v>
      </c>
      <c r="T272" s="15" t="s">
        <v>132</v>
      </c>
      <c r="U272" s="15">
        <v>9137027840</v>
      </c>
      <c r="V272" s="15" t="s">
        <v>69</v>
      </c>
      <c r="W272" s="46">
        <f t="shared" ca="1" si="12"/>
        <v>35</v>
      </c>
      <c r="X272" s="42">
        <f t="shared" si="13"/>
        <v>9</v>
      </c>
      <c r="Y272" s="42" t="str">
        <f t="shared" si="14"/>
        <v>Delayed</v>
      </c>
    </row>
    <row r="273" spans="1:25" x14ac:dyDescent="0.5">
      <c r="A273" s="17" t="s">
        <v>1281</v>
      </c>
      <c r="B273" s="17" t="s">
        <v>23</v>
      </c>
      <c r="C273" s="17" t="s">
        <v>222</v>
      </c>
      <c r="D273" s="33">
        <v>45878</v>
      </c>
      <c r="E273" s="33">
        <v>45887</v>
      </c>
      <c r="F273" s="15" t="s">
        <v>27</v>
      </c>
      <c r="G273" s="17" t="s">
        <v>28</v>
      </c>
      <c r="H273" s="37">
        <v>29640</v>
      </c>
      <c r="I273" s="17" t="s">
        <v>105</v>
      </c>
      <c r="J273" s="17" t="s">
        <v>106</v>
      </c>
      <c r="K273" s="17" t="s">
        <v>122</v>
      </c>
      <c r="L273" s="17" t="s">
        <v>227</v>
      </c>
      <c r="M273" s="17">
        <v>13</v>
      </c>
      <c r="N273" s="26">
        <v>20</v>
      </c>
      <c r="O273" s="17">
        <v>5</v>
      </c>
      <c r="P273" s="26">
        <v>247</v>
      </c>
      <c r="Q273" s="17">
        <v>3</v>
      </c>
      <c r="R273" s="17" t="s">
        <v>48</v>
      </c>
      <c r="S273" s="17" t="s">
        <v>115</v>
      </c>
      <c r="T273" s="15" t="s">
        <v>50</v>
      </c>
      <c r="U273" s="17">
        <v>9362758134</v>
      </c>
      <c r="V273" s="17" t="s">
        <v>64</v>
      </c>
      <c r="W273" s="47">
        <f t="shared" ca="1" si="12"/>
        <v>45</v>
      </c>
      <c r="X273" s="42">
        <f t="shared" si="13"/>
        <v>9</v>
      </c>
      <c r="Y273" s="42" t="str">
        <f t="shared" si="14"/>
        <v>Delayed</v>
      </c>
    </row>
    <row r="274" spans="1:25" x14ac:dyDescent="0.5">
      <c r="A274" s="15" t="s">
        <v>1285</v>
      </c>
      <c r="B274" s="15" t="s">
        <v>83</v>
      </c>
      <c r="C274" s="15" t="s">
        <v>118</v>
      </c>
      <c r="D274" s="32">
        <v>46116</v>
      </c>
      <c r="E274" s="32">
        <v>46128</v>
      </c>
      <c r="F274" s="15" t="s">
        <v>180</v>
      </c>
      <c r="G274" s="15" t="s">
        <v>76</v>
      </c>
      <c r="H274" s="36">
        <v>31140</v>
      </c>
      <c r="I274" s="15" t="s">
        <v>212</v>
      </c>
      <c r="J274" s="15" t="s">
        <v>45</v>
      </c>
      <c r="K274" s="15" t="s">
        <v>122</v>
      </c>
      <c r="L274" s="15" t="s">
        <v>123</v>
      </c>
      <c r="M274" s="15">
        <v>1</v>
      </c>
      <c r="N274" s="25">
        <v>60</v>
      </c>
      <c r="O274" s="15">
        <v>15</v>
      </c>
      <c r="P274" s="25">
        <v>51</v>
      </c>
      <c r="Q274" s="15">
        <v>2</v>
      </c>
      <c r="R274" s="15" t="s">
        <v>79</v>
      </c>
      <c r="S274" s="15" t="s">
        <v>61</v>
      </c>
      <c r="T274" s="15" t="s">
        <v>89</v>
      </c>
      <c r="U274" s="15">
        <v>9648541985</v>
      </c>
      <c r="V274" s="15" t="s">
        <v>69</v>
      </c>
      <c r="W274" s="46">
        <f t="shared" ca="1" si="12"/>
        <v>41</v>
      </c>
      <c r="X274" s="42">
        <f t="shared" si="13"/>
        <v>12</v>
      </c>
      <c r="Y274" s="42" t="str">
        <f t="shared" si="14"/>
        <v>Delayed</v>
      </c>
    </row>
    <row r="275" spans="1:25" x14ac:dyDescent="0.5">
      <c r="A275" s="17" t="s">
        <v>1289</v>
      </c>
      <c r="B275" s="17" t="s">
        <v>53</v>
      </c>
      <c r="C275" s="17" t="s">
        <v>222</v>
      </c>
      <c r="D275" s="33">
        <v>45830</v>
      </c>
      <c r="E275" s="33">
        <v>45836</v>
      </c>
      <c r="F275" s="15" t="s">
        <v>163</v>
      </c>
      <c r="G275" s="17" t="s">
        <v>28</v>
      </c>
      <c r="H275" s="37">
        <v>27978</v>
      </c>
      <c r="I275" s="17" t="s">
        <v>114</v>
      </c>
      <c r="J275" s="17" t="s">
        <v>106</v>
      </c>
      <c r="K275" s="17" t="s">
        <v>122</v>
      </c>
      <c r="L275" s="17" t="s">
        <v>227</v>
      </c>
      <c r="M275" s="17">
        <v>5</v>
      </c>
      <c r="N275" s="26">
        <v>20</v>
      </c>
      <c r="O275" s="17">
        <v>5</v>
      </c>
      <c r="P275" s="26">
        <v>95</v>
      </c>
      <c r="Q275" s="17">
        <v>2</v>
      </c>
      <c r="R275" s="17" t="s">
        <v>48</v>
      </c>
      <c r="S275" s="17" t="s">
        <v>49</v>
      </c>
      <c r="T275" s="15" t="s">
        <v>62</v>
      </c>
      <c r="U275" s="17">
        <v>9175002781</v>
      </c>
      <c r="V275" s="17" t="s">
        <v>64</v>
      </c>
      <c r="W275" s="47">
        <f t="shared" ca="1" si="12"/>
        <v>50</v>
      </c>
      <c r="X275" s="42">
        <f t="shared" si="13"/>
        <v>6</v>
      </c>
      <c r="Y275" s="42" t="str">
        <f t="shared" si="14"/>
        <v>Delayed</v>
      </c>
    </row>
    <row r="276" spans="1:25" x14ac:dyDescent="0.5">
      <c r="A276" s="15" t="s">
        <v>1293</v>
      </c>
      <c r="B276" s="15" t="s">
        <v>221</v>
      </c>
      <c r="C276" s="15" t="s">
        <v>222</v>
      </c>
      <c r="D276" s="32">
        <v>45796</v>
      </c>
      <c r="E276" s="32">
        <v>45801</v>
      </c>
      <c r="F276" s="15" t="s">
        <v>225</v>
      </c>
      <c r="G276" s="15" t="s">
        <v>76</v>
      </c>
      <c r="H276" s="36">
        <v>28623</v>
      </c>
      <c r="I276" s="15" t="s">
        <v>294</v>
      </c>
      <c r="J276" s="15" t="s">
        <v>295</v>
      </c>
      <c r="K276" s="15" t="s">
        <v>122</v>
      </c>
      <c r="L276" s="15" t="s">
        <v>227</v>
      </c>
      <c r="M276" s="15">
        <v>19</v>
      </c>
      <c r="N276" s="25">
        <v>20</v>
      </c>
      <c r="O276" s="15">
        <v>20</v>
      </c>
      <c r="P276" s="25">
        <v>304</v>
      </c>
      <c r="Q276" s="15">
        <v>3</v>
      </c>
      <c r="R276" s="15" t="s">
        <v>34</v>
      </c>
      <c r="S276" s="15" t="s">
        <v>35</v>
      </c>
      <c r="T276" s="15" t="s">
        <v>228</v>
      </c>
      <c r="U276" s="15">
        <v>9786241263</v>
      </c>
      <c r="V276" s="15" t="s">
        <v>69</v>
      </c>
      <c r="W276" s="46">
        <f t="shared" ca="1" si="12"/>
        <v>48</v>
      </c>
      <c r="X276" s="42">
        <f t="shared" si="13"/>
        <v>5</v>
      </c>
      <c r="Y276" s="42" t="str">
        <f t="shared" si="14"/>
        <v xml:space="preserve">On Time </v>
      </c>
    </row>
    <row r="277" spans="1:25" x14ac:dyDescent="0.5">
      <c r="A277" s="17" t="s">
        <v>1297</v>
      </c>
      <c r="B277" s="17" t="s">
        <v>100</v>
      </c>
      <c r="C277" s="17" t="s">
        <v>259</v>
      </c>
      <c r="D277" s="33">
        <v>45745</v>
      </c>
      <c r="E277" s="33">
        <v>45754</v>
      </c>
      <c r="F277" s="15" t="s">
        <v>103</v>
      </c>
      <c r="G277" s="17" t="s">
        <v>28</v>
      </c>
      <c r="H277" s="37">
        <v>36026</v>
      </c>
      <c r="I277" s="17" t="s">
        <v>138</v>
      </c>
      <c r="J277" s="17" t="s">
        <v>106</v>
      </c>
      <c r="K277" s="17" t="s">
        <v>122</v>
      </c>
      <c r="L277" s="17" t="s">
        <v>263</v>
      </c>
      <c r="M277" s="17">
        <v>17</v>
      </c>
      <c r="N277" s="26">
        <v>45</v>
      </c>
      <c r="O277" s="17">
        <v>5</v>
      </c>
      <c r="P277" s="26">
        <v>726.75</v>
      </c>
      <c r="Q277" s="17">
        <v>4</v>
      </c>
      <c r="R277" s="17" t="s">
        <v>34</v>
      </c>
      <c r="S277" s="17" t="s">
        <v>115</v>
      </c>
      <c r="T277" s="15" t="s">
        <v>144</v>
      </c>
      <c r="U277" s="17">
        <v>9691078176</v>
      </c>
      <c r="V277" s="17" t="s">
        <v>64</v>
      </c>
      <c r="W277" s="47">
        <f t="shared" ca="1" si="12"/>
        <v>28</v>
      </c>
      <c r="X277" s="42">
        <f t="shared" si="13"/>
        <v>9</v>
      </c>
      <c r="Y277" s="42" t="str">
        <f t="shared" si="14"/>
        <v>Delayed</v>
      </c>
    </row>
    <row r="278" spans="1:25" x14ac:dyDescent="0.5">
      <c r="A278" s="15" t="s">
        <v>1301</v>
      </c>
      <c r="B278" s="15" t="s">
        <v>83</v>
      </c>
      <c r="C278" s="15" t="s">
        <v>184</v>
      </c>
      <c r="D278" s="32">
        <v>46071</v>
      </c>
      <c r="E278" s="32">
        <v>46075</v>
      </c>
      <c r="F278" s="15" t="s">
        <v>180</v>
      </c>
      <c r="G278" s="15" t="s">
        <v>76</v>
      </c>
      <c r="H278" s="36">
        <v>27687</v>
      </c>
      <c r="I278" s="15" t="s">
        <v>59</v>
      </c>
      <c r="J278" s="15" t="s">
        <v>31</v>
      </c>
      <c r="K278" s="15" t="s">
        <v>46</v>
      </c>
      <c r="L278" s="15" t="s">
        <v>189</v>
      </c>
      <c r="M278" s="15">
        <v>8</v>
      </c>
      <c r="N278" s="25">
        <v>700</v>
      </c>
      <c r="O278" s="15">
        <v>15</v>
      </c>
      <c r="P278" s="25">
        <v>4760</v>
      </c>
      <c r="Q278" s="15">
        <v>4</v>
      </c>
      <c r="R278" s="15" t="s">
        <v>48</v>
      </c>
      <c r="S278" s="15" t="s">
        <v>35</v>
      </c>
      <c r="T278" s="15" t="s">
        <v>89</v>
      </c>
      <c r="U278" s="15">
        <v>9336679085</v>
      </c>
      <c r="V278" s="15" t="s">
        <v>64</v>
      </c>
      <c r="W278" s="46">
        <f t="shared" ca="1" si="12"/>
        <v>50</v>
      </c>
      <c r="X278" s="42">
        <f t="shared" si="13"/>
        <v>4</v>
      </c>
      <c r="Y278" s="42" t="str">
        <f t="shared" si="14"/>
        <v xml:space="preserve">On Time </v>
      </c>
    </row>
    <row r="279" spans="1:25" x14ac:dyDescent="0.5">
      <c r="A279" s="17" t="s">
        <v>1305</v>
      </c>
      <c r="B279" s="17" t="s">
        <v>168</v>
      </c>
      <c r="C279" s="17" t="s">
        <v>24</v>
      </c>
      <c r="D279" s="33">
        <v>46043</v>
      </c>
      <c r="E279" s="33">
        <v>46051</v>
      </c>
      <c r="F279" s="15" t="s">
        <v>361</v>
      </c>
      <c r="G279" s="17" t="s">
        <v>28</v>
      </c>
      <c r="H279" s="37">
        <v>27665</v>
      </c>
      <c r="I279" s="17" t="s">
        <v>105</v>
      </c>
      <c r="J279" s="17" t="s">
        <v>106</v>
      </c>
      <c r="K279" s="17" t="s">
        <v>32</v>
      </c>
      <c r="L279" s="17" t="s">
        <v>33</v>
      </c>
      <c r="M279" s="17">
        <v>15</v>
      </c>
      <c r="N279" s="26">
        <v>2200</v>
      </c>
      <c r="O279" s="17">
        <v>10</v>
      </c>
      <c r="P279" s="26">
        <v>29700</v>
      </c>
      <c r="Q279" s="17">
        <v>5</v>
      </c>
      <c r="R279" s="17" t="s">
        <v>88</v>
      </c>
      <c r="S279" s="17" t="s">
        <v>151</v>
      </c>
      <c r="T279" s="15" t="s">
        <v>175</v>
      </c>
      <c r="U279" s="17">
        <v>9497351043</v>
      </c>
      <c r="V279" s="17" t="s">
        <v>38</v>
      </c>
      <c r="W279" s="47">
        <f t="shared" ca="1" si="12"/>
        <v>51</v>
      </c>
      <c r="X279" s="42">
        <f t="shared" si="13"/>
        <v>8</v>
      </c>
      <c r="Y279" s="42" t="str">
        <f t="shared" si="14"/>
        <v>Delayed</v>
      </c>
    </row>
    <row r="280" spans="1:25" x14ac:dyDescent="0.5">
      <c r="A280" s="15" t="s">
        <v>1310</v>
      </c>
      <c r="B280" s="15" t="s">
        <v>100</v>
      </c>
      <c r="C280" s="15" t="s">
        <v>24</v>
      </c>
      <c r="D280" s="32">
        <v>45917</v>
      </c>
      <c r="E280" s="32">
        <v>45929</v>
      </c>
      <c r="F280" s="15" t="s">
        <v>103</v>
      </c>
      <c r="G280" s="15" t="s">
        <v>28</v>
      </c>
      <c r="H280" s="36">
        <v>37522</v>
      </c>
      <c r="I280" s="15" t="s">
        <v>105</v>
      </c>
      <c r="J280" s="15" t="s">
        <v>106</v>
      </c>
      <c r="K280" s="15" t="s">
        <v>32</v>
      </c>
      <c r="L280" s="15" t="s">
        <v>33</v>
      </c>
      <c r="M280" s="15">
        <v>1</v>
      </c>
      <c r="N280" s="25">
        <v>2200</v>
      </c>
      <c r="O280" s="15">
        <v>0</v>
      </c>
      <c r="P280" s="25">
        <v>2200</v>
      </c>
      <c r="Q280" s="15">
        <v>4</v>
      </c>
      <c r="R280" s="15" t="s">
        <v>34</v>
      </c>
      <c r="S280" s="15" t="s">
        <v>49</v>
      </c>
      <c r="T280" s="15" t="s">
        <v>144</v>
      </c>
      <c r="U280" s="15">
        <v>9357038998</v>
      </c>
      <c r="V280" s="15" t="s">
        <v>69</v>
      </c>
      <c r="W280" s="46">
        <f t="shared" ca="1" si="12"/>
        <v>24</v>
      </c>
      <c r="X280" s="42">
        <f t="shared" si="13"/>
        <v>12</v>
      </c>
      <c r="Y280" s="42" t="str">
        <f t="shared" si="14"/>
        <v>Delayed</v>
      </c>
    </row>
    <row r="281" spans="1:25" x14ac:dyDescent="0.5">
      <c r="A281" s="17" t="s">
        <v>1314</v>
      </c>
      <c r="B281" s="17" t="s">
        <v>251</v>
      </c>
      <c r="C281" s="17" t="s">
        <v>92</v>
      </c>
      <c r="D281" s="33">
        <v>45827</v>
      </c>
      <c r="E281" s="33">
        <v>45838</v>
      </c>
      <c r="F281" s="15" t="s">
        <v>254</v>
      </c>
      <c r="G281" s="17" t="s">
        <v>28</v>
      </c>
      <c r="H281" s="37">
        <v>32311</v>
      </c>
      <c r="I281" s="17" t="s">
        <v>138</v>
      </c>
      <c r="J281" s="17" t="s">
        <v>106</v>
      </c>
      <c r="K281" s="17" t="s">
        <v>32</v>
      </c>
      <c r="L281" s="17" t="s">
        <v>97</v>
      </c>
      <c r="M281" s="17">
        <v>10</v>
      </c>
      <c r="N281" s="26">
        <v>3500</v>
      </c>
      <c r="O281" s="17">
        <v>10</v>
      </c>
      <c r="P281" s="26">
        <v>31500</v>
      </c>
      <c r="Q281" s="17">
        <v>4</v>
      </c>
      <c r="R281" s="17" t="s">
        <v>48</v>
      </c>
      <c r="S281" s="17" t="s">
        <v>35</v>
      </c>
      <c r="T281" s="15" t="s">
        <v>256</v>
      </c>
      <c r="U281" s="17">
        <v>9986371291</v>
      </c>
      <c r="V281" s="17" t="s">
        <v>69</v>
      </c>
      <c r="W281" s="47">
        <f t="shared" ca="1" si="12"/>
        <v>38</v>
      </c>
      <c r="X281" s="42">
        <f t="shared" si="13"/>
        <v>11</v>
      </c>
      <c r="Y281" s="42" t="str">
        <f t="shared" si="14"/>
        <v>Delayed</v>
      </c>
    </row>
    <row r="282" spans="1:25" x14ac:dyDescent="0.5">
      <c r="A282" s="15" t="s">
        <v>1318</v>
      </c>
      <c r="B282" s="15" t="s">
        <v>71</v>
      </c>
      <c r="C282" s="15" t="s">
        <v>92</v>
      </c>
      <c r="D282" s="32">
        <v>45789</v>
      </c>
      <c r="E282" s="32">
        <v>45793</v>
      </c>
      <c r="F282" s="15" t="s">
        <v>217</v>
      </c>
      <c r="G282" s="15" t="s">
        <v>76</v>
      </c>
      <c r="H282" s="36">
        <v>33271</v>
      </c>
      <c r="I282" s="15" t="s">
        <v>212</v>
      </c>
      <c r="J282" s="15" t="s">
        <v>45</v>
      </c>
      <c r="K282" s="15" t="s">
        <v>32</v>
      </c>
      <c r="L282" s="15" t="s">
        <v>97</v>
      </c>
      <c r="M282" s="15">
        <v>16</v>
      </c>
      <c r="N282" s="25">
        <v>3500</v>
      </c>
      <c r="O282" s="15">
        <v>15</v>
      </c>
      <c r="P282" s="25">
        <v>47600</v>
      </c>
      <c r="Q282" s="15">
        <v>1</v>
      </c>
      <c r="R282" s="15" t="s">
        <v>79</v>
      </c>
      <c r="S282" s="15" t="s">
        <v>115</v>
      </c>
      <c r="T282" s="15" t="s">
        <v>80</v>
      </c>
      <c r="U282" s="15">
        <v>9397839191</v>
      </c>
      <c r="V282" s="15" t="s">
        <v>64</v>
      </c>
      <c r="W282" s="46">
        <f t="shared" ca="1" si="12"/>
        <v>35</v>
      </c>
      <c r="X282" s="42">
        <f t="shared" si="13"/>
        <v>4</v>
      </c>
      <c r="Y282" s="42" t="str">
        <f t="shared" si="14"/>
        <v xml:space="preserve">On Time </v>
      </c>
    </row>
    <row r="283" spans="1:25" x14ac:dyDescent="0.5">
      <c r="A283" s="17" t="s">
        <v>1323</v>
      </c>
      <c r="B283" s="17" t="s">
        <v>251</v>
      </c>
      <c r="C283" s="17" t="s">
        <v>40</v>
      </c>
      <c r="D283" s="33">
        <v>45906</v>
      </c>
      <c r="E283" s="33">
        <v>45918</v>
      </c>
      <c r="F283" s="15" t="s">
        <v>254</v>
      </c>
      <c r="G283" s="17" t="s">
        <v>28</v>
      </c>
      <c r="H283" s="37">
        <v>28711</v>
      </c>
      <c r="I283" s="17" t="s">
        <v>212</v>
      </c>
      <c r="J283" s="17" t="s">
        <v>45</v>
      </c>
      <c r="K283" s="17" t="s">
        <v>46</v>
      </c>
      <c r="L283" s="17" t="s">
        <v>47</v>
      </c>
      <c r="M283" s="17">
        <v>1</v>
      </c>
      <c r="N283" s="26">
        <v>12000</v>
      </c>
      <c r="O283" s="17">
        <v>0</v>
      </c>
      <c r="P283" s="26">
        <v>12000</v>
      </c>
      <c r="Q283" s="17">
        <v>4</v>
      </c>
      <c r="R283" s="17" t="s">
        <v>48</v>
      </c>
      <c r="S283" s="17" t="s">
        <v>115</v>
      </c>
      <c r="T283" s="15" t="s">
        <v>256</v>
      </c>
      <c r="U283" s="17">
        <v>9162975843</v>
      </c>
      <c r="V283" s="17" t="s">
        <v>69</v>
      </c>
      <c r="W283" s="47">
        <f t="shared" ca="1" si="12"/>
        <v>48</v>
      </c>
      <c r="X283" s="42">
        <f t="shared" si="13"/>
        <v>12</v>
      </c>
      <c r="Y283" s="42" t="str">
        <f t="shared" si="14"/>
        <v>Delayed</v>
      </c>
    </row>
    <row r="284" spans="1:25" x14ac:dyDescent="0.5">
      <c r="A284" s="15" t="s">
        <v>1327</v>
      </c>
      <c r="B284" s="15" t="s">
        <v>83</v>
      </c>
      <c r="C284" s="15" t="s">
        <v>184</v>
      </c>
      <c r="D284" s="32">
        <v>45770</v>
      </c>
      <c r="E284" s="32">
        <v>45776</v>
      </c>
      <c r="F284" s="15" t="s">
        <v>180</v>
      </c>
      <c r="G284" s="15" t="s">
        <v>76</v>
      </c>
      <c r="H284" s="36">
        <v>34367</v>
      </c>
      <c r="I284" s="15" t="s">
        <v>105</v>
      </c>
      <c r="J284" s="15" t="s">
        <v>106</v>
      </c>
      <c r="K284" s="15" t="s">
        <v>46</v>
      </c>
      <c r="L284" s="15" t="s">
        <v>189</v>
      </c>
      <c r="M284" s="15">
        <v>6</v>
      </c>
      <c r="N284" s="25">
        <v>700</v>
      </c>
      <c r="O284" s="15">
        <v>20</v>
      </c>
      <c r="P284" s="25">
        <v>3360</v>
      </c>
      <c r="Q284" s="15">
        <v>2</v>
      </c>
      <c r="R284" s="15" t="s">
        <v>48</v>
      </c>
      <c r="S284" s="15" t="s">
        <v>115</v>
      </c>
      <c r="T284" s="15" t="s">
        <v>89</v>
      </c>
      <c r="U284" s="15">
        <v>9237616558</v>
      </c>
      <c r="V284" s="15" t="s">
        <v>64</v>
      </c>
      <c r="W284" s="46">
        <f t="shared" ca="1" si="12"/>
        <v>32</v>
      </c>
      <c r="X284" s="42">
        <f t="shared" si="13"/>
        <v>6</v>
      </c>
      <c r="Y284" s="42" t="str">
        <f t="shared" si="14"/>
        <v>Delayed</v>
      </c>
    </row>
    <row r="285" spans="1:25" x14ac:dyDescent="0.5">
      <c r="A285" s="17" t="s">
        <v>1331</v>
      </c>
      <c r="B285" s="17" t="s">
        <v>71</v>
      </c>
      <c r="C285" s="17" t="s">
        <v>24</v>
      </c>
      <c r="D285" s="33">
        <v>46074</v>
      </c>
      <c r="E285" s="33">
        <v>46080</v>
      </c>
      <c r="F285" s="15" t="s">
        <v>217</v>
      </c>
      <c r="G285" s="17" t="s">
        <v>76</v>
      </c>
      <c r="H285" s="37">
        <v>34786</v>
      </c>
      <c r="I285" s="17" t="s">
        <v>138</v>
      </c>
      <c r="J285" s="17" t="s">
        <v>106</v>
      </c>
      <c r="K285" s="17" t="s">
        <v>32</v>
      </c>
      <c r="L285" s="17" t="s">
        <v>33</v>
      </c>
      <c r="M285" s="17">
        <v>3</v>
      </c>
      <c r="N285" s="26">
        <v>2200</v>
      </c>
      <c r="O285" s="17">
        <v>0</v>
      </c>
      <c r="P285" s="26">
        <v>6600</v>
      </c>
      <c r="Q285" s="17">
        <v>4</v>
      </c>
      <c r="R285" s="17" t="s">
        <v>79</v>
      </c>
      <c r="S285" s="17" t="s">
        <v>35</v>
      </c>
      <c r="T285" s="15" t="s">
        <v>80</v>
      </c>
      <c r="U285" s="17">
        <v>9935063989</v>
      </c>
      <c r="V285" s="17" t="s">
        <v>38</v>
      </c>
      <c r="W285" s="47">
        <f t="shared" ca="1" si="12"/>
        <v>31</v>
      </c>
      <c r="X285" s="42">
        <f t="shared" si="13"/>
        <v>6</v>
      </c>
      <c r="Y285" s="42" t="str">
        <f t="shared" si="14"/>
        <v>Delayed</v>
      </c>
    </row>
    <row r="286" spans="1:25" x14ac:dyDescent="0.5">
      <c r="A286" s="15" t="s">
        <v>1335</v>
      </c>
      <c r="B286" s="15" t="s">
        <v>251</v>
      </c>
      <c r="C286" s="15" t="s">
        <v>259</v>
      </c>
      <c r="D286" s="32">
        <v>46019</v>
      </c>
      <c r="E286" s="32">
        <v>46023</v>
      </c>
      <c r="F286" s="15" t="s">
        <v>254</v>
      </c>
      <c r="G286" s="15" t="s">
        <v>28</v>
      </c>
      <c r="H286" s="36">
        <v>33675</v>
      </c>
      <c r="I286" s="15" t="s">
        <v>30</v>
      </c>
      <c r="J286" s="15" t="s">
        <v>31</v>
      </c>
      <c r="K286" s="15" t="s">
        <v>122</v>
      </c>
      <c r="L286" s="15" t="s">
        <v>263</v>
      </c>
      <c r="M286" s="15">
        <v>6</v>
      </c>
      <c r="N286" s="25">
        <v>45</v>
      </c>
      <c r="O286" s="15">
        <v>15</v>
      </c>
      <c r="P286" s="25">
        <v>229.5</v>
      </c>
      <c r="Q286" s="15">
        <v>1</v>
      </c>
      <c r="R286" s="15" t="s">
        <v>88</v>
      </c>
      <c r="S286" s="15" t="s">
        <v>49</v>
      </c>
      <c r="T286" s="15" t="s">
        <v>256</v>
      </c>
      <c r="U286" s="15">
        <v>9167376169</v>
      </c>
      <c r="V286" s="15" t="s">
        <v>38</v>
      </c>
      <c r="W286" s="46">
        <f t="shared" ca="1" si="12"/>
        <v>34</v>
      </c>
      <c r="X286" s="42">
        <f t="shared" si="13"/>
        <v>4</v>
      </c>
      <c r="Y286" s="42" t="str">
        <f t="shared" si="14"/>
        <v xml:space="preserve">On Time </v>
      </c>
    </row>
    <row r="287" spans="1:25" x14ac:dyDescent="0.5">
      <c r="A287" s="17" t="s">
        <v>1338</v>
      </c>
      <c r="B287" s="17" t="s">
        <v>251</v>
      </c>
      <c r="C287" s="17" t="s">
        <v>72</v>
      </c>
      <c r="D287" s="33">
        <v>45922</v>
      </c>
      <c r="E287" s="33">
        <v>45930</v>
      </c>
      <c r="F287" s="15" t="s">
        <v>254</v>
      </c>
      <c r="G287" s="17" t="s">
        <v>28</v>
      </c>
      <c r="H287" s="37">
        <v>29609</v>
      </c>
      <c r="I287" s="17" t="s">
        <v>59</v>
      </c>
      <c r="J287" s="17" t="s">
        <v>31</v>
      </c>
      <c r="K287" s="17" t="s">
        <v>46</v>
      </c>
      <c r="L287" s="17" t="s">
        <v>78</v>
      </c>
      <c r="M287" s="17">
        <v>2</v>
      </c>
      <c r="N287" s="26">
        <v>1200</v>
      </c>
      <c r="O287" s="17">
        <v>0</v>
      </c>
      <c r="P287" s="26">
        <v>2400</v>
      </c>
      <c r="Q287" s="17">
        <v>1</v>
      </c>
      <c r="R287" s="17" t="s">
        <v>34</v>
      </c>
      <c r="S287" s="17" t="s">
        <v>151</v>
      </c>
      <c r="T287" s="15" t="s">
        <v>256</v>
      </c>
      <c r="U287" s="17">
        <v>9231845497</v>
      </c>
      <c r="V287" s="17" t="s">
        <v>69</v>
      </c>
      <c r="W287" s="47">
        <f t="shared" ca="1" si="12"/>
        <v>45</v>
      </c>
      <c r="X287" s="42">
        <f t="shared" si="13"/>
        <v>8</v>
      </c>
      <c r="Y287" s="42" t="str">
        <f t="shared" si="14"/>
        <v>Delayed</v>
      </c>
    </row>
    <row r="288" spans="1:25" x14ac:dyDescent="0.5">
      <c r="A288" s="15" t="s">
        <v>1342</v>
      </c>
      <c r="B288" s="15" t="s">
        <v>168</v>
      </c>
      <c r="C288" s="15" t="s">
        <v>184</v>
      </c>
      <c r="D288" s="32">
        <v>46150</v>
      </c>
      <c r="E288" s="32">
        <v>46153</v>
      </c>
      <c r="F288" s="15" t="s">
        <v>361</v>
      </c>
      <c r="G288" s="15" t="s">
        <v>28</v>
      </c>
      <c r="H288" s="36">
        <v>30953</v>
      </c>
      <c r="I288" s="15" t="s">
        <v>30</v>
      </c>
      <c r="J288" s="15" t="s">
        <v>31</v>
      </c>
      <c r="K288" s="15" t="s">
        <v>46</v>
      </c>
      <c r="L288" s="15" t="s">
        <v>189</v>
      </c>
      <c r="M288" s="15">
        <v>14</v>
      </c>
      <c r="N288" s="25">
        <v>700</v>
      </c>
      <c r="O288" s="15">
        <v>15</v>
      </c>
      <c r="P288" s="25">
        <v>8330</v>
      </c>
      <c r="Q288" s="15">
        <v>5</v>
      </c>
      <c r="R288" s="15" t="s">
        <v>34</v>
      </c>
      <c r="S288" s="15" t="s">
        <v>115</v>
      </c>
      <c r="T288" s="15" t="s">
        <v>175</v>
      </c>
      <c r="U288" s="15">
        <v>9409415805</v>
      </c>
      <c r="V288" s="15" t="s">
        <v>64</v>
      </c>
      <c r="W288" s="46">
        <f t="shared" ca="1" si="12"/>
        <v>42</v>
      </c>
      <c r="X288" s="42">
        <f t="shared" si="13"/>
        <v>3</v>
      </c>
      <c r="Y288" s="42" t="str">
        <f t="shared" si="14"/>
        <v xml:space="preserve">On Time </v>
      </c>
    </row>
    <row r="289" spans="1:25" x14ac:dyDescent="0.5">
      <c r="A289" s="17" t="s">
        <v>1347</v>
      </c>
      <c r="B289" s="17" t="s">
        <v>100</v>
      </c>
      <c r="C289" s="17" t="s">
        <v>222</v>
      </c>
      <c r="D289" s="33">
        <v>45966</v>
      </c>
      <c r="E289" s="33">
        <v>45967</v>
      </c>
      <c r="F289" s="15" t="s">
        <v>103</v>
      </c>
      <c r="G289" s="17" t="s">
        <v>28</v>
      </c>
      <c r="H289" s="37">
        <v>27704</v>
      </c>
      <c r="I289" s="17" t="s">
        <v>105</v>
      </c>
      <c r="J289" s="17" t="s">
        <v>106</v>
      </c>
      <c r="K289" s="17" t="s">
        <v>122</v>
      </c>
      <c r="L289" s="17" t="s">
        <v>227</v>
      </c>
      <c r="M289" s="17">
        <v>13</v>
      </c>
      <c r="N289" s="26">
        <v>20</v>
      </c>
      <c r="O289" s="17">
        <v>5</v>
      </c>
      <c r="P289" s="26">
        <v>247</v>
      </c>
      <c r="Q289" s="17">
        <v>1</v>
      </c>
      <c r="R289" s="17" t="s">
        <v>79</v>
      </c>
      <c r="S289" s="17" t="s">
        <v>35</v>
      </c>
      <c r="T289" s="15" t="s">
        <v>2112</v>
      </c>
      <c r="U289" s="17">
        <v>9240800508</v>
      </c>
      <c r="V289" s="17" t="s">
        <v>64</v>
      </c>
      <c r="W289" s="47">
        <f t="shared" ca="1" si="12"/>
        <v>50</v>
      </c>
      <c r="X289" s="42">
        <f t="shared" si="13"/>
        <v>1</v>
      </c>
      <c r="Y289" s="42" t="str">
        <f t="shared" si="14"/>
        <v xml:space="preserve">On Time </v>
      </c>
    </row>
    <row r="290" spans="1:25" x14ac:dyDescent="0.5">
      <c r="A290" s="15" t="s">
        <v>1351</v>
      </c>
      <c r="B290" s="15" t="s">
        <v>71</v>
      </c>
      <c r="C290" s="15" t="s">
        <v>24</v>
      </c>
      <c r="D290" s="32">
        <v>45724</v>
      </c>
      <c r="E290" s="32">
        <v>45731</v>
      </c>
      <c r="F290" s="15" t="s">
        <v>217</v>
      </c>
      <c r="G290" s="15" t="s">
        <v>76</v>
      </c>
      <c r="H290" s="36">
        <v>34876</v>
      </c>
      <c r="I290" s="15" t="s">
        <v>114</v>
      </c>
      <c r="J290" s="15" t="s">
        <v>106</v>
      </c>
      <c r="K290" s="15" t="s">
        <v>32</v>
      </c>
      <c r="L290" s="15" t="s">
        <v>33</v>
      </c>
      <c r="M290" s="15">
        <v>3</v>
      </c>
      <c r="N290" s="25">
        <v>2200</v>
      </c>
      <c r="O290" s="15">
        <v>0</v>
      </c>
      <c r="P290" s="25">
        <v>6600</v>
      </c>
      <c r="Q290" s="15">
        <v>4</v>
      </c>
      <c r="R290" s="15" t="s">
        <v>48</v>
      </c>
      <c r="S290" s="15" t="s">
        <v>61</v>
      </c>
      <c r="T290" s="15" t="s">
        <v>80</v>
      </c>
      <c r="U290" s="15">
        <v>9764609936</v>
      </c>
      <c r="V290" s="15" t="s">
        <v>69</v>
      </c>
      <c r="W290" s="46">
        <f t="shared" ca="1" si="12"/>
        <v>31</v>
      </c>
      <c r="X290" s="42">
        <f t="shared" si="13"/>
        <v>7</v>
      </c>
      <c r="Y290" s="42" t="str">
        <f t="shared" si="14"/>
        <v>Delayed</v>
      </c>
    </row>
    <row r="291" spans="1:25" x14ac:dyDescent="0.5">
      <c r="A291" s="17" t="s">
        <v>1354</v>
      </c>
      <c r="B291" s="17" t="s">
        <v>71</v>
      </c>
      <c r="C291" s="17" t="s">
        <v>118</v>
      </c>
      <c r="D291" s="33">
        <v>46062</v>
      </c>
      <c r="E291" s="33">
        <v>46074</v>
      </c>
      <c r="F291" s="15" t="s">
        <v>217</v>
      </c>
      <c r="G291" s="17" t="s">
        <v>76</v>
      </c>
      <c r="H291" s="37">
        <v>29180</v>
      </c>
      <c r="I291" s="17" t="s">
        <v>114</v>
      </c>
      <c r="J291" s="17" t="s">
        <v>106</v>
      </c>
      <c r="K291" s="17" t="s">
        <v>122</v>
      </c>
      <c r="L291" s="17" t="s">
        <v>123</v>
      </c>
      <c r="M291" s="17">
        <v>3</v>
      </c>
      <c r="N291" s="26">
        <v>60</v>
      </c>
      <c r="O291" s="17">
        <v>15</v>
      </c>
      <c r="P291" s="26">
        <v>153</v>
      </c>
      <c r="Q291" s="17">
        <v>4</v>
      </c>
      <c r="R291" s="17" t="s">
        <v>88</v>
      </c>
      <c r="S291" s="17" t="s">
        <v>115</v>
      </c>
      <c r="T291" s="15" t="s">
        <v>80</v>
      </c>
      <c r="U291" s="17">
        <v>9362733217</v>
      </c>
      <c r="V291" s="17" t="s">
        <v>38</v>
      </c>
      <c r="W291" s="47">
        <f t="shared" ca="1" si="12"/>
        <v>46</v>
      </c>
      <c r="X291" s="42">
        <f t="shared" si="13"/>
        <v>12</v>
      </c>
      <c r="Y291" s="42" t="str">
        <f t="shared" si="14"/>
        <v>Delayed</v>
      </c>
    </row>
    <row r="292" spans="1:25" x14ac:dyDescent="0.5">
      <c r="A292" s="15" t="s">
        <v>1357</v>
      </c>
      <c r="B292" s="15" t="s">
        <v>127</v>
      </c>
      <c r="C292" s="15" t="s">
        <v>92</v>
      </c>
      <c r="D292" s="32">
        <v>45733</v>
      </c>
      <c r="E292" s="32">
        <v>45739</v>
      </c>
      <c r="F292" s="15" t="s">
        <v>200</v>
      </c>
      <c r="G292" s="15" t="s">
        <v>76</v>
      </c>
      <c r="H292" s="36">
        <v>31805</v>
      </c>
      <c r="I292" s="15" t="s">
        <v>105</v>
      </c>
      <c r="J292" s="15" t="s">
        <v>106</v>
      </c>
      <c r="K292" s="15" t="s">
        <v>32</v>
      </c>
      <c r="L292" s="15" t="s">
        <v>97</v>
      </c>
      <c r="M292" s="15">
        <v>9</v>
      </c>
      <c r="N292" s="25">
        <v>3500</v>
      </c>
      <c r="O292" s="15">
        <v>5</v>
      </c>
      <c r="P292" s="25">
        <v>29925</v>
      </c>
      <c r="Q292" s="15">
        <v>1</v>
      </c>
      <c r="R292" s="15" t="s">
        <v>34</v>
      </c>
      <c r="S292" s="15" t="s">
        <v>61</v>
      </c>
      <c r="T292" s="15" t="s">
        <v>132</v>
      </c>
      <c r="U292" s="15">
        <v>9270466205</v>
      </c>
      <c r="V292" s="15" t="s">
        <v>64</v>
      </c>
      <c r="W292" s="46">
        <f t="shared" ca="1" si="12"/>
        <v>39</v>
      </c>
      <c r="X292" s="42">
        <f t="shared" si="13"/>
        <v>6</v>
      </c>
      <c r="Y292" s="42" t="str">
        <f t="shared" si="14"/>
        <v>Delayed</v>
      </c>
    </row>
    <row r="293" spans="1:25" x14ac:dyDescent="0.5">
      <c r="A293" s="17" t="s">
        <v>1359</v>
      </c>
      <c r="B293" s="17" t="s">
        <v>327</v>
      </c>
      <c r="C293" s="17" t="s">
        <v>72</v>
      </c>
      <c r="D293" s="33">
        <v>45743</v>
      </c>
      <c r="E293" s="33">
        <v>45748</v>
      </c>
      <c r="F293" s="15" t="s">
        <v>394</v>
      </c>
      <c r="G293" s="17" t="s">
        <v>76</v>
      </c>
      <c r="H293" s="37">
        <v>36930</v>
      </c>
      <c r="I293" s="17" t="s">
        <v>212</v>
      </c>
      <c r="J293" s="17" t="s">
        <v>45</v>
      </c>
      <c r="K293" s="17" t="s">
        <v>46</v>
      </c>
      <c r="L293" s="17" t="s">
        <v>78</v>
      </c>
      <c r="M293" s="17">
        <v>5</v>
      </c>
      <c r="N293" s="26">
        <v>1200</v>
      </c>
      <c r="O293" s="17">
        <v>20</v>
      </c>
      <c r="P293" s="26">
        <v>4800</v>
      </c>
      <c r="Q293" s="17">
        <v>2</v>
      </c>
      <c r="R293" s="17" t="s">
        <v>88</v>
      </c>
      <c r="S293" s="17" t="s">
        <v>115</v>
      </c>
      <c r="T293" s="15" t="s">
        <v>332</v>
      </c>
      <c r="U293" s="17">
        <v>9571436865</v>
      </c>
      <c r="V293" s="17" t="s">
        <v>64</v>
      </c>
      <c r="W293" s="47">
        <f t="shared" ca="1" si="12"/>
        <v>25</v>
      </c>
      <c r="X293" s="42">
        <f t="shared" si="13"/>
        <v>5</v>
      </c>
      <c r="Y293" s="42" t="str">
        <f t="shared" si="14"/>
        <v xml:space="preserve">On Time </v>
      </c>
    </row>
    <row r="294" spans="1:25" x14ac:dyDescent="0.5">
      <c r="A294" s="15" t="s">
        <v>1363</v>
      </c>
      <c r="B294" s="15" t="s">
        <v>53</v>
      </c>
      <c r="C294" s="15" t="s">
        <v>72</v>
      </c>
      <c r="D294" s="32">
        <v>45728</v>
      </c>
      <c r="E294" s="32">
        <v>45730</v>
      </c>
      <c r="F294" s="15" t="s">
        <v>163</v>
      </c>
      <c r="G294" s="15" t="s">
        <v>28</v>
      </c>
      <c r="H294" s="36">
        <v>32856</v>
      </c>
      <c r="I294" s="15" t="s">
        <v>212</v>
      </c>
      <c r="J294" s="15" t="s">
        <v>45</v>
      </c>
      <c r="K294" s="15" t="s">
        <v>46</v>
      </c>
      <c r="L294" s="15" t="s">
        <v>78</v>
      </c>
      <c r="M294" s="15">
        <v>10</v>
      </c>
      <c r="N294" s="25">
        <v>1200</v>
      </c>
      <c r="O294" s="15">
        <v>20</v>
      </c>
      <c r="P294" s="25">
        <v>9600</v>
      </c>
      <c r="Q294" s="15">
        <v>4</v>
      </c>
      <c r="R294" s="15" t="s">
        <v>34</v>
      </c>
      <c r="S294" s="15" t="s">
        <v>49</v>
      </c>
      <c r="T294" s="15" t="s">
        <v>62</v>
      </c>
      <c r="U294" s="15">
        <v>9307011171</v>
      </c>
      <c r="V294" s="15" t="s">
        <v>38</v>
      </c>
      <c r="W294" s="46">
        <f t="shared" ca="1" si="12"/>
        <v>36</v>
      </c>
      <c r="X294" s="42">
        <f t="shared" si="13"/>
        <v>2</v>
      </c>
      <c r="Y294" s="42" t="str">
        <f t="shared" si="14"/>
        <v xml:space="preserve">On Time </v>
      </c>
    </row>
    <row r="295" spans="1:25" x14ac:dyDescent="0.5">
      <c r="A295" s="17" t="s">
        <v>1367</v>
      </c>
      <c r="B295" s="17" t="s">
        <v>23</v>
      </c>
      <c r="C295" s="17" t="s">
        <v>72</v>
      </c>
      <c r="D295" s="33">
        <v>46066</v>
      </c>
      <c r="E295" s="33">
        <v>46077</v>
      </c>
      <c r="F295" s="15" t="s">
        <v>27</v>
      </c>
      <c r="G295" s="17" t="s">
        <v>28</v>
      </c>
      <c r="H295" s="37">
        <v>32492</v>
      </c>
      <c r="I295" s="17" t="s">
        <v>138</v>
      </c>
      <c r="J295" s="17" t="s">
        <v>106</v>
      </c>
      <c r="K295" s="17" t="s">
        <v>46</v>
      </c>
      <c r="L295" s="17" t="s">
        <v>78</v>
      </c>
      <c r="M295" s="17">
        <v>5</v>
      </c>
      <c r="N295" s="26">
        <v>1200</v>
      </c>
      <c r="O295" s="17">
        <v>20</v>
      </c>
      <c r="P295" s="26">
        <v>4800</v>
      </c>
      <c r="Q295" s="17">
        <v>3</v>
      </c>
      <c r="R295" s="17" t="s">
        <v>48</v>
      </c>
      <c r="S295" s="17" t="s">
        <v>151</v>
      </c>
      <c r="T295" s="15" t="s">
        <v>50</v>
      </c>
      <c r="U295" s="17">
        <v>9922380435</v>
      </c>
      <c r="V295" s="17" t="s">
        <v>38</v>
      </c>
      <c r="W295" s="47">
        <f t="shared" ca="1" si="12"/>
        <v>37</v>
      </c>
      <c r="X295" s="42">
        <f t="shared" si="13"/>
        <v>11</v>
      </c>
      <c r="Y295" s="42" t="str">
        <f t="shared" si="14"/>
        <v>Delayed</v>
      </c>
    </row>
    <row r="296" spans="1:25" x14ac:dyDescent="0.5">
      <c r="A296" s="15" t="s">
        <v>1372</v>
      </c>
      <c r="B296" s="15" t="s">
        <v>168</v>
      </c>
      <c r="C296" s="15" t="s">
        <v>222</v>
      </c>
      <c r="D296" s="32">
        <v>45699</v>
      </c>
      <c r="E296" s="32">
        <v>45702</v>
      </c>
      <c r="F296" s="15" t="s">
        <v>361</v>
      </c>
      <c r="G296" s="15" t="s">
        <v>28</v>
      </c>
      <c r="H296" s="36">
        <v>33166</v>
      </c>
      <c r="I296" s="15" t="s">
        <v>105</v>
      </c>
      <c r="J296" s="15" t="s">
        <v>106</v>
      </c>
      <c r="K296" s="15" t="s">
        <v>122</v>
      </c>
      <c r="L296" s="15" t="s">
        <v>227</v>
      </c>
      <c r="M296" s="15">
        <v>10</v>
      </c>
      <c r="N296" s="25">
        <v>20</v>
      </c>
      <c r="O296" s="15">
        <v>5</v>
      </c>
      <c r="P296" s="25">
        <v>190</v>
      </c>
      <c r="Q296" s="15">
        <v>4</v>
      </c>
      <c r="R296" s="15" t="s">
        <v>34</v>
      </c>
      <c r="S296" s="15" t="s">
        <v>151</v>
      </c>
      <c r="T296" s="15" t="s">
        <v>175</v>
      </c>
      <c r="U296" s="15">
        <v>9463618792</v>
      </c>
      <c r="V296" s="15" t="s">
        <v>64</v>
      </c>
      <c r="W296" s="46">
        <f t="shared" ca="1" si="12"/>
        <v>35</v>
      </c>
      <c r="X296" s="42">
        <f t="shared" si="13"/>
        <v>3</v>
      </c>
      <c r="Y296" s="42" t="str">
        <f t="shared" si="14"/>
        <v xml:space="preserve">On Time </v>
      </c>
    </row>
    <row r="297" spans="1:25" x14ac:dyDescent="0.5">
      <c r="A297" s="17" t="s">
        <v>1377</v>
      </c>
      <c r="B297" s="17" t="s">
        <v>100</v>
      </c>
      <c r="C297" s="17" t="s">
        <v>118</v>
      </c>
      <c r="D297" s="33">
        <v>45674</v>
      </c>
      <c r="E297" s="33">
        <v>45684</v>
      </c>
      <c r="F297" s="15" t="s">
        <v>103</v>
      </c>
      <c r="G297" s="17" t="s">
        <v>28</v>
      </c>
      <c r="H297" s="37">
        <v>28741</v>
      </c>
      <c r="I297" s="17" t="s">
        <v>44</v>
      </c>
      <c r="J297" s="17" t="s">
        <v>45</v>
      </c>
      <c r="K297" s="17" t="s">
        <v>122</v>
      </c>
      <c r="L297" s="17" t="s">
        <v>123</v>
      </c>
      <c r="M297" s="17">
        <v>20</v>
      </c>
      <c r="N297" s="26">
        <v>60</v>
      </c>
      <c r="O297" s="17">
        <v>15</v>
      </c>
      <c r="P297" s="26">
        <v>1020</v>
      </c>
      <c r="Q297" s="17">
        <v>5</v>
      </c>
      <c r="R297" s="17" t="s">
        <v>79</v>
      </c>
      <c r="S297" s="17" t="s">
        <v>35</v>
      </c>
      <c r="T297" s="15" t="s">
        <v>144</v>
      </c>
      <c r="U297" s="17">
        <v>9954973200</v>
      </c>
      <c r="V297" s="17" t="s">
        <v>64</v>
      </c>
      <c r="W297" s="47">
        <f t="shared" ca="1" si="12"/>
        <v>48</v>
      </c>
      <c r="X297" s="42">
        <f t="shared" si="13"/>
        <v>10</v>
      </c>
      <c r="Y297" s="42" t="str">
        <f t="shared" si="14"/>
        <v>Delayed</v>
      </c>
    </row>
    <row r="298" spans="1:25" x14ac:dyDescent="0.5">
      <c r="A298" s="15" t="s">
        <v>1382</v>
      </c>
      <c r="B298" s="15" t="s">
        <v>327</v>
      </c>
      <c r="C298" s="15" t="s">
        <v>24</v>
      </c>
      <c r="D298" s="32">
        <v>45748</v>
      </c>
      <c r="E298" s="32">
        <v>45759</v>
      </c>
      <c r="F298" s="15" t="s">
        <v>394</v>
      </c>
      <c r="G298" s="15" t="s">
        <v>76</v>
      </c>
      <c r="H298" s="36">
        <v>28530</v>
      </c>
      <c r="I298" s="15" t="s">
        <v>138</v>
      </c>
      <c r="J298" s="15" t="s">
        <v>106</v>
      </c>
      <c r="K298" s="15" t="s">
        <v>32</v>
      </c>
      <c r="L298" s="15" t="s">
        <v>33</v>
      </c>
      <c r="M298" s="15">
        <v>7</v>
      </c>
      <c r="N298" s="25">
        <v>2200</v>
      </c>
      <c r="O298" s="15">
        <v>15</v>
      </c>
      <c r="P298" s="25">
        <v>13090</v>
      </c>
      <c r="Q298" s="15">
        <v>4</v>
      </c>
      <c r="R298" s="15" t="s">
        <v>34</v>
      </c>
      <c r="S298" s="15" t="s">
        <v>61</v>
      </c>
      <c r="T298" s="15" t="s">
        <v>332</v>
      </c>
      <c r="U298" s="15">
        <v>9383199236</v>
      </c>
      <c r="V298" s="15" t="s">
        <v>69</v>
      </c>
      <c r="W298" s="46">
        <f t="shared" ca="1" si="12"/>
        <v>48</v>
      </c>
      <c r="X298" s="42">
        <f t="shared" si="13"/>
        <v>11</v>
      </c>
      <c r="Y298" s="42" t="str">
        <f t="shared" si="14"/>
        <v>Delayed</v>
      </c>
    </row>
    <row r="299" spans="1:25" x14ac:dyDescent="0.5">
      <c r="A299" s="17" t="s">
        <v>1385</v>
      </c>
      <c r="B299" s="17" t="s">
        <v>127</v>
      </c>
      <c r="C299" s="17" t="s">
        <v>54</v>
      </c>
      <c r="D299" s="33">
        <v>45670</v>
      </c>
      <c r="E299" s="33">
        <v>45673</v>
      </c>
      <c r="F299" s="15" t="s">
        <v>200</v>
      </c>
      <c r="G299" s="17" t="s">
        <v>76</v>
      </c>
      <c r="H299" s="37">
        <v>37989</v>
      </c>
      <c r="I299" s="17" t="s">
        <v>30</v>
      </c>
      <c r="J299" s="17" t="s">
        <v>31</v>
      </c>
      <c r="K299" s="17" t="s">
        <v>46</v>
      </c>
      <c r="L299" s="17" t="s">
        <v>60</v>
      </c>
      <c r="M299" s="17">
        <v>11</v>
      </c>
      <c r="N299" s="26">
        <v>55000</v>
      </c>
      <c r="O299" s="17">
        <v>5</v>
      </c>
      <c r="P299" s="26">
        <v>574750</v>
      </c>
      <c r="Q299" s="17">
        <v>1</v>
      </c>
      <c r="R299" s="17" t="s">
        <v>88</v>
      </c>
      <c r="S299" s="17" t="s">
        <v>35</v>
      </c>
      <c r="T299" s="15" t="s">
        <v>132</v>
      </c>
      <c r="U299" s="17">
        <v>9482699727</v>
      </c>
      <c r="V299" s="17" t="s">
        <v>69</v>
      </c>
      <c r="W299" s="47">
        <f t="shared" ca="1" si="12"/>
        <v>22</v>
      </c>
      <c r="X299" s="42">
        <f t="shared" si="13"/>
        <v>3</v>
      </c>
      <c r="Y299" s="42" t="str">
        <f t="shared" si="14"/>
        <v xml:space="preserve">On Time </v>
      </c>
    </row>
    <row r="300" spans="1:25" x14ac:dyDescent="0.5">
      <c r="A300" s="15" t="s">
        <v>1388</v>
      </c>
      <c r="B300" s="15" t="s">
        <v>83</v>
      </c>
      <c r="C300" s="15" t="s">
        <v>92</v>
      </c>
      <c r="D300" s="32">
        <v>45935</v>
      </c>
      <c r="E300" s="32">
        <v>45947</v>
      </c>
      <c r="F300" s="15" t="s">
        <v>180</v>
      </c>
      <c r="G300" s="15" t="s">
        <v>76</v>
      </c>
      <c r="H300" s="36">
        <v>33726</v>
      </c>
      <c r="I300" s="15" t="s">
        <v>212</v>
      </c>
      <c r="J300" s="15" t="s">
        <v>45</v>
      </c>
      <c r="K300" s="15" t="s">
        <v>32</v>
      </c>
      <c r="L300" s="15" t="s">
        <v>97</v>
      </c>
      <c r="M300" s="15">
        <v>12</v>
      </c>
      <c r="N300" s="25">
        <v>3500</v>
      </c>
      <c r="O300" s="15">
        <v>0</v>
      </c>
      <c r="P300" s="25">
        <v>42000</v>
      </c>
      <c r="Q300" s="15">
        <v>2</v>
      </c>
      <c r="R300" s="15" t="s">
        <v>48</v>
      </c>
      <c r="S300" s="15"/>
      <c r="T300" s="15" t="s">
        <v>89</v>
      </c>
      <c r="U300" s="15">
        <v>9332473934</v>
      </c>
      <c r="V300" s="15" t="s">
        <v>64</v>
      </c>
      <c r="W300" s="46">
        <f t="shared" ca="1" si="12"/>
        <v>34</v>
      </c>
      <c r="X300" s="42">
        <f t="shared" si="13"/>
        <v>12</v>
      </c>
      <c r="Y300" s="42" t="str">
        <f t="shared" si="14"/>
        <v>Delayed</v>
      </c>
    </row>
    <row r="301" spans="1:25" x14ac:dyDescent="0.5">
      <c r="A301" s="17" t="s">
        <v>1392</v>
      </c>
      <c r="B301" s="17" t="s">
        <v>71</v>
      </c>
      <c r="C301" s="17" t="s">
        <v>259</v>
      </c>
      <c r="D301" s="33">
        <v>46078</v>
      </c>
      <c r="E301" s="33">
        <v>46089</v>
      </c>
      <c r="F301" s="15" t="s">
        <v>217</v>
      </c>
      <c r="G301" s="17" t="s">
        <v>76</v>
      </c>
      <c r="H301" s="37">
        <v>37647</v>
      </c>
      <c r="I301" s="17" t="s">
        <v>30</v>
      </c>
      <c r="J301" s="17" t="s">
        <v>31</v>
      </c>
      <c r="K301" s="17" t="s">
        <v>122</v>
      </c>
      <c r="L301" s="17" t="s">
        <v>263</v>
      </c>
      <c r="M301" s="17">
        <v>15</v>
      </c>
      <c r="N301" s="26">
        <v>45</v>
      </c>
      <c r="O301" s="17">
        <v>10</v>
      </c>
      <c r="P301" s="26">
        <v>607.5</v>
      </c>
      <c r="Q301" s="17">
        <v>2</v>
      </c>
      <c r="R301" s="17" t="s">
        <v>34</v>
      </c>
      <c r="S301" s="17" t="s">
        <v>151</v>
      </c>
      <c r="T301" s="15" t="s">
        <v>80</v>
      </c>
      <c r="U301" s="17">
        <v>9647657382</v>
      </c>
      <c r="V301" s="17" t="s">
        <v>64</v>
      </c>
      <c r="W301" s="47">
        <f t="shared" ca="1" si="12"/>
        <v>23</v>
      </c>
      <c r="X301" s="42">
        <f t="shared" si="13"/>
        <v>11</v>
      </c>
      <c r="Y301" s="42" t="str">
        <f t="shared" si="14"/>
        <v>Delayed</v>
      </c>
    </row>
    <row r="302" spans="1:25" x14ac:dyDescent="0.5">
      <c r="A302" s="15" t="s">
        <v>1395</v>
      </c>
      <c r="B302" s="15" t="s">
        <v>327</v>
      </c>
      <c r="C302" s="15" t="s">
        <v>259</v>
      </c>
      <c r="D302" s="32">
        <v>45793</v>
      </c>
      <c r="E302" s="32">
        <v>45803</v>
      </c>
      <c r="F302" s="15" t="s">
        <v>394</v>
      </c>
      <c r="G302" s="15" t="s">
        <v>76</v>
      </c>
      <c r="H302" s="36">
        <v>31917</v>
      </c>
      <c r="I302" s="15" t="s">
        <v>59</v>
      </c>
      <c r="J302" s="15" t="s">
        <v>31</v>
      </c>
      <c r="K302" s="15" t="s">
        <v>122</v>
      </c>
      <c r="L302" s="15" t="s">
        <v>263</v>
      </c>
      <c r="M302" s="15">
        <v>13</v>
      </c>
      <c r="N302" s="25">
        <v>45</v>
      </c>
      <c r="O302" s="15">
        <v>0</v>
      </c>
      <c r="P302" s="25">
        <v>585</v>
      </c>
      <c r="Q302" s="15">
        <v>5</v>
      </c>
      <c r="R302" s="15" t="s">
        <v>48</v>
      </c>
      <c r="S302" s="15" t="s">
        <v>49</v>
      </c>
      <c r="T302" s="15" t="s">
        <v>332</v>
      </c>
      <c r="U302" s="15">
        <v>9736797776</v>
      </c>
      <c r="V302" s="15" t="s">
        <v>64</v>
      </c>
      <c r="W302" s="46">
        <f t="shared" ca="1" si="12"/>
        <v>39</v>
      </c>
      <c r="X302" s="42">
        <f t="shared" si="13"/>
        <v>10</v>
      </c>
      <c r="Y302" s="42" t="str">
        <f t="shared" si="14"/>
        <v>Delayed</v>
      </c>
    </row>
    <row r="303" spans="1:25" x14ac:dyDescent="0.5">
      <c r="A303" s="17" t="s">
        <v>1398</v>
      </c>
      <c r="B303" s="17" t="s">
        <v>127</v>
      </c>
      <c r="C303" s="17" t="s">
        <v>54</v>
      </c>
      <c r="D303" s="33">
        <v>46024</v>
      </c>
      <c r="E303" s="33">
        <v>46027</v>
      </c>
      <c r="F303" s="15" t="s">
        <v>200</v>
      </c>
      <c r="G303" s="17" t="s">
        <v>76</v>
      </c>
      <c r="H303" s="37">
        <v>27644</v>
      </c>
      <c r="I303" s="17" t="s">
        <v>59</v>
      </c>
      <c r="J303" s="17" t="s">
        <v>31</v>
      </c>
      <c r="K303" s="17" t="s">
        <v>46</v>
      </c>
      <c r="L303" s="17" t="s">
        <v>60</v>
      </c>
      <c r="M303" s="17">
        <v>8</v>
      </c>
      <c r="N303" s="26">
        <v>55000</v>
      </c>
      <c r="O303" s="17">
        <v>0</v>
      </c>
      <c r="P303" s="26">
        <v>440000</v>
      </c>
      <c r="Q303" s="17">
        <v>2</v>
      </c>
      <c r="R303" s="17" t="s">
        <v>88</v>
      </c>
      <c r="S303" s="17" t="s">
        <v>151</v>
      </c>
      <c r="T303" s="15" t="s">
        <v>132</v>
      </c>
      <c r="U303" s="17">
        <v>9745773533</v>
      </c>
      <c r="V303" s="17" t="s">
        <v>69</v>
      </c>
      <c r="W303" s="47">
        <f t="shared" ca="1" si="12"/>
        <v>51</v>
      </c>
      <c r="X303" s="42">
        <f t="shared" si="13"/>
        <v>3</v>
      </c>
      <c r="Y303" s="42" t="str">
        <f t="shared" si="14"/>
        <v xml:space="preserve">On Time </v>
      </c>
    </row>
    <row r="304" spans="1:25" x14ac:dyDescent="0.5">
      <c r="A304" s="15" t="s">
        <v>1401</v>
      </c>
      <c r="B304" s="15" t="s">
        <v>251</v>
      </c>
      <c r="C304" s="15" t="s">
        <v>54</v>
      </c>
      <c r="D304" s="32">
        <v>45861</v>
      </c>
      <c r="E304" s="32">
        <v>45865</v>
      </c>
      <c r="F304" s="15" t="s">
        <v>254</v>
      </c>
      <c r="G304" s="15" t="s">
        <v>28</v>
      </c>
      <c r="H304" s="36">
        <v>29443</v>
      </c>
      <c r="I304" s="15" t="s">
        <v>44</v>
      </c>
      <c r="J304" s="15" t="s">
        <v>45</v>
      </c>
      <c r="K304" s="15" t="s">
        <v>46</v>
      </c>
      <c r="L304" s="15" t="s">
        <v>60</v>
      </c>
      <c r="M304" s="15">
        <v>4</v>
      </c>
      <c r="N304" s="25">
        <v>55000</v>
      </c>
      <c r="O304" s="15">
        <v>20</v>
      </c>
      <c r="P304" s="25">
        <v>176000</v>
      </c>
      <c r="Q304" s="15">
        <v>5</v>
      </c>
      <c r="R304" s="15" t="s">
        <v>34</v>
      </c>
      <c r="S304" s="15" t="s">
        <v>49</v>
      </c>
      <c r="T304" s="15" t="s">
        <v>256</v>
      </c>
      <c r="U304" s="15">
        <v>9246715757</v>
      </c>
      <c r="V304" s="15" t="s">
        <v>64</v>
      </c>
      <c r="W304" s="46">
        <f t="shared" ca="1" si="12"/>
        <v>46</v>
      </c>
      <c r="X304" s="42">
        <f t="shared" si="13"/>
        <v>4</v>
      </c>
      <c r="Y304" s="42" t="str">
        <f t="shared" si="14"/>
        <v xml:space="preserve">On Time </v>
      </c>
    </row>
    <row r="305" spans="1:25" x14ac:dyDescent="0.5">
      <c r="A305" s="17" t="s">
        <v>1404</v>
      </c>
      <c r="B305" s="17" t="s">
        <v>23</v>
      </c>
      <c r="C305" s="17" t="s">
        <v>92</v>
      </c>
      <c r="D305" s="33">
        <v>46135</v>
      </c>
      <c r="E305" s="33">
        <v>46138</v>
      </c>
      <c r="F305" s="15" t="s">
        <v>27</v>
      </c>
      <c r="G305" s="17" t="s">
        <v>28</v>
      </c>
      <c r="H305" s="37">
        <v>32605</v>
      </c>
      <c r="I305" s="17" t="s">
        <v>138</v>
      </c>
      <c r="J305" s="17" t="s">
        <v>106</v>
      </c>
      <c r="K305" s="17" t="s">
        <v>32</v>
      </c>
      <c r="L305" s="17" t="s">
        <v>97</v>
      </c>
      <c r="M305" s="17">
        <v>19</v>
      </c>
      <c r="N305" s="26">
        <v>3500</v>
      </c>
      <c r="O305" s="17">
        <v>5</v>
      </c>
      <c r="P305" s="26">
        <v>63175</v>
      </c>
      <c r="Q305" s="17">
        <v>1</v>
      </c>
      <c r="R305" s="17" t="s">
        <v>79</v>
      </c>
      <c r="S305" s="17" t="s">
        <v>115</v>
      </c>
      <c r="T305" s="15" t="s">
        <v>50</v>
      </c>
      <c r="U305" s="17">
        <v>9904065774</v>
      </c>
      <c r="V305" s="17" t="s">
        <v>38</v>
      </c>
      <c r="W305" s="47">
        <f t="shared" ca="1" si="12"/>
        <v>37</v>
      </c>
      <c r="X305" s="42">
        <f t="shared" si="13"/>
        <v>3</v>
      </c>
      <c r="Y305" s="42" t="str">
        <f t="shared" si="14"/>
        <v xml:space="preserve">On Time </v>
      </c>
    </row>
    <row r="306" spans="1:25" x14ac:dyDescent="0.5">
      <c r="A306" s="15" t="s">
        <v>1408</v>
      </c>
      <c r="B306" s="15" t="s">
        <v>221</v>
      </c>
      <c r="C306" s="15" t="s">
        <v>72</v>
      </c>
      <c r="D306" s="32">
        <v>45718</v>
      </c>
      <c r="E306" s="32">
        <v>45722</v>
      </c>
      <c r="F306" s="15" t="s">
        <v>225</v>
      </c>
      <c r="G306" s="15" t="s">
        <v>76</v>
      </c>
      <c r="H306" s="36">
        <v>36027</v>
      </c>
      <c r="I306" s="15" t="s">
        <v>212</v>
      </c>
      <c r="J306" s="15" t="s">
        <v>45</v>
      </c>
      <c r="K306" s="15" t="s">
        <v>46</v>
      </c>
      <c r="L306" s="15" t="s">
        <v>78</v>
      </c>
      <c r="M306" s="15">
        <v>17</v>
      </c>
      <c r="N306" s="25">
        <v>1200</v>
      </c>
      <c r="O306" s="15">
        <v>15</v>
      </c>
      <c r="P306" s="25">
        <v>17340</v>
      </c>
      <c r="Q306" s="15">
        <v>2</v>
      </c>
      <c r="R306" s="15" t="s">
        <v>48</v>
      </c>
      <c r="S306" s="15" t="s">
        <v>49</v>
      </c>
      <c r="T306" s="15" t="s">
        <v>228</v>
      </c>
      <c r="U306" s="15">
        <v>9652985385</v>
      </c>
      <c r="V306" s="15" t="s">
        <v>38</v>
      </c>
      <c r="W306" s="46">
        <f t="shared" ca="1" si="12"/>
        <v>28</v>
      </c>
      <c r="X306" s="42">
        <f t="shared" si="13"/>
        <v>4</v>
      </c>
      <c r="Y306" s="42" t="str">
        <f t="shared" si="14"/>
        <v xml:space="preserve">On Time </v>
      </c>
    </row>
    <row r="307" spans="1:25" x14ac:dyDescent="0.5">
      <c r="A307" s="17" t="s">
        <v>1412</v>
      </c>
      <c r="B307" s="17" t="s">
        <v>23</v>
      </c>
      <c r="C307" s="17" t="s">
        <v>24</v>
      </c>
      <c r="D307" s="33">
        <v>46062</v>
      </c>
      <c r="E307" s="33">
        <v>46070</v>
      </c>
      <c r="F307" s="15" t="s">
        <v>27</v>
      </c>
      <c r="G307" s="17" t="s">
        <v>28</v>
      </c>
      <c r="H307" s="37">
        <v>36984</v>
      </c>
      <c r="I307" s="17" t="s">
        <v>30</v>
      </c>
      <c r="J307" s="17" t="s">
        <v>31</v>
      </c>
      <c r="K307" s="17" t="s">
        <v>32</v>
      </c>
      <c r="L307" s="17" t="s">
        <v>33</v>
      </c>
      <c r="M307" s="17">
        <v>8</v>
      </c>
      <c r="N307" s="26">
        <v>2200</v>
      </c>
      <c r="O307" s="17">
        <v>5</v>
      </c>
      <c r="P307" s="26">
        <v>16720</v>
      </c>
      <c r="Q307" s="17">
        <v>3</v>
      </c>
      <c r="R307" s="17" t="s">
        <v>79</v>
      </c>
      <c r="S307" s="17" t="s">
        <v>115</v>
      </c>
      <c r="T307" s="15" t="s">
        <v>50</v>
      </c>
      <c r="U307" s="17">
        <v>9427001508</v>
      </c>
      <c r="V307" s="17" t="s">
        <v>64</v>
      </c>
      <c r="W307" s="47">
        <f t="shared" ca="1" si="12"/>
        <v>25</v>
      </c>
      <c r="X307" s="42">
        <f t="shared" si="13"/>
        <v>8</v>
      </c>
      <c r="Y307" s="42" t="str">
        <f t="shared" si="14"/>
        <v>Delayed</v>
      </c>
    </row>
    <row r="308" spans="1:25" x14ac:dyDescent="0.5">
      <c r="A308" s="15" t="s">
        <v>1415</v>
      </c>
      <c r="B308" s="15" t="s">
        <v>251</v>
      </c>
      <c r="C308" s="15" t="s">
        <v>184</v>
      </c>
      <c r="D308" s="32">
        <v>45704</v>
      </c>
      <c r="E308" s="32">
        <v>45714</v>
      </c>
      <c r="F308" s="15" t="s">
        <v>254</v>
      </c>
      <c r="G308" s="15" t="s">
        <v>28</v>
      </c>
      <c r="H308" s="36">
        <v>33668</v>
      </c>
      <c r="I308" s="15" t="s">
        <v>105</v>
      </c>
      <c r="J308" s="15" t="s">
        <v>106</v>
      </c>
      <c r="K308" s="15" t="s">
        <v>46</v>
      </c>
      <c r="L308" s="15" t="s">
        <v>189</v>
      </c>
      <c r="M308" s="15">
        <v>17</v>
      </c>
      <c r="N308" s="25">
        <v>700</v>
      </c>
      <c r="O308" s="15">
        <v>20</v>
      </c>
      <c r="P308" s="25">
        <v>9520</v>
      </c>
      <c r="Q308" s="15">
        <v>4</v>
      </c>
      <c r="R308" s="15" t="s">
        <v>48</v>
      </c>
      <c r="S308" s="15" t="s">
        <v>115</v>
      </c>
      <c r="T308" s="15" t="s">
        <v>256</v>
      </c>
      <c r="U308" s="15">
        <v>9666803655</v>
      </c>
      <c r="V308" s="15" t="s">
        <v>38</v>
      </c>
      <c r="W308" s="46">
        <f t="shared" ca="1" si="12"/>
        <v>34</v>
      </c>
      <c r="X308" s="42">
        <f t="shared" si="13"/>
        <v>10</v>
      </c>
      <c r="Y308" s="42" t="str">
        <f t="shared" si="14"/>
        <v>Delayed</v>
      </c>
    </row>
    <row r="309" spans="1:25" x14ac:dyDescent="0.5">
      <c r="A309" s="17" t="s">
        <v>1417</v>
      </c>
      <c r="B309" s="17" t="s">
        <v>251</v>
      </c>
      <c r="C309" s="17" t="s">
        <v>169</v>
      </c>
      <c r="D309" s="33">
        <v>45897</v>
      </c>
      <c r="E309" s="33">
        <v>45908</v>
      </c>
      <c r="F309" s="15" t="s">
        <v>254</v>
      </c>
      <c r="G309" s="17" t="s">
        <v>28</v>
      </c>
      <c r="H309" s="37">
        <v>28122</v>
      </c>
      <c r="I309" s="17" t="s">
        <v>114</v>
      </c>
      <c r="J309" s="17" t="s">
        <v>106</v>
      </c>
      <c r="K309" s="17" t="s">
        <v>32</v>
      </c>
      <c r="L309" s="17" t="s">
        <v>174</v>
      </c>
      <c r="M309" s="17">
        <v>6</v>
      </c>
      <c r="N309" s="26">
        <v>8500</v>
      </c>
      <c r="O309" s="17">
        <v>15</v>
      </c>
      <c r="P309" s="26">
        <v>43350</v>
      </c>
      <c r="Q309" s="17">
        <v>1</v>
      </c>
      <c r="R309" s="17" t="s">
        <v>34</v>
      </c>
      <c r="S309" s="17" t="s">
        <v>61</v>
      </c>
      <c r="T309" s="15" t="s">
        <v>256</v>
      </c>
      <c r="U309" s="17">
        <v>9134878547</v>
      </c>
      <c r="V309" s="17" t="s">
        <v>38</v>
      </c>
      <c r="W309" s="47">
        <f t="shared" ca="1" si="12"/>
        <v>49</v>
      </c>
      <c r="X309" s="42">
        <f t="shared" si="13"/>
        <v>11</v>
      </c>
      <c r="Y309" s="42" t="str">
        <f t="shared" si="14"/>
        <v>Delayed</v>
      </c>
    </row>
    <row r="310" spans="1:25" x14ac:dyDescent="0.5">
      <c r="A310" s="15" t="s">
        <v>1419</v>
      </c>
      <c r="B310" s="15" t="s">
        <v>53</v>
      </c>
      <c r="C310" s="15" t="s">
        <v>92</v>
      </c>
      <c r="D310" s="32">
        <v>45936</v>
      </c>
      <c r="E310" s="32">
        <v>45941</v>
      </c>
      <c r="F310" s="15" t="s">
        <v>163</v>
      </c>
      <c r="G310" s="15" t="s">
        <v>28</v>
      </c>
      <c r="H310" s="36">
        <v>31659</v>
      </c>
      <c r="I310" s="15" t="s">
        <v>30</v>
      </c>
      <c r="J310" s="15" t="s">
        <v>31</v>
      </c>
      <c r="K310" s="15" t="s">
        <v>32</v>
      </c>
      <c r="L310" s="15" t="s">
        <v>97</v>
      </c>
      <c r="M310" s="15">
        <v>3</v>
      </c>
      <c r="N310" s="25">
        <v>3500</v>
      </c>
      <c r="O310" s="15">
        <v>10</v>
      </c>
      <c r="P310" s="25">
        <v>9450</v>
      </c>
      <c r="Q310" s="15">
        <v>1</v>
      </c>
      <c r="R310" s="15" t="s">
        <v>48</v>
      </c>
      <c r="S310" s="15" t="s">
        <v>49</v>
      </c>
      <c r="T310" s="15" t="s">
        <v>62</v>
      </c>
      <c r="U310" s="15">
        <v>9253593557</v>
      </c>
      <c r="V310" s="15" t="s">
        <v>38</v>
      </c>
      <c r="W310" s="46">
        <f t="shared" ca="1" si="12"/>
        <v>40</v>
      </c>
      <c r="X310" s="42">
        <f t="shared" si="13"/>
        <v>5</v>
      </c>
      <c r="Y310" s="42" t="str">
        <f t="shared" si="14"/>
        <v xml:space="preserve">On Time </v>
      </c>
    </row>
    <row r="311" spans="1:25" x14ac:dyDescent="0.5">
      <c r="A311" s="17" t="s">
        <v>1422</v>
      </c>
      <c r="B311" s="17" t="s">
        <v>71</v>
      </c>
      <c r="C311" s="17" t="s">
        <v>40</v>
      </c>
      <c r="D311" s="33">
        <v>45674</v>
      </c>
      <c r="E311" s="33">
        <v>45686</v>
      </c>
      <c r="F311" s="15" t="s">
        <v>217</v>
      </c>
      <c r="G311" s="17" t="s">
        <v>76</v>
      </c>
      <c r="H311" s="37">
        <v>32734</v>
      </c>
      <c r="I311" s="17" t="s">
        <v>138</v>
      </c>
      <c r="J311" s="17" t="s">
        <v>106</v>
      </c>
      <c r="K311" s="17" t="s">
        <v>46</v>
      </c>
      <c r="L311" s="17" t="s">
        <v>47</v>
      </c>
      <c r="M311" s="17">
        <v>2</v>
      </c>
      <c r="N311" s="26">
        <v>12000</v>
      </c>
      <c r="O311" s="17">
        <v>20</v>
      </c>
      <c r="P311" s="26">
        <v>19200</v>
      </c>
      <c r="Q311" s="17">
        <v>1</v>
      </c>
      <c r="R311" s="17" t="s">
        <v>79</v>
      </c>
      <c r="S311" s="17" t="s">
        <v>61</v>
      </c>
      <c r="T311" s="15" t="s">
        <v>80</v>
      </c>
      <c r="U311" s="17">
        <v>9183094051</v>
      </c>
      <c r="V311" s="17" t="s">
        <v>38</v>
      </c>
      <c r="W311" s="47">
        <f t="shared" ca="1" si="12"/>
        <v>37</v>
      </c>
      <c r="X311" s="42">
        <f t="shared" si="13"/>
        <v>12</v>
      </c>
      <c r="Y311" s="42" t="str">
        <f t="shared" si="14"/>
        <v>Delayed</v>
      </c>
    </row>
    <row r="312" spans="1:25" x14ac:dyDescent="0.5">
      <c r="A312" s="15" t="s">
        <v>1425</v>
      </c>
      <c r="B312" s="15" t="s">
        <v>221</v>
      </c>
      <c r="C312" s="15" t="s">
        <v>222</v>
      </c>
      <c r="D312" s="32">
        <v>45943</v>
      </c>
      <c r="E312" s="32">
        <v>45946</v>
      </c>
      <c r="F312" s="15" t="s">
        <v>225</v>
      </c>
      <c r="G312" s="15" t="s">
        <v>76</v>
      </c>
      <c r="H312" s="36">
        <v>33299</v>
      </c>
      <c r="I312" s="15" t="s">
        <v>44</v>
      </c>
      <c r="J312" s="15" t="s">
        <v>45</v>
      </c>
      <c r="K312" s="15" t="s">
        <v>122</v>
      </c>
      <c r="L312" s="15" t="s">
        <v>227</v>
      </c>
      <c r="M312" s="15">
        <v>12</v>
      </c>
      <c r="N312" s="25">
        <v>20</v>
      </c>
      <c r="O312" s="15">
        <v>20</v>
      </c>
      <c r="P312" s="25">
        <v>192</v>
      </c>
      <c r="Q312" s="15">
        <v>2</v>
      </c>
      <c r="R312" s="15" t="s">
        <v>79</v>
      </c>
      <c r="S312" s="15" t="s">
        <v>49</v>
      </c>
      <c r="T312" s="15" t="s">
        <v>228</v>
      </c>
      <c r="U312" s="15">
        <v>9293147620</v>
      </c>
      <c r="V312" s="15" t="s">
        <v>38</v>
      </c>
      <c r="W312" s="46">
        <f t="shared" ca="1" si="12"/>
        <v>35</v>
      </c>
      <c r="X312" s="42">
        <f t="shared" si="13"/>
        <v>3</v>
      </c>
      <c r="Y312" s="42" t="str">
        <f t="shared" si="14"/>
        <v xml:space="preserve">On Time </v>
      </c>
    </row>
    <row r="313" spans="1:25" x14ac:dyDescent="0.5">
      <c r="A313" s="17" t="s">
        <v>1429</v>
      </c>
      <c r="B313" s="17" t="s">
        <v>100</v>
      </c>
      <c r="C313" s="17" t="s">
        <v>40</v>
      </c>
      <c r="D313" s="33">
        <v>46138</v>
      </c>
      <c r="E313" s="33">
        <v>46140</v>
      </c>
      <c r="F313" s="15" t="s">
        <v>103</v>
      </c>
      <c r="G313" s="17" t="s">
        <v>28</v>
      </c>
      <c r="H313" s="37">
        <v>32733</v>
      </c>
      <c r="I313" s="17" t="s">
        <v>294</v>
      </c>
      <c r="J313" s="17" t="s">
        <v>295</v>
      </c>
      <c r="K313" s="17" t="s">
        <v>46</v>
      </c>
      <c r="L313" s="17" t="s">
        <v>47</v>
      </c>
      <c r="M313" s="17">
        <v>20</v>
      </c>
      <c r="N313" s="26">
        <v>12000</v>
      </c>
      <c r="O313" s="17">
        <v>15</v>
      </c>
      <c r="P313" s="26">
        <v>204000</v>
      </c>
      <c r="Q313" s="17">
        <v>3</v>
      </c>
      <c r="R313" s="17" t="s">
        <v>34</v>
      </c>
      <c r="S313" s="17" t="s">
        <v>35</v>
      </c>
      <c r="T313" s="15" t="s">
        <v>144</v>
      </c>
      <c r="U313" s="17">
        <v>9755583734</v>
      </c>
      <c r="V313" s="17" t="s">
        <v>64</v>
      </c>
      <c r="W313" s="47">
        <f t="shared" ca="1" si="12"/>
        <v>37</v>
      </c>
      <c r="X313" s="42">
        <f t="shared" si="13"/>
        <v>2</v>
      </c>
      <c r="Y313" s="42" t="str">
        <f t="shared" si="14"/>
        <v xml:space="preserve">On Time </v>
      </c>
    </row>
    <row r="314" spans="1:25" x14ac:dyDescent="0.5">
      <c r="A314" s="15" t="s">
        <v>1433</v>
      </c>
      <c r="B314" s="15" t="s">
        <v>53</v>
      </c>
      <c r="C314" s="15" t="s">
        <v>118</v>
      </c>
      <c r="D314" s="32">
        <v>46105</v>
      </c>
      <c r="E314" s="32">
        <v>46116</v>
      </c>
      <c r="F314" s="15" t="s">
        <v>163</v>
      </c>
      <c r="G314" s="15" t="s">
        <v>28</v>
      </c>
      <c r="H314" s="36">
        <v>37654</v>
      </c>
      <c r="I314" s="15" t="s">
        <v>212</v>
      </c>
      <c r="J314" s="15" t="s">
        <v>45</v>
      </c>
      <c r="K314" s="15" t="s">
        <v>122</v>
      </c>
      <c r="L314" s="15" t="s">
        <v>123</v>
      </c>
      <c r="M314" s="15">
        <v>13</v>
      </c>
      <c r="N314" s="25">
        <v>60</v>
      </c>
      <c r="O314" s="15">
        <v>10</v>
      </c>
      <c r="P314" s="25">
        <v>702</v>
      </c>
      <c r="Q314" s="15">
        <v>5</v>
      </c>
      <c r="R314" s="15" t="s">
        <v>34</v>
      </c>
      <c r="S314" s="15" t="s">
        <v>35</v>
      </c>
      <c r="T314" s="15" t="s">
        <v>62</v>
      </c>
      <c r="U314" s="15">
        <v>9186592813</v>
      </c>
      <c r="V314" s="15" t="s">
        <v>64</v>
      </c>
      <c r="W314" s="46">
        <f t="shared" ca="1" si="12"/>
        <v>23</v>
      </c>
      <c r="X314" s="42">
        <f t="shared" si="13"/>
        <v>11</v>
      </c>
      <c r="Y314" s="42" t="str">
        <f t="shared" si="14"/>
        <v>Delayed</v>
      </c>
    </row>
    <row r="315" spans="1:25" x14ac:dyDescent="0.5">
      <c r="A315" s="17" t="s">
        <v>1436</v>
      </c>
      <c r="B315" s="17" t="s">
        <v>71</v>
      </c>
      <c r="C315" s="17" t="s">
        <v>54</v>
      </c>
      <c r="D315" s="33">
        <v>45785</v>
      </c>
      <c r="E315" s="33">
        <v>45796</v>
      </c>
      <c r="F315" s="15" t="s">
        <v>217</v>
      </c>
      <c r="G315" s="17" t="s">
        <v>76</v>
      </c>
      <c r="H315" s="37">
        <v>35019</v>
      </c>
      <c r="I315" s="17" t="s">
        <v>114</v>
      </c>
      <c r="J315" s="17" t="s">
        <v>106</v>
      </c>
      <c r="K315" s="17" t="s">
        <v>46</v>
      </c>
      <c r="L315" s="17" t="s">
        <v>60</v>
      </c>
      <c r="M315" s="17">
        <v>13</v>
      </c>
      <c r="N315" s="26">
        <v>55000</v>
      </c>
      <c r="O315" s="17">
        <v>5</v>
      </c>
      <c r="P315" s="26">
        <v>679250</v>
      </c>
      <c r="Q315" s="17">
        <v>1</v>
      </c>
      <c r="R315" s="17" t="s">
        <v>88</v>
      </c>
      <c r="S315" s="17" t="s">
        <v>151</v>
      </c>
      <c r="T315" s="15" t="s">
        <v>80</v>
      </c>
      <c r="U315" s="17">
        <v>9203482008</v>
      </c>
      <c r="V315" s="17" t="s">
        <v>64</v>
      </c>
      <c r="W315" s="47">
        <f t="shared" ca="1" si="12"/>
        <v>30</v>
      </c>
      <c r="X315" s="42">
        <f t="shared" si="13"/>
        <v>11</v>
      </c>
      <c r="Y315" s="42" t="str">
        <f t="shared" si="14"/>
        <v>Delayed</v>
      </c>
    </row>
    <row r="316" spans="1:25" x14ac:dyDescent="0.5">
      <c r="A316" s="15" t="s">
        <v>1440</v>
      </c>
      <c r="B316" s="15" t="s">
        <v>100</v>
      </c>
      <c r="C316" s="15" t="s">
        <v>72</v>
      </c>
      <c r="D316" s="32">
        <v>46088</v>
      </c>
      <c r="E316" s="32">
        <v>46091</v>
      </c>
      <c r="F316" s="15" t="s">
        <v>103</v>
      </c>
      <c r="G316" s="15" t="s">
        <v>28</v>
      </c>
      <c r="H316" s="36">
        <v>32836</v>
      </c>
      <c r="I316" s="15" t="s">
        <v>59</v>
      </c>
      <c r="J316" s="15" t="s">
        <v>31</v>
      </c>
      <c r="K316" s="15" t="s">
        <v>46</v>
      </c>
      <c r="L316" s="15" t="s">
        <v>78</v>
      </c>
      <c r="M316" s="15">
        <v>7</v>
      </c>
      <c r="N316" s="25">
        <v>1200</v>
      </c>
      <c r="O316" s="15">
        <v>15</v>
      </c>
      <c r="P316" s="25">
        <v>7140</v>
      </c>
      <c r="Q316" s="15">
        <v>5</v>
      </c>
      <c r="R316" s="15" t="s">
        <v>88</v>
      </c>
      <c r="S316" s="15" t="s">
        <v>49</v>
      </c>
      <c r="T316" s="15" t="s">
        <v>144</v>
      </c>
      <c r="U316" s="15">
        <v>9829888777</v>
      </c>
      <c r="V316" s="15" t="s">
        <v>64</v>
      </c>
      <c r="W316" s="46">
        <f t="shared" ca="1" si="12"/>
        <v>36</v>
      </c>
      <c r="X316" s="42">
        <f t="shared" si="13"/>
        <v>3</v>
      </c>
      <c r="Y316" s="42" t="str">
        <f t="shared" si="14"/>
        <v xml:space="preserve">On Time </v>
      </c>
    </row>
    <row r="317" spans="1:25" x14ac:dyDescent="0.5">
      <c r="A317" s="17" t="s">
        <v>1443</v>
      </c>
      <c r="B317" s="17" t="s">
        <v>83</v>
      </c>
      <c r="C317" s="17" t="s">
        <v>40</v>
      </c>
      <c r="D317" s="33">
        <v>46017</v>
      </c>
      <c r="E317" s="33">
        <v>46021</v>
      </c>
      <c r="F317" s="15" t="s">
        <v>180</v>
      </c>
      <c r="G317" s="17" t="s">
        <v>76</v>
      </c>
      <c r="H317" s="37">
        <v>32253</v>
      </c>
      <c r="I317" s="17" t="s">
        <v>212</v>
      </c>
      <c r="J317" s="17" t="s">
        <v>45</v>
      </c>
      <c r="K317" s="17" t="s">
        <v>46</v>
      </c>
      <c r="L317" s="17" t="s">
        <v>47</v>
      </c>
      <c r="M317" s="17">
        <v>17</v>
      </c>
      <c r="N317" s="26">
        <v>12000</v>
      </c>
      <c r="O317" s="17">
        <v>5</v>
      </c>
      <c r="P317" s="26">
        <v>193800</v>
      </c>
      <c r="Q317" s="17">
        <v>1</v>
      </c>
      <c r="R317" s="17" t="s">
        <v>34</v>
      </c>
      <c r="S317" s="17" t="s">
        <v>61</v>
      </c>
      <c r="T317" s="15" t="s">
        <v>89</v>
      </c>
      <c r="U317" s="17">
        <v>9566101317</v>
      </c>
      <c r="V317" s="17" t="s">
        <v>69</v>
      </c>
      <c r="W317" s="47">
        <f t="shared" ca="1" si="12"/>
        <v>38</v>
      </c>
      <c r="X317" s="42">
        <f t="shared" si="13"/>
        <v>4</v>
      </c>
      <c r="Y317" s="42" t="str">
        <f t="shared" si="14"/>
        <v xml:space="preserve">On Time </v>
      </c>
    </row>
    <row r="318" spans="1:25" x14ac:dyDescent="0.5">
      <c r="A318" s="15" t="s">
        <v>1447</v>
      </c>
      <c r="B318" s="15" t="s">
        <v>83</v>
      </c>
      <c r="C318" s="15" t="s">
        <v>222</v>
      </c>
      <c r="D318" s="32">
        <v>46131</v>
      </c>
      <c r="E318" s="32">
        <v>46137</v>
      </c>
      <c r="F318" s="15" t="s">
        <v>180</v>
      </c>
      <c r="G318" s="15" t="s">
        <v>76</v>
      </c>
      <c r="H318" s="36">
        <v>28796</v>
      </c>
      <c r="I318" s="15" t="s">
        <v>59</v>
      </c>
      <c r="J318" s="15" t="s">
        <v>31</v>
      </c>
      <c r="K318" s="15" t="s">
        <v>122</v>
      </c>
      <c r="L318" s="15" t="s">
        <v>227</v>
      </c>
      <c r="M318" s="15">
        <v>10</v>
      </c>
      <c r="N318" s="25">
        <v>20</v>
      </c>
      <c r="O318" s="15">
        <v>5</v>
      </c>
      <c r="P318" s="25">
        <v>190</v>
      </c>
      <c r="Q318" s="15">
        <v>2</v>
      </c>
      <c r="R318" s="15" t="s">
        <v>34</v>
      </c>
      <c r="S318" s="15" t="s">
        <v>61</v>
      </c>
      <c r="T318" s="15" t="s">
        <v>89</v>
      </c>
      <c r="U318" s="15">
        <v>9706240823</v>
      </c>
      <c r="V318" s="15" t="s">
        <v>69</v>
      </c>
      <c r="W318" s="46">
        <f t="shared" ca="1" si="12"/>
        <v>47</v>
      </c>
      <c r="X318" s="42">
        <f t="shared" si="13"/>
        <v>6</v>
      </c>
      <c r="Y318" s="42" t="str">
        <f t="shared" si="14"/>
        <v>Delayed</v>
      </c>
    </row>
    <row r="319" spans="1:25" x14ac:dyDescent="0.5">
      <c r="A319" s="17" t="s">
        <v>1450</v>
      </c>
      <c r="B319" s="17" t="s">
        <v>168</v>
      </c>
      <c r="C319" s="17" t="s">
        <v>24</v>
      </c>
      <c r="D319" s="33">
        <v>45966</v>
      </c>
      <c r="E319" s="33">
        <v>45969</v>
      </c>
      <c r="F319" s="15" t="s">
        <v>361</v>
      </c>
      <c r="G319" s="17" t="s">
        <v>28</v>
      </c>
      <c r="H319" s="37">
        <v>32855</v>
      </c>
      <c r="I319" s="17" t="s">
        <v>44</v>
      </c>
      <c r="J319" s="17" t="s">
        <v>45</v>
      </c>
      <c r="K319" s="17" t="s">
        <v>32</v>
      </c>
      <c r="L319" s="17" t="s">
        <v>33</v>
      </c>
      <c r="M319" s="17">
        <v>11</v>
      </c>
      <c r="N319" s="26">
        <v>2200</v>
      </c>
      <c r="O319" s="17">
        <v>5</v>
      </c>
      <c r="P319" s="26">
        <v>22990</v>
      </c>
      <c r="Q319" s="17">
        <v>5</v>
      </c>
      <c r="R319" s="17" t="s">
        <v>79</v>
      </c>
      <c r="S319" s="17" t="s">
        <v>49</v>
      </c>
      <c r="T319" s="15" t="s">
        <v>175</v>
      </c>
      <c r="U319" s="17">
        <v>9259943760</v>
      </c>
      <c r="V319" s="17" t="s">
        <v>64</v>
      </c>
      <c r="W319" s="47">
        <f t="shared" ca="1" si="12"/>
        <v>36</v>
      </c>
      <c r="X319" s="42">
        <f t="shared" si="13"/>
        <v>3</v>
      </c>
      <c r="Y319" s="42" t="str">
        <f t="shared" si="14"/>
        <v xml:space="preserve">On Time </v>
      </c>
    </row>
    <row r="320" spans="1:25" x14ac:dyDescent="0.5">
      <c r="A320" s="15" t="s">
        <v>1454</v>
      </c>
      <c r="B320" s="15" t="s">
        <v>100</v>
      </c>
      <c r="C320" s="15" t="s">
        <v>118</v>
      </c>
      <c r="D320" s="32">
        <v>46077</v>
      </c>
      <c r="E320" s="32">
        <v>46081</v>
      </c>
      <c r="F320" s="15" t="s">
        <v>103</v>
      </c>
      <c r="G320" s="15" t="s">
        <v>28</v>
      </c>
      <c r="H320" s="36">
        <v>34707</v>
      </c>
      <c r="I320" s="15" t="s">
        <v>212</v>
      </c>
      <c r="J320" s="15" t="s">
        <v>45</v>
      </c>
      <c r="K320" s="15" t="s">
        <v>122</v>
      </c>
      <c r="L320" s="15" t="s">
        <v>123</v>
      </c>
      <c r="M320" s="15">
        <v>8</v>
      </c>
      <c r="N320" s="25">
        <v>60</v>
      </c>
      <c r="O320" s="15">
        <v>15</v>
      </c>
      <c r="P320" s="25">
        <v>408</v>
      </c>
      <c r="Q320" s="15">
        <v>4</v>
      </c>
      <c r="R320" s="15" t="s">
        <v>34</v>
      </c>
      <c r="S320" s="15" t="s">
        <v>49</v>
      </c>
      <c r="T320" s="15" t="s">
        <v>144</v>
      </c>
      <c r="U320" s="15">
        <v>9527326977</v>
      </c>
      <c r="V320" s="15" t="s">
        <v>64</v>
      </c>
      <c r="W320" s="46">
        <f t="shared" ca="1" si="12"/>
        <v>31</v>
      </c>
      <c r="X320" s="42">
        <f t="shared" si="13"/>
        <v>4</v>
      </c>
      <c r="Y320" s="42" t="str">
        <f t="shared" si="14"/>
        <v xml:space="preserve">On Time </v>
      </c>
    </row>
    <row r="321" spans="1:25" x14ac:dyDescent="0.5">
      <c r="A321" s="17" t="s">
        <v>1457</v>
      </c>
      <c r="B321" s="17" t="s">
        <v>221</v>
      </c>
      <c r="C321" s="17" t="s">
        <v>259</v>
      </c>
      <c r="D321" s="33">
        <v>45739</v>
      </c>
      <c r="E321" s="33">
        <v>45741</v>
      </c>
      <c r="F321" s="15" t="s">
        <v>225</v>
      </c>
      <c r="G321" s="17" t="s">
        <v>76</v>
      </c>
      <c r="H321" s="37">
        <v>34630</v>
      </c>
      <c r="I321" s="17" t="s">
        <v>44</v>
      </c>
      <c r="J321" s="17" t="s">
        <v>45</v>
      </c>
      <c r="K321" s="17" t="s">
        <v>122</v>
      </c>
      <c r="L321" s="17" t="s">
        <v>263</v>
      </c>
      <c r="M321" s="17">
        <v>17</v>
      </c>
      <c r="N321" s="26">
        <v>45</v>
      </c>
      <c r="O321" s="17">
        <v>15</v>
      </c>
      <c r="P321" s="26">
        <v>650.25</v>
      </c>
      <c r="Q321" s="17">
        <v>2</v>
      </c>
      <c r="R321" s="17" t="s">
        <v>88</v>
      </c>
      <c r="S321" s="17" t="s">
        <v>151</v>
      </c>
      <c r="T321" s="15" t="s">
        <v>228</v>
      </c>
      <c r="U321" s="17">
        <v>9886970990</v>
      </c>
      <c r="V321" s="17" t="s">
        <v>38</v>
      </c>
      <c r="W321" s="47">
        <f t="shared" ca="1" si="12"/>
        <v>31</v>
      </c>
      <c r="X321" s="42">
        <f t="shared" si="13"/>
        <v>2</v>
      </c>
      <c r="Y321" s="42" t="str">
        <f t="shared" si="14"/>
        <v xml:space="preserve">On Time </v>
      </c>
    </row>
    <row r="322" spans="1:25" x14ac:dyDescent="0.5">
      <c r="A322" s="15" t="s">
        <v>1460</v>
      </c>
      <c r="B322" s="15" t="s">
        <v>327</v>
      </c>
      <c r="C322" s="15" t="s">
        <v>184</v>
      </c>
      <c r="D322" s="32">
        <v>45715</v>
      </c>
      <c r="E322" s="32">
        <v>45726</v>
      </c>
      <c r="F322" s="15" t="s">
        <v>394</v>
      </c>
      <c r="G322" s="15" t="s">
        <v>76</v>
      </c>
      <c r="H322" s="36">
        <v>35206</v>
      </c>
      <c r="I322" s="15" t="s">
        <v>212</v>
      </c>
      <c r="J322" s="15" t="s">
        <v>45</v>
      </c>
      <c r="K322" s="15" t="s">
        <v>46</v>
      </c>
      <c r="L322" s="15" t="s">
        <v>189</v>
      </c>
      <c r="M322" s="15">
        <v>14</v>
      </c>
      <c r="N322" s="25">
        <v>700</v>
      </c>
      <c r="O322" s="15">
        <v>15</v>
      </c>
      <c r="P322" s="25">
        <v>8330</v>
      </c>
      <c r="Q322" s="15">
        <v>1</v>
      </c>
      <c r="R322" s="15" t="s">
        <v>79</v>
      </c>
      <c r="S322" s="15" t="s">
        <v>115</v>
      </c>
      <c r="T322" s="15" t="s">
        <v>332</v>
      </c>
      <c r="U322" s="15">
        <v>9106930369</v>
      </c>
      <c r="V322" s="15" t="s">
        <v>38</v>
      </c>
      <c r="W322" s="46">
        <f t="shared" ca="1" si="12"/>
        <v>30</v>
      </c>
      <c r="X322" s="42">
        <f t="shared" si="13"/>
        <v>11</v>
      </c>
      <c r="Y322" s="42" t="str">
        <f t="shared" si="14"/>
        <v>Delayed</v>
      </c>
    </row>
    <row r="323" spans="1:25" x14ac:dyDescent="0.5">
      <c r="A323" s="17" t="s">
        <v>1464</v>
      </c>
      <c r="B323" s="17" t="s">
        <v>83</v>
      </c>
      <c r="C323" s="17" t="s">
        <v>72</v>
      </c>
      <c r="D323" s="33">
        <v>45811</v>
      </c>
      <c r="E323" s="33">
        <v>45822</v>
      </c>
      <c r="F323" s="15" t="s">
        <v>180</v>
      </c>
      <c r="G323" s="17" t="s">
        <v>76</v>
      </c>
      <c r="H323" s="37">
        <v>30097</v>
      </c>
      <c r="I323" s="17" t="s">
        <v>114</v>
      </c>
      <c r="J323" s="17" t="s">
        <v>106</v>
      </c>
      <c r="K323" s="17" t="s">
        <v>46</v>
      </c>
      <c r="L323" s="17" t="s">
        <v>78</v>
      </c>
      <c r="M323" s="17">
        <v>3</v>
      </c>
      <c r="N323" s="26">
        <v>1200</v>
      </c>
      <c r="O323" s="17">
        <v>5</v>
      </c>
      <c r="P323" s="26">
        <v>3420</v>
      </c>
      <c r="Q323" s="17">
        <v>3</v>
      </c>
      <c r="R323" s="17" t="s">
        <v>48</v>
      </c>
      <c r="S323" s="17" t="s">
        <v>151</v>
      </c>
      <c r="T323" s="15" t="s">
        <v>89</v>
      </c>
      <c r="U323" s="17">
        <v>9342009114</v>
      </c>
      <c r="V323" s="17" t="s">
        <v>38</v>
      </c>
      <c r="W323" s="47">
        <f t="shared" ref="W323:W386" ca="1" si="15">DATEDIF(H323, TODAY(), "y")</f>
        <v>44</v>
      </c>
      <c r="X323" s="42">
        <f t="shared" ref="X323:X386" si="16">IF(OR(ISBLANK(D323), ISBLANK(E323)), "Not Available", E323-D323)</f>
        <v>11</v>
      </c>
      <c r="Y323" s="42" t="str">
        <f t="shared" ref="Y323:Y386" si="17">IF(ISBLANK(E323), "Pending", IF(E323-D323&lt;=5, "On Time ",  "Delayed"))</f>
        <v>Delayed</v>
      </c>
    </row>
    <row r="324" spans="1:25" x14ac:dyDescent="0.5">
      <c r="A324" s="15" t="s">
        <v>1468</v>
      </c>
      <c r="B324" s="15" t="s">
        <v>23</v>
      </c>
      <c r="C324" s="15" t="s">
        <v>72</v>
      </c>
      <c r="D324" s="32">
        <v>45845</v>
      </c>
      <c r="E324" s="32">
        <v>45854</v>
      </c>
      <c r="F324" s="15" t="s">
        <v>27</v>
      </c>
      <c r="G324" s="15" t="s">
        <v>28</v>
      </c>
      <c r="H324" s="36">
        <v>37217</v>
      </c>
      <c r="I324" s="15" t="s">
        <v>138</v>
      </c>
      <c r="J324" s="15" t="s">
        <v>106</v>
      </c>
      <c r="K324" s="15" t="s">
        <v>46</v>
      </c>
      <c r="L324" s="15" t="s">
        <v>78</v>
      </c>
      <c r="M324" s="15">
        <v>9</v>
      </c>
      <c r="N324" s="25">
        <v>1200</v>
      </c>
      <c r="O324" s="15">
        <v>15</v>
      </c>
      <c r="P324" s="25">
        <v>9180</v>
      </c>
      <c r="Q324" s="15">
        <v>3</v>
      </c>
      <c r="R324" s="15" t="s">
        <v>34</v>
      </c>
      <c r="S324" s="15" t="s">
        <v>49</v>
      </c>
      <c r="T324" s="15" t="s">
        <v>50</v>
      </c>
      <c r="U324" s="15">
        <v>9992739960</v>
      </c>
      <c r="V324" s="15" t="s">
        <v>38</v>
      </c>
      <c r="W324" s="46">
        <f t="shared" ca="1" si="15"/>
        <v>24</v>
      </c>
      <c r="X324" s="42">
        <f t="shared" si="16"/>
        <v>9</v>
      </c>
      <c r="Y324" s="42" t="str">
        <f t="shared" si="17"/>
        <v>Delayed</v>
      </c>
    </row>
    <row r="325" spans="1:25" x14ac:dyDescent="0.5">
      <c r="A325" s="17" t="s">
        <v>1471</v>
      </c>
      <c r="B325" s="17" t="s">
        <v>251</v>
      </c>
      <c r="C325" s="17" t="s">
        <v>222</v>
      </c>
      <c r="D325" s="33">
        <v>46132</v>
      </c>
      <c r="E325" s="33">
        <v>46133</v>
      </c>
      <c r="F325" s="15" t="s">
        <v>254</v>
      </c>
      <c r="G325" s="17" t="s">
        <v>28</v>
      </c>
      <c r="H325" s="37">
        <v>32565</v>
      </c>
      <c r="I325" s="17" t="s">
        <v>105</v>
      </c>
      <c r="J325" s="17" t="s">
        <v>106</v>
      </c>
      <c r="K325" s="17" t="s">
        <v>122</v>
      </c>
      <c r="L325" s="17" t="s">
        <v>227</v>
      </c>
      <c r="M325" s="17">
        <v>5</v>
      </c>
      <c r="N325" s="26">
        <v>20</v>
      </c>
      <c r="O325" s="17">
        <v>5</v>
      </c>
      <c r="P325" s="26">
        <v>95</v>
      </c>
      <c r="Q325" s="17">
        <v>4</v>
      </c>
      <c r="R325" s="17" t="s">
        <v>34</v>
      </c>
      <c r="S325" s="17" t="s">
        <v>151</v>
      </c>
      <c r="T325" s="15" t="s">
        <v>256</v>
      </c>
      <c r="U325" s="17">
        <v>9241987748</v>
      </c>
      <c r="V325" s="17" t="s">
        <v>38</v>
      </c>
      <c r="W325" s="47">
        <f t="shared" ca="1" si="15"/>
        <v>37</v>
      </c>
      <c r="X325" s="42">
        <f t="shared" si="16"/>
        <v>1</v>
      </c>
      <c r="Y325" s="42" t="str">
        <f t="shared" si="17"/>
        <v xml:space="preserve">On Time </v>
      </c>
    </row>
    <row r="326" spans="1:25" x14ac:dyDescent="0.5">
      <c r="A326" s="15" t="s">
        <v>1474</v>
      </c>
      <c r="B326" s="15" t="s">
        <v>251</v>
      </c>
      <c r="C326" s="15" t="s">
        <v>24</v>
      </c>
      <c r="D326" s="32">
        <v>46001</v>
      </c>
      <c r="E326" s="32">
        <v>46012</v>
      </c>
      <c r="F326" s="15" t="s">
        <v>254</v>
      </c>
      <c r="G326" s="15" t="s">
        <v>28</v>
      </c>
      <c r="H326" s="36">
        <v>31277</v>
      </c>
      <c r="I326" s="15" t="s">
        <v>138</v>
      </c>
      <c r="J326" s="15" t="s">
        <v>106</v>
      </c>
      <c r="K326" s="15" t="s">
        <v>32</v>
      </c>
      <c r="L326" s="15" t="s">
        <v>33</v>
      </c>
      <c r="M326" s="15">
        <v>8</v>
      </c>
      <c r="N326" s="25">
        <v>2200</v>
      </c>
      <c r="O326" s="15">
        <v>10</v>
      </c>
      <c r="P326" s="25">
        <v>15840</v>
      </c>
      <c r="Q326" s="15">
        <v>4</v>
      </c>
      <c r="R326" s="15" t="s">
        <v>88</v>
      </c>
      <c r="S326" s="15" t="s">
        <v>61</v>
      </c>
      <c r="T326" s="15" t="s">
        <v>256</v>
      </c>
      <c r="U326" s="15">
        <v>9571990711</v>
      </c>
      <c r="V326" s="15" t="s">
        <v>69</v>
      </c>
      <c r="W326" s="46">
        <f t="shared" ca="1" si="15"/>
        <v>41</v>
      </c>
      <c r="X326" s="42">
        <f t="shared" si="16"/>
        <v>11</v>
      </c>
      <c r="Y326" s="42" t="str">
        <f t="shared" si="17"/>
        <v>Delayed</v>
      </c>
    </row>
    <row r="327" spans="1:25" x14ac:dyDescent="0.5">
      <c r="A327" s="17" t="s">
        <v>1479</v>
      </c>
      <c r="B327" s="17" t="s">
        <v>251</v>
      </c>
      <c r="C327" s="17" t="s">
        <v>184</v>
      </c>
      <c r="D327" s="33">
        <v>46089</v>
      </c>
      <c r="E327" s="33">
        <v>46093</v>
      </c>
      <c r="F327" s="15" t="s">
        <v>254</v>
      </c>
      <c r="G327" s="17" t="s">
        <v>28</v>
      </c>
      <c r="H327" s="37">
        <v>29223</v>
      </c>
      <c r="I327" s="17" t="s">
        <v>105</v>
      </c>
      <c r="J327" s="17" t="s">
        <v>106</v>
      </c>
      <c r="K327" s="17" t="s">
        <v>46</v>
      </c>
      <c r="L327" s="17" t="s">
        <v>189</v>
      </c>
      <c r="M327" s="17">
        <v>10</v>
      </c>
      <c r="N327" s="26">
        <v>700</v>
      </c>
      <c r="O327" s="17">
        <v>20</v>
      </c>
      <c r="P327" s="26">
        <v>5600</v>
      </c>
      <c r="Q327" s="17">
        <v>1</v>
      </c>
      <c r="R327" s="17" t="s">
        <v>88</v>
      </c>
      <c r="S327" s="17" t="s">
        <v>115</v>
      </c>
      <c r="T327" s="15" t="s">
        <v>256</v>
      </c>
      <c r="U327" s="17">
        <v>9219231183</v>
      </c>
      <c r="V327" s="17" t="s">
        <v>38</v>
      </c>
      <c r="W327" s="47">
        <f t="shared" ca="1" si="15"/>
        <v>46</v>
      </c>
      <c r="X327" s="42">
        <f t="shared" si="16"/>
        <v>4</v>
      </c>
      <c r="Y327" s="42" t="str">
        <f t="shared" si="17"/>
        <v xml:space="preserve">On Time </v>
      </c>
    </row>
    <row r="328" spans="1:25" x14ac:dyDescent="0.5">
      <c r="A328" s="15" t="s">
        <v>1483</v>
      </c>
      <c r="B328" s="15" t="s">
        <v>83</v>
      </c>
      <c r="C328" s="15" t="s">
        <v>184</v>
      </c>
      <c r="D328" s="32">
        <v>45986</v>
      </c>
      <c r="E328" s="32">
        <v>45989</v>
      </c>
      <c r="F328" s="15" t="s">
        <v>180</v>
      </c>
      <c r="G328" s="15" t="s">
        <v>76</v>
      </c>
      <c r="H328" s="36">
        <v>28498</v>
      </c>
      <c r="I328" s="15" t="s">
        <v>59</v>
      </c>
      <c r="J328" s="15" t="s">
        <v>31</v>
      </c>
      <c r="K328" s="15" t="s">
        <v>46</v>
      </c>
      <c r="L328" s="15" t="s">
        <v>189</v>
      </c>
      <c r="M328" s="15">
        <v>2</v>
      </c>
      <c r="N328" s="25">
        <v>700</v>
      </c>
      <c r="O328" s="15">
        <v>20</v>
      </c>
      <c r="P328" s="25">
        <v>1120</v>
      </c>
      <c r="Q328" s="15">
        <v>2</v>
      </c>
      <c r="R328" s="15" t="s">
        <v>34</v>
      </c>
      <c r="S328" s="15" t="s">
        <v>115</v>
      </c>
      <c r="T328" s="15" t="s">
        <v>89</v>
      </c>
      <c r="U328" s="15">
        <v>9847386174</v>
      </c>
      <c r="V328" s="15" t="s">
        <v>64</v>
      </c>
      <c r="W328" s="46">
        <f t="shared" ca="1" si="15"/>
        <v>48</v>
      </c>
      <c r="X328" s="42">
        <f t="shared" si="16"/>
        <v>3</v>
      </c>
      <c r="Y328" s="42" t="str">
        <f t="shared" si="17"/>
        <v xml:space="preserve">On Time </v>
      </c>
    </row>
    <row r="329" spans="1:25" x14ac:dyDescent="0.5">
      <c r="A329" s="17" t="s">
        <v>1488</v>
      </c>
      <c r="B329" s="17" t="s">
        <v>221</v>
      </c>
      <c r="C329" s="17" t="s">
        <v>92</v>
      </c>
      <c r="D329" s="33">
        <v>45827</v>
      </c>
      <c r="E329" s="33">
        <v>45836</v>
      </c>
      <c r="F329" s="15" t="s">
        <v>225</v>
      </c>
      <c r="G329" s="17" t="s">
        <v>76</v>
      </c>
      <c r="H329" s="37">
        <v>33821</v>
      </c>
      <c r="I329" s="17" t="s">
        <v>114</v>
      </c>
      <c r="J329" s="17" t="s">
        <v>106</v>
      </c>
      <c r="K329" s="17" t="s">
        <v>32</v>
      </c>
      <c r="L329" s="17" t="s">
        <v>97</v>
      </c>
      <c r="M329" s="17">
        <v>16</v>
      </c>
      <c r="N329" s="26">
        <v>3500</v>
      </c>
      <c r="O329" s="17">
        <v>20</v>
      </c>
      <c r="P329" s="26">
        <v>44800</v>
      </c>
      <c r="Q329" s="17">
        <v>2</v>
      </c>
      <c r="R329" s="17" t="s">
        <v>88</v>
      </c>
      <c r="S329" s="17" t="s">
        <v>35</v>
      </c>
      <c r="T329" s="15" t="s">
        <v>228</v>
      </c>
      <c r="U329" s="17">
        <v>9941274924</v>
      </c>
      <c r="V329" s="17" t="s">
        <v>64</v>
      </c>
      <c r="W329" s="47">
        <f t="shared" ca="1" si="15"/>
        <v>34</v>
      </c>
      <c r="X329" s="42">
        <f t="shared" si="16"/>
        <v>9</v>
      </c>
      <c r="Y329" s="42" t="str">
        <f t="shared" si="17"/>
        <v>Delayed</v>
      </c>
    </row>
    <row r="330" spans="1:25" x14ac:dyDescent="0.5">
      <c r="A330" s="15" t="s">
        <v>1491</v>
      </c>
      <c r="B330" s="15" t="s">
        <v>168</v>
      </c>
      <c r="C330" s="15" t="s">
        <v>92</v>
      </c>
      <c r="D330" s="32">
        <v>45860</v>
      </c>
      <c r="E330" s="32">
        <v>45870</v>
      </c>
      <c r="F330" s="15" t="s">
        <v>361</v>
      </c>
      <c r="G330" s="15" t="s">
        <v>28</v>
      </c>
      <c r="H330" s="36">
        <v>38349</v>
      </c>
      <c r="I330" s="15" t="s">
        <v>44</v>
      </c>
      <c r="J330" s="15" t="s">
        <v>45</v>
      </c>
      <c r="K330" s="15" t="s">
        <v>32</v>
      </c>
      <c r="L330" s="15" t="s">
        <v>97</v>
      </c>
      <c r="M330" s="15">
        <v>9</v>
      </c>
      <c r="N330" s="25">
        <v>3500</v>
      </c>
      <c r="O330" s="15">
        <v>20</v>
      </c>
      <c r="P330" s="25">
        <v>25200</v>
      </c>
      <c r="Q330" s="15">
        <v>1</v>
      </c>
      <c r="R330" s="15" t="s">
        <v>79</v>
      </c>
      <c r="S330" s="15" t="s">
        <v>49</v>
      </c>
      <c r="T330" s="15" t="s">
        <v>175</v>
      </c>
      <c r="U330" s="15">
        <v>9950650508</v>
      </c>
      <c r="V330" s="15" t="s">
        <v>69</v>
      </c>
      <c r="W330" s="46">
        <f t="shared" ca="1" si="15"/>
        <v>21</v>
      </c>
      <c r="X330" s="42">
        <f t="shared" si="16"/>
        <v>10</v>
      </c>
      <c r="Y330" s="42" t="str">
        <f t="shared" si="17"/>
        <v>Delayed</v>
      </c>
    </row>
    <row r="331" spans="1:25" x14ac:dyDescent="0.5">
      <c r="A331" s="17" t="s">
        <v>1494</v>
      </c>
      <c r="B331" s="17" t="s">
        <v>127</v>
      </c>
      <c r="C331" s="17" t="s">
        <v>184</v>
      </c>
      <c r="D331" s="33">
        <v>45959</v>
      </c>
      <c r="E331" s="33">
        <v>45960</v>
      </c>
      <c r="F331" s="15" t="s">
        <v>200</v>
      </c>
      <c r="G331" s="17" t="s">
        <v>76</v>
      </c>
      <c r="H331" s="37">
        <v>37628</v>
      </c>
      <c r="I331" s="17" t="s">
        <v>30</v>
      </c>
      <c r="J331" s="17" t="s">
        <v>31</v>
      </c>
      <c r="K331" s="17" t="s">
        <v>46</v>
      </c>
      <c r="L331" s="17" t="s">
        <v>189</v>
      </c>
      <c r="M331" s="17">
        <v>15</v>
      </c>
      <c r="N331" s="26">
        <v>700</v>
      </c>
      <c r="O331" s="17">
        <v>5</v>
      </c>
      <c r="P331" s="26">
        <v>9975</v>
      </c>
      <c r="Q331" s="17">
        <v>1</v>
      </c>
      <c r="R331" s="17" t="s">
        <v>34</v>
      </c>
      <c r="S331" s="17" t="s">
        <v>49</v>
      </c>
      <c r="T331" s="15" t="s">
        <v>132</v>
      </c>
      <c r="U331" s="17">
        <v>9464035549</v>
      </c>
      <c r="V331" s="17" t="s">
        <v>69</v>
      </c>
      <c r="W331" s="47">
        <f t="shared" ca="1" si="15"/>
        <v>23</v>
      </c>
      <c r="X331" s="42">
        <f t="shared" si="16"/>
        <v>1</v>
      </c>
      <c r="Y331" s="42" t="str">
        <f t="shared" si="17"/>
        <v xml:space="preserve">On Time </v>
      </c>
    </row>
    <row r="332" spans="1:25" x14ac:dyDescent="0.5">
      <c r="A332" s="15" t="s">
        <v>1497</v>
      </c>
      <c r="B332" s="15" t="s">
        <v>53</v>
      </c>
      <c r="C332" s="15" t="s">
        <v>72</v>
      </c>
      <c r="D332" s="32">
        <v>46086</v>
      </c>
      <c r="E332" s="32">
        <v>46091</v>
      </c>
      <c r="F332" s="15" t="s">
        <v>163</v>
      </c>
      <c r="G332" s="15" t="s">
        <v>28</v>
      </c>
      <c r="H332" s="36">
        <v>34037</v>
      </c>
      <c r="I332" s="15" t="s">
        <v>138</v>
      </c>
      <c r="J332" s="15" t="s">
        <v>106</v>
      </c>
      <c r="K332" s="15" t="s">
        <v>46</v>
      </c>
      <c r="L332" s="15" t="s">
        <v>78</v>
      </c>
      <c r="M332" s="15">
        <v>13</v>
      </c>
      <c r="N332" s="25">
        <v>1200</v>
      </c>
      <c r="O332" s="15">
        <v>0</v>
      </c>
      <c r="P332" s="25">
        <v>15600</v>
      </c>
      <c r="Q332" s="15">
        <v>3</v>
      </c>
      <c r="R332" s="15" t="s">
        <v>48</v>
      </c>
      <c r="S332" s="15" t="s">
        <v>115</v>
      </c>
      <c r="T332" s="15" t="s">
        <v>62</v>
      </c>
      <c r="U332" s="15">
        <v>9142334315</v>
      </c>
      <c r="V332" s="15" t="s">
        <v>69</v>
      </c>
      <c r="W332" s="46">
        <f t="shared" ca="1" si="15"/>
        <v>33</v>
      </c>
      <c r="X332" s="42">
        <f t="shared" si="16"/>
        <v>5</v>
      </c>
      <c r="Y332" s="42" t="str">
        <f t="shared" si="17"/>
        <v xml:space="preserve">On Time </v>
      </c>
    </row>
    <row r="333" spans="1:25" x14ac:dyDescent="0.5">
      <c r="A333" s="17" t="s">
        <v>1500</v>
      </c>
      <c r="B333" s="17" t="s">
        <v>327</v>
      </c>
      <c r="C333" s="17" t="s">
        <v>40</v>
      </c>
      <c r="D333" s="33">
        <v>45895</v>
      </c>
      <c r="E333" s="33">
        <v>45907</v>
      </c>
      <c r="F333" s="15" t="s">
        <v>394</v>
      </c>
      <c r="G333" s="17" t="s">
        <v>76</v>
      </c>
      <c r="H333" s="37">
        <v>34123</v>
      </c>
      <c r="I333" s="17" t="s">
        <v>44</v>
      </c>
      <c r="J333" s="17" t="s">
        <v>45</v>
      </c>
      <c r="K333" s="17" t="s">
        <v>46</v>
      </c>
      <c r="L333" s="17" t="s">
        <v>47</v>
      </c>
      <c r="M333" s="17">
        <v>5</v>
      </c>
      <c r="N333" s="26">
        <v>12000</v>
      </c>
      <c r="O333" s="17">
        <v>10</v>
      </c>
      <c r="P333" s="26">
        <v>54000</v>
      </c>
      <c r="Q333" s="17">
        <v>3</v>
      </c>
      <c r="R333" s="17" t="s">
        <v>88</v>
      </c>
      <c r="S333" s="17" t="s">
        <v>49</v>
      </c>
      <c r="T333" s="15" t="s">
        <v>332</v>
      </c>
      <c r="U333" s="17">
        <v>9123961962</v>
      </c>
      <c r="V333" s="17" t="s">
        <v>38</v>
      </c>
      <c r="W333" s="47">
        <f t="shared" ca="1" si="15"/>
        <v>33</v>
      </c>
      <c r="X333" s="42">
        <f t="shared" si="16"/>
        <v>12</v>
      </c>
      <c r="Y333" s="42" t="str">
        <f t="shared" si="17"/>
        <v>Delayed</v>
      </c>
    </row>
    <row r="334" spans="1:25" x14ac:dyDescent="0.5">
      <c r="A334" s="15" t="s">
        <v>1505</v>
      </c>
      <c r="B334" s="15" t="s">
        <v>53</v>
      </c>
      <c r="C334" s="15" t="s">
        <v>259</v>
      </c>
      <c r="D334" s="32">
        <v>45752</v>
      </c>
      <c r="E334" s="32">
        <v>45755</v>
      </c>
      <c r="F334" s="15" t="s">
        <v>163</v>
      </c>
      <c r="G334" s="15" t="s">
        <v>28</v>
      </c>
      <c r="H334" s="36">
        <v>36504</v>
      </c>
      <c r="I334" s="15" t="s">
        <v>59</v>
      </c>
      <c r="J334" s="15" t="s">
        <v>31</v>
      </c>
      <c r="K334" s="15" t="s">
        <v>122</v>
      </c>
      <c r="L334" s="15" t="s">
        <v>263</v>
      </c>
      <c r="M334" s="15">
        <v>12</v>
      </c>
      <c r="N334" s="25">
        <v>45</v>
      </c>
      <c r="O334" s="15">
        <v>20</v>
      </c>
      <c r="P334" s="25">
        <v>432</v>
      </c>
      <c r="Q334" s="15">
        <v>3</v>
      </c>
      <c r="R334" s="15" t="s">
        <v>48</v>
      </c>
      <c r="S334" s="15" t="s">
        <v>61</v>
      </c>
      <c r="T334" s="15" t="s">
        <v>62</v>
      </c>
      <c r="U334" s="15">
        <v>9741953402</v>
      </c>
      <c r="V334" s="15" t="s">
        <v>38</v>
      </c>
      <c r="W334" s="46">
        <f t="shared" ca="1" si="15"/>
        <v>26</v>
      </c>
      <c r="X334" s="42">
        <f t="shared" si="16"/>
        <v>3</v>
      </c>
      <c r="Y334" s="42" t="str">
        <f t="shared" si="17"/>
        <v xml:space="preserve">On Time </v>
      </c>
    </row>
    <row r="335" spans="1:25" x14ac:dyDescent="0.5">
      <c r="A335" s="17" t="s">
        <v>1510</v>
      </c>
      <c r="B335" s="17" t="s">
        <v>23</v>
      </c>
      <c r="C335" s="17" t="s">
        <v>92</v>
      </c>
      <c r="D335" s="33">
        <v>45756</v>
      </c>
      <c r="E335" s="33">
        <v>45761</v>
      </c>
      <c r="F335" s="15" t="s">
        <v>27</v>
      </c>
      <c r="G335" s="17" t="s">
        <v>28</v>
      </c>
      <c r="H335" s="37">
        <v>27917</v>
      </c>
      <c r="I335" s="17" t="s">
        <v>59</v>
      </c>
      <c r="J335" s="17" t="s">
        <v>31</v>
      </c>
      <c r="K335" s="17" t="s">
        <v>32</v>
      </c>
      <c r="L335" s="17" t="s">
        <v>97</v>
      </c>
      <c r="M335" s="17">
        <v>2</v>
      </c>
      <c r="N335" s="26">
        <v>3500</v>
      </c>
      <c r="O335" s="17">
        <v>0</v>
      </c>
      <c r="P335" s="26">
        <v>7000</v>
      </c>
      <c r="Q335" s="17">
        <v>1</v>
      </c>
      <c r="R335" s="17" t="s">
        <v>48</v>
      </c>
      <c r="S335" s="17" t="s">
        <v>115</v>
      </c>
      <c r="T335" s="15" t="s">
        <v>50</v>
      </c>
      <c r="U335" s="17">
        <v>9404733633</v>
      </c>
      <c r="V335" s="17" t="s">
        <v>64</v>
      </c>
      <c r="W335" s="47">
        <f t="shared" ca="1" si="15"/>
        <v>50</v>
      </c>
      <c r="X335" s="42">
        <f t="shared" si="16"/>
        <v>5</v>
      </c>
      <c r="Y335" s="42" t="str">
        <f t="shared" si="17"/>
        <v xml:space="preserve">On Time </v>
      </c>
    </row>
    <row r="336" spans="1:25" x14ac:dyDescent="0.5">
      <c r="A336" s="15" t="s">
        <v>1513</v>
      </c>
      <c r="B336" s="15" t="s">
        <v>23</v>
      </c>
      <c r="C336" s="15" t="s">
        <v>24</v>
      </c>
      <c r="D336" s="32">
        <v>46155</v>
      </c>
      <c r="E336" s="32">
        <v>46158</v>
      </c>
      <c r="F336" s="15" t="s">
        <v>27</v>
      </c>
      <c r="G336" s="15" t="s">
        <v>28</v>
      </c>
      <c r="H336" s="36">
        <v>30982</v>
      </c>
      <c r="I336" s="15" t="s">
        <v>114</v>
      </c>
      <c r="J336" s="15" t="s">
        <v>106</v>
      </c>
      <c r="K336" s="15" t="s">
        <v>32</v>
      </c>
      <c r="L336" s="15" t="s">
        <v>33</v>
      </c>
      <c r="M336" s="15">
        <v>15</v>
      </c>
      <c r="N336" s="25">
        <v>2200</v>
      </c>
      <c r="O336" s="15">
        <v>15</v>
      </c>
      <c r="P336" s="25">
        <v>28050</v>
      </c>
      <c r="Q336" s="15">
        <v>2</v>
      </c>
      <c r="R336" s="15" t="s">
        <v>48</v>
      </c>
      <c r="S336" s="15" t="s">
        <v>49</v>
      </c>
      <c r="T336" s="15" t="s">
        <v>50</v>
      </c>
      <c r="U336" s="15">
        <v>9297492337</v>
      </c>
      <c r="V336" s="15" t="s">
        <v>64</v>
      </c>
      <c r="W336" s="46">
        <f t="shared" ca="1" si="15"/>
        <v>41</v>
      </c>
      <c r="X336" s="42">
        <f t="shared" si="16"/>
        <v>3</v>
      </c>
      <c r="Y336" s="42" t="str">
        <f t="shared" si="17"/>
        <v xml:space="preserve">On Time </v>
      </c>
    </row>
    <row r="337" spans="1:25" x14ac:dyDescent="0.5">
      <c r="A337" s="17" t="s">
        <v>1516</v>
      </c>
      <c r="B337" s="17" t="s">
        <v>100</v>
      </c>
      <c r="C337" s="17" t="s">
        <v>222</v>
      </c>
      <c r="D337" s="33">
        <v>45995</v>
      </c>
      <c r="E337" s="33">
        <v>46003</v>
      </c>
      <c r="F337" s="15" t="s">
        <v>103</v>
      </c>
      <c r="G337" s="17" t="s">
        <v>28</v>
      </c>
      <c r="H337" s="37">
        <v>27453</v>
      </c>
      <c r="I337" s="17" t="s">
        <v>138</v>
      </c>
      <c r="J337" s="17" t="s">
        <v>106</v>
      </c>
      <c r="K337" s="17" t="s">
        <v>122</v>
      </c>
      <c r="L337" s="17" t="s">
        <v>227</v>
      </c>
      <c r="M337" s="17">
        <v>8</v>
      </c>
      <c r="N337" s="26">
        <v>20</v>
      </c>
      <c r="O337" s="17">
        <v>20</v>
      </c>
      <c r="P337" s="26">
        <v>128</v>
      </c>
      <c r="Q337" s="17">
        <v>5</v>
      </c>
      <c r="R337" s="17" t="s">
        <v>88</v>
      </c>
      <c r="S337" s="17" t="s">
        <v>49</v>
      </c>
      <c r="T337" s="15" t="s">
        <v>144</v>
      </c>
      <c r="U337" s="17">
        <v>9350338928</v>
      </c>
      <c r="V337" s="17" t="s">
        <v>38</v>
      </c>
      <c r="W337" s="47">
        <f t="shared" ca="1" si="15"/>
        <v>51</v>
      </c>
      <c r="X337" s="42">
        <f t="shared" si="16"/>
        <v>8</v>
      </c>
      <c r="Y337" s="42" t="str">
        <f t="shared" si="17"/>
        <v>Delayed</v>
      </c>
    </row>
    <row r="338" spans="1:25" x14ac:dyDescent="0.5">
      <c r="A338" s="15" t="s">
        <v>1519</v>
      </c>
      <c r="B338" s="15" t="s">
        <v>127</v>
      </c>
      <c r="C338" s="15" t="s">
        <v>222</v>
      </c>
      <c r="D338" s="32">
        <v>46089</v>
      </c>
      <c r="E338" s="32">
        <v>46091</v>
      </c>
      <c r="F338" s="15" t="s">
        <v>200</v>
      </c>
      <c r="G338" s="15" t="s">
        <v>76</v>
      </c>
      <c r="H338" s="36">
        <v>34261</v>
      </c>
      <c r="I338" s="15" t="s">
        <v>30</v>
      </c>
      <c r="J338" s="15" t="s">
        <v>31</v>
      </c>
      <c r="K338" s="15" t="s">
        <v>122</v>
      </c>
      <c r="L338" s="15" t="s">
        <v>227</v>
      </c>
      <c r="M338" s="15">
        <v>1</v>
      </c>
      <c r="N338" s="25">
        <v>20</v>
      </c>
      <c r="O338" s="15">
        <v>0</v>
      </c>
      <c r="P338" s="25">
        <v>20</v>
      </c>
      <c r="Q338" s="15">
        <v>3</v>
      </c>
      <c r="R338" s="15" t="s">
        <v>88</v>
      </c>
      <c r="S338" s="15" t="s">
        <v>35</v>
      </c>
      <c r="T338" s="15" t="s">
        <v>132</v>
      </c>
      <c r="U338" s="15">
        <v>9933894798</v>
      </c>
      <c r="V338" s="15" t="s">
        <v>38</v>
      </c>
      <c r="W338" s="46">
        <f t="shared" ca="1" si="15"/>
        <v>32</v>
      </c>
      <c r="X338" s="42">
        <f t="shared" si="16"/>
        <v>2</v>
      </c>
      <c r="Y338" s="42" t="str">
        <f t="shared" si="17"/>
        <v xml:space="preserve">On Time </v>
      </c>
    </row>
    <row r="339" spans="1:25" x14ac:dyDescent="0.5">
      <c r="A339" s="17" t="s">
        <v>1522</v>
      </c>
      <c r="B339" s="17" t="s">
        <v>23</v>
      </c>
      <c r="C339" s="17" t="s">
        <v>184</v>
      </c>
      <c r="D339" s="33">
        <v>46027</v>
      </c>
      <c r="E339" s="33">
        <v>46038</v>
      </c>
      <c r="F339" s="15" t="s">
        <v>27</v>
      </c>
      <c r="G339" s="17" t="s">
        <v>28</v>
      </c>
      <c r="H339" s="37">
        <v>30614</v>
      </c>
      <c r="I339" s="17" t="s">
        <v>212</v>
      </c>
      <c r="J339" s="17" t="s">
        <v>45</v>
      </c>
      <c r="K339" s="17" t="s">
        <v>46</v>
      </c>
      <c r="L339" s="17" t="s">
        <v>189</v>
      </c>
      <c r="M339" s="17">
        <v>15</v>
      </c>
      <c r="N339" s="26">
        <v>700</v>
      </c>
      <c r="O339" s="17">
        <v>0</v>
      </c>
      <c r="P339" s="26">
        <v>10500</v>
      </c>
      <c r="Q339" s="17">
        <v>2</v>
      </c>
      <c r="R339" s="17" t="s">
        <v>88</v>
      </c>
      <c r="S339" s="17" t="s">
        <v>49</v>
      </c>
      <c r="T339" s="15" t="s">
        <v>50</v>
      </c>
      <c r="U339" s="17">
        <v>9705218824</v>
      </c>
      <c r="V339" s="17" t="s">
        <v>38</v>
      </c>
      <c r="W339" s="47">
        <f t="shared" ca="1" si="15"/>
        <v>42</v>
      </c>
      <c r="X339" s="42">
        <f t="shared" si="16"/>
        <v>11</v>
      </c>
      <c r="Y339" s="42" t="str">
        <f t="shared" si="17"/>
        <v>Delayed</v>
      </c>
    </row>
    <row r="340" spans="1:25" x14ac:dyDescent="0.5">
      <c r="A340" s="15" t="s">
        <v>1525</v>
      </c>
      <c r="B340" s="15" t="s">
        <v>327</v>
      </c>
      <c r="C340" s="15" t="s">
        <v>92</v>
      </c>
      <c r="D340" s="32">
        <v>45695</v>
      </c>
      <c r="E340" s="32">
        <v>45698</v>
      </c>
      <c r="F340" s="15" t="s">
        <v>394</v>
      </c>
      <c r="G340" s="15" t="s">
        <v>76</v>
      </c>
      <c r="H340" s="36">
        <v>30324</v>
      </c>
      <c r="I340" s="15" t="s">
        <v>30</v>
      </c>
      <c r="J340" s="15" t="s">
        <v>31</v>
      </c>
      <c r="K340" s="15" t="s">
        <v>32</v>
      </c>
      <c r="L340" s="15" t="s">
        <v>97</v>
      </c>
      <c r="M340" s="15">
        <v>15</v>
      </c>
      <c r="N340" s="25">
        <v>3500</v>
      </c>
      <c r="O340" s="15">
        <v>10</v>
      </c>
      <c r="P340" s="25">
        <v>47250</v>
      </c>
      <c r="Q340" s="15">
        <v>3</v>
      </c>
      <c r="R340" s="15" t="s">
        <v>34</v>
      </c>
      <c r="S340" s="15" t="s">
        <v>151</v>
      </c>
      <c r="T340" s="15" t="s">
        <v>332</v>
      </c>
      <c r="U340" s="15">
        <v>9229164453</v>
      </c>
      <c r="V340" s="15" t="s">
        <v>64</v>
      </c>
      <c r="W340" s="46">
        <f t="shared" ca="1" si="15"/>
        <v>43</v>
      </c>
      <c r="X340" s="42">
        <f t="shared" si="16"/>
        <v>3</v>
      </c>
      <c r="Y340" s="42" t="str">
        <f t="shared" si="17"/>
        <v xml:space="preserve">On Time </v>
      </c>
    </row>
    <row r="341" spans="1:25" x14ac:dyDescent="0.5">
      <c r="A341" s="17" t="s">
        <v>1529</v>
      </c>
      <c r="B341" s="17" t="s">
        <v>23</v>
      </c>
      <c r="C341" s="17" t="s">
        <v>118</v>
      </c>
      <c r="D341" s="33">
        <v>45866</v>
      </c>
      <c r="E341" s="33">
        <v>45876</v>
      </c>
      <c r="F341" s="15" t="s">
        <v>27</v>
      </c>
      <c r="G341" s="17" t="s">
        <v>28</v>
      </c>
      <c r="H341" s="37">
        <v>30664</v>
      </c>
      <c r="I341" s="17" t="s">
        <v>294</v>
      </c>
      <c r="J341" s="17" t="s">
        <v>295</v>
      </c>
      <c r="K341" s="17" t="s">
        <v>122</v>
      </c>
      <c r="L341" s="17" t="s">
        <v>123</v>
      </c>
      <c r="M341" s="17">
        <v>16</v>
      </c>
      <c r="N341" s="26">
        <v>60</v>
      </c>
      <c r="O341" s="17">
        <v>10</v>
      </c>
      <c r="P341" s="26">
        <v>864</v>
      </c>
      <c r="Q341" s="17">
        <v>4</v>
      </c>
      <c r="R341" s="17" t="s">
        <v>79</v>
      </c>
      <c r="S341" s="17" t="s">
        <v>61</v>
      </c>
      <c r="T341" s="15" t="s">
        <v>50</v>
      </c>
      <c r="U341" s="17">
        <v>9219806176</v>
      </c>
      <c r="V341" s="17" t="s">
        <v>38</v>
      </c>
      <c r="W341" s="47">
        <f t="shared" ca="1" si="15"/>
        <v>42</v>
      </c>
      <c r="X341" s="42">
        <f t="shared" si="16"/>
        <v>10</v>
      </c>
      <c r="Y341" s="42" t="str">
        <f t="shared" si="17"/>
        <v>Delayed</v>
      </c>
    </row>
    <row r="342" spans="1:25" x14ac:dyDescent="0.5">
      <c r="A342" s="15" t="s">
        <v>1533</v>
      </c>
      <c r="B342" s="15" t="s">
        <v>127</v>
      </c>
      <c r="C342" s="15" t="s">
        <v>259</v>
      </c>
      <c r="D342" s="32">
        <v>45945</v>
      </c>
      <c r="E342" s="32">
        <v>45951</v>
      </c>
      <c r="F342" s="15" t="s">
        <v>200</v>
      </c>
      <c r="G342" s="15" t="s">
        <v>76</v>
      </c>
      <c r="H342" s="36">
        <v>30585</v>
      </c>
      <c r="I342" s="15" t="s">
        <v>44</v>
      </c>
      <c r="J342" s="15" t="s">
        <v>45</v>
      </c>
      <c r="K342" s="15" t="s">
        <v>122</v>
      </c>
      <c r="L342" s="15" t="s">
        <v>263</v>
      </c>
      <c r="M342" s="15">
        <v>2</v>
      </c>
      <c r="N342" s="25">
        <v>45</v>
      </c>
      <c r="O342" s="15">
        <v>15</v>
      </c>
      <c r="P342" s="25">
        <v>76.5</v>
      </c>
      <c r="Q342" s="15">
        <v>1</v>
      </c>
      <c r="R342" s="15" t="s">
        <v>88</v>
      </c>
      <c r="S342" s="15" t="s">
        <v>151</v>
      </c>
      <c r="T342" s="15" t="s">
        <v>132</v>
      </c>
      <c r="U342" s="15">
        <v>9630210250</v>
      </c>
      <c r="V342" s="15" t="s">
        <v>69</v>
      </c>
      <c r="W342" s="46">
        <f t="shared" ca="1" si="15"/>
        <v>43</v>
      </c>
      <c r="X342" s="42">
        <f t="shared" si="16"/>
        <v>6</v>
      </c>
      <c r="Y342" s="42" t="str">
        <f t="shared" si="17"/>
        <v>Delayed</v>
      </c>
    </row>
    <row r="343" spans="1:25" x14ac:dyDescent="0.5">
      <c r="A343" s="17" t="s">
        <v>1536</v>
      </c>
      <c r="B343" s="17" t="s">
        <v>168</v>
      </c>
      <c r="C343" s="17" t="s">
        <v>118</v>
      </c>
      <c r="D343" s="33">
        <v>45997</v>
      </c>
      <c r="E343" s="33">
        <v>46006</v>
      </c>
      <c r="F343" s="15" t="s">
        <v>361</v>
      </c>
      <c r="G343" s="17" t="s">
        <v>28</v>
      </c>
      <c r="H343" s="37">
        <v>27537</v>
      </c>
      <c r="I343" s="17" t="s">
        <v>44</v>
      </c>
      <c r="J343" s="17" t="s">
        <v>45</v>
      </c>
      <c r="K343" s="17" t="s">
        <v>122</v>
      </c>
      <c r="L343" s="17" t="s">
        <v>123</v>
      </c>
      <c r="M343" s="17">
        <v>13</v>
      </c>
      <c r="N343" s="26">
        <v>60</v>
      </c>
      <c r="O343" s="17">
        <v>15</v>
      </c>
      <c r="P343" s="26">
        <v>663</v>
      </c>
      <c r="Q343" s="17">
        <v>2</v>
      </c>
      <c r="R343" s="17" t="s">
        <v>48</v>
      </c>
      <c r="S343" s="17" t="s">
        <v>61</v>
      </c>
      <c r="T343" s="15" t="s">
        <v>175</v>
      </c>
      <c r="U343" s="17">
        <v>9583354052</v>
      </c>
      <c r="V343" s="17" t="s">
        <v>69</v>
      </c>
      <c r="W343" s="47">
        <f t="shared" ca="1" si="15"/>
        <v>51</v>
      </c>
      <c r="X343" s="42">
        <f t="shared" si="16"/>
        <v>9</v>
      </c>
      <c r="Y343" s="42" t="str">
        <f t="shared" si="17"/>
        <v>Delayed</v>
      </c>
    </row>
    <row r="344" spans="1:25" x14ac:dyDescent="0.5">
      <c r="A344" s="15" t="s">
        <v>1540</v>
      </c>
      <c r="B344" s="15" t="s">
        <v>83</v>
      </c>
      <c r="C344" s="15" t="s">
        <v>40</v>
      </c>
      <c r="D344" s="32">
        <v>45797</v>
      </c>
      <c r="E344" s="32">
        <v>45799</v>
      </c>
      <c r="F344" s="15" t="s">
        <v>180</v>
      </c>
      <c r="G344" s="15" t="s">
        <v>76</v>
      </c>
      <c r="H344" s="36">
        <v>34647</v>
      </c>
      <c r="I344" s="15" t="s">
        <v>44</v>
      </c>
      <c r="J344" s="15" t="s">
        <v>45</v>
      </c>
      <c r="K344" s="15" t="s">
        <v>46</v>
      </c>
      <c r="L344" s="15" t="s">
        <v>47</v>
      </c>
      <c r="M344" s="15">
        <v>15</v>
      </c>
      <c r="N344" s="25">
        <v>12000</v>
      </c>
      <c r="O344" s="15">
        <v>20</v>
      </c>
      <c r="P344" s="25">
        <v>144000</v>
      </c>
      <c r="Q344" s="15">
        <v>3</v>
      </c>
      <c r="R344" s="15" t="s">
        <v>79</v>
      </c>
      <c r="S344" s="15" t="s">
        <v>35</v>
      </c>
      <c r="T344" s="15" t="s">
        <v>89</v>
      </c>
      <c r="U344" s="15">
        <v>9242534507</v>
      </c>
      <c r="V344" s="15" t="s">
        <v>69</v>
      </c>
      <c r="W344" s="46">
        <f t="shared" ca="1" si="15"/>
        <v>31</v>
      </c>
      <c r="X344" s="42">
        <f t="shared" si="16"/>
        <v>2</v>
      </c>
      <c r="Y344" s="42" t="str">
        <f t="shared" si="17"/>
        <v xml:space="preserve">On Time </v>
      </c>
    </row>
    <row r="345" spans="1:25" x14ac:dyDescent="0.5">
      <c r="A345" s="17" t="s">
        <v>1543</v>
      </c>
      <c r="B345" s="17" t="s">
        <v>327</v>
      </c>
      <c r="C345" s="17" t="s">
        <v>222</v>
      </c>
      <c r="D345" s="33">
        <v>45863</v>
      </c>
      <c r="E345" s="33">
        <v>45871</v>
      </c>
      <c r="F345" s="15" t="s">
        <v>394</v>
      </c>
      <c r="G345" s="17" t="s">
        <v>76</v>
      </c>
      <c r="H345" s="37">
        <v>32128</v>
      </c>
      <c r="I345" s="17" t="s">
        <v>44</v>
      </c>
      <c r="J345" s="17" t="s">
        <v>45</v>
      </c>
      <c r="K345" s="17" t="s">
        <v>122</v>
      </c>
      <c r="L345" s="17" t="s">
        <v>227</v>
      </c>
      <c r="M345" s="17">
        <v>2</v>
      </c>
      <c r="N345" s="26">
        <v>20</v>
      </c>
      <c r="O345" s="17">
        <v>20</v>
      </c>
      <c r="P345" s="26">
        <v>32</v>
      </c>
      <c r="Q345" s="17">
        <v>4</v>
      </c>
      <c r="R345" s="17" t="s">
        <v>34</v>
      </c>
      <c r="S345" s="17" t="s">
        <v>35</v>
      </c>
      <c r="T345" s="15" t="s">
        <v>332</v>
      </c>
      <c r="U345" s="17">
        <v>9291239150</v>
      </c>
      <c r="V345" s="17" t="s">
        <v>64</v>
      </c>
      <c r="W345" s="47">
        <f t="shared" ca="1" si="15"/>
        <v>38</v>
      </c>
      <c r="X345" s="42">
        <f t="shared" si="16"/>
        <v>8</v>
      </c>
      <c r="Y345" s="42" t="str">
        <f t="shared" si="17"/>
        <v>Delayed</v>
      </c>
    </row>
    <row r="346" spans="1:25" x14ac:dyDescent="0.5">
      <c r="A346" s="15" t="s">
        <v>1547</v>
      </c>
      <c r="B346" s="15" t="s">
        <v>127</v>
      </c>
      <c r="C346" s="15" t="s">
        <v>92</v>
      </c>
      <c r="D346" s="32">
        <v>45874</v>
      </c>
      <c r="E346" s="32">
        <v>45886</v>
      </c>
      <c r="F346" s="15" t="s">
        <v>200</v>
      </c>
      <c r="G346" s="15" t="s">
        <v>76</v>
      </c>
      <c r="H346" s="36">
        <v>27564</v>
      </c>
      <c r="I346" s="15" t="s">
        <v>59</v>
      </c>
      <c r="J346" s="15" t="s">
        <v>31</v>
      </c>
      <c r="K346" s="15" t="s">
        <v>32</v>
      </c>
      <c r="L346" s="15" t="s">
        <v>97</v>
      </c>
      <c r="M346" s="15">
        <v>16</v>
      </c>
      <c r="N346" s="25">
        <v>3500</v>
      </c>
      <c r="O346" s="15">
        <v>0</v>
      </c>
      <c r="P346" s="25">
        <v>56000</v>
      </c>
      <c r="Q346" s="15">
        <v>4</v>
      </c>
      <c r="R346" s="15" t="s">
        <v>34</v>
      </c>
      <c r="S346" s="15" t="s">
        <v>115</v>
      </c>
      <c r="T346" s="15" t="s">
        <v>132</v>
      </c>
      <c r="U346" s="15">
        <v>9550820904</v>
      </c>
      <c r="V346" s="15" t="s">
        <v>38</v>
      </c>
      <c r="W346" s="46">
        <f t="shared" ca="1" si="15"/>
        <v>51</v>
      </c>
      <c r="X346" s="42">
        <f t="shared" si="16"/>
        <v>12</v>
      </c>
      <c r="Y346" s="42" t="str">
        <f t="shared" si="17"/>
        <v>Delayed</v>
      </c>
    </row>
    <row r="347" spans="1:25" x14ac:dyDescent="0.5">
      <c r="A347" s="17" t="s">
        <v>1551</v>
      </c>
      <c r="B347" s="17" t="s">
        <v>53</v>
      </c>
      <c r="C347" s="17" t="s">
        <v>92</v>
      </c>
      <c r="D347" s="33">
        <v>46071</v>
      </c>
      <c r="E347" s="33">
        <v>46078</v>
      </c>
      <c r="F347" s="15" t="s">
        <v>163</v>
      </c>
      <c r="G347" s="17" t="s">
        <v>28</v>
      </c>
      <c r="H347" s="37">
        <v>28134</v>
      </c>
      <c r="I347" s="17" t="s">
        <v>138</v>
      </c>
      <c r="J347" s="17" t="s">
        <v>106</v>
      </c>
      <c r="K347" s="17" t="s">
        <v>32</v>
      </c>
      <c r="L347" s="17" t="s">
        <v>97</v>
      </c>
      <c r="M347" s="17">
        <v>18</v>
      </c>
      <c r="N347" s="26">
        <v>3500</v>
      </c>
      <c r="O347" s="17">
        <v>15</v>
      </c>
      <c r="P347" s="26">
        <v>53550</v>
      </c>
      <c r="Q347" s="17">
        <v>5</v>
      </c>
      <c r="R347" s="17" t="s">
        <v>34</v>
      </c>
      <c r="S347" s="17" t="s">
        <v>151</v>
      </c>
      <c r="T347" s="15" t="s">
        <v>62</v>
      </c>
      <c r="U347" s="17">
        <v>9294486423</v>
      </c>
      <c r="V347" s="17" t="s">
        <v>69</v>
      </c>
      <c r="W347" s="47">
        <f t="shared" ca="1" si="15"/>
        <v>49</v>
      </c>
      <c r="X347" s="42">
        <f t="shared" si="16"/>
        <v>7</v>
      </c>
      <c r="Y347" s="42" t="str">
        <f t="shared" si="17"/>
        <v>Delayed</v>
      </c>
    </row>
    <row r="348" spans="1:25" x14ac:dyDescent="0.5">
      <c r="A348" s="15" t="s">
        <v>1554</v>
      </c>
      <c r="B348" s="15" t="s">
        <v>23</v>
      </c>
      <c r="C348" s="15" t="s">
        <v>259</v>
      </c>
      <c r="D348" s="32">
        <v>46102</v>
      </c>
      <c r="E348" s="32">
        <v>46107</v>
      </c>
      <c r="F348" s="15" t="s">
        <v>27</v>
      </c>
      <c r="G348" s="15" t="s">
        <v>28</v>
      </c>
      <c r="H348" s="36">
        <v>34232</v>
      </c>
      <c r="I348" s="15" t="s">
        <v>138</v>
      </c>
      <c r="J348" s="15" t="s">
        <v>106</v>
      </c>
      <c r="K348" s="15" t="s">
        <v>122</v>
      </c>
      <c r="L348" s="15" t="s">
        <v>263</v>
      </c>
      <c r="M348" s="15">
        <v>20</v>
      </c>
      <c r="N348" s="25">
        <v>45</v>
      </c>
      <c r="O348" s="15">
        <v>15</v>
      </c>
      <c r="P348" s="25">
        <v>765</v>
      </c>
      <c r="Q348" s="15">
        <v>4</v>
      </c>
      <c r="R348" s="15" t="s">
        <v>34</v>
      </c>
      <c r="S348" s="15" t="s">
        <v>151</v>
      </c>
      <c r="T348" s="15" t="s">
        <v>50</v>
      </c>
      <c r="U348" s="15">
        <v>9260258621</v>
      </c>
      <c r="V348" s="15" t="s">
        <v>69</v>
      </c>
      <c r="W348" s="46">
        <f t="shared" ca="1" si="15"/>
        <v>33</v>
      </c>
      <c r="X348" s="42">
        <f t="shared" si="16"/>
        <v>5</v>
      </c>
      <c r="Y348" s="42" t="str">
        <f t="shared" si="17"/>
        <v xml:space="preserve">On Time </v>
      </c>
    </row>
    <row r="349" spans="1:25" x14ac:dyDescent="0.5">
      <c r="A349" s="17" t="s">
        <v>1557</v>
      </c>
      <c r="B349" s="17" t="s">
        <v>251</v>
      </c>
      <c r="C349" s="17" t="s">
        <v>24</v>
      </c>
      <c r="D349" s="33">
        <v>46128</v>
      </c>
      <c r="E349" s="33">
        <v>46131</v>
      </c>
      <c r="F349" s="15" t="s">
        <v>254</v>
      </c>
      <c r="G349" s="17" t="s">
        <v>28</v>
      </c>
      <c r="H349" s="37">
        <v>35494</v>
      </c>
      <c r="I349" s="17" t="s">
        <v>44</v>
      </c>
      <c r="J349" s="17" t="s">
        <v>45</v>
      </c>
      <c r="K349" s="17" t="s">
        <v>32</v>
      </c>
      <c r="L349" s="17" t="s">
        <v>33</v>
      </c>
      <c r="M349" s="17">
        <v>13</v>
      </c>
      <c r="N349" s="26">
        <v>2200</v>
      </c>
      <c r="O349" s="17">
        <v>15</v>
      </c>
      <c r="P349" s="26">
        <v>24310</v>
      </c>
      <c r="Q349" s="17">
        <v>2</v>
      </c>
      <c r="R349" s="17" t="s">
        <v>48</v>
      </c>
      <c r="S349" s="17" t="s">
        <v>115</v>
      </c>
      <c r="T349" s="15" t="s">
        <v>256</v>
      </c>
      <c r="U349" s="17">
        <v>9697433584</v>
      </c>
      <c r="V349" s="17" t="s">
        <v>64</v>
      </c>
      <c r="W349" s="47">
        <f t="shared" ca="1" si="15"/>
        <v>29</v>
      </c>
      <c r="X349" s="42">
        <f t="shared" si="16"/>
        <v>3</v>
      </c>
      <c r="Y349" s="42" t="str">
        <f t="shared" si="17"/>
        <v xml:space="preserve">On Time </v>
      </c>
    </row>
    <row r="350" spans="1:25" x14ac:dyDescent="0.5">
      <c r="A350" s="15" t="s">
        <v>1560</v>
      </c>
      <c r="B350" s="15" t="s">
        <v>53</v>
      </c>
      <c r="C350" s="15" t="s">
        <v>1561</v>
      </c>
      <c r="D350" s="32">
        <v>45943</v>
      </c>
      <c r="E350" s="32">
        <v>45944</v>
      </c>
      <c r="F350" s="15" t="s">
        <v>163</v>
      </c>
      <c r="G350" s="15" t="s">
        <v>28</v>
      </c>
      <c r="H350" s="36">
        <v>37447</v>
      </c>
      <c r="I350" s="15" t="s">
        <v>294</v>
      </c>
      <c r="J350" s="15" t="s">
        <v>295</v>
      </c>
      <c r="K350" s="15" t="s">
        <v>32</v>
      </c>
      <c r="L350" s="15" t="s">
        <v>174</v>
      </c>
      <c r="M350" s="15">
        <v>11</v>
      </c>
      <c r="N350" s="25">
        <v>8500</v>
      </c>
      <c r="O350" s="15">
        <v>5</v>
      </c>
      <c r="P350" s="25">
        <v>88825</v>
      </c>
      <c r="Q350" s="15">
        <v>1</v>
      </c>
      <c r="R350" s="15" t="s">
        <v>88</v>
      </c>
      <c r="S350" s="15" t="s">
        <v>115</v>
      </c>
      <c r="T350" s="15" t="s">
        <v>62</v>
      </c>
      <c r="U350" s="15">
        <v>9837969758</v>
      </c>
      <c r="V350" s="15" t="s">
        <v>69</v>
      </c>
      <c r="W350" s="46">
        <f t="shared" ca="1" si="15"/>
        <v>24</v>
      </c>
      <c r="X350" s="42">
        <f t="shared" si="16"/>
        <v>1</v>
      </c>
      <c r="Y350" s="42" t="str">
        <f t="shared" si="17"/>
        <v xml:space="preserve">On Time </v>
      </c>
    </row>
    <row r="351" spans="1:25" x14ac:dyDescent="0.5">
      <c r="A351" s="17" t="s">
        <v>1564</v>
      </c>
      <c r="B351" s="17" t="s">
        <v>53</v>
      </c>
      <c r="C351" s="17" t="s">
        <v>24</v>
      </c>
      <c r="D351" s="33">
        <v>45996</v>
      </c>
      <c r="E351" s="33">
        <v>46001</v>
      </c>
      <c r="F351" s="15" t="s">
        <v>163</v>
      </c>
      <c r="G351" s="17" t="s">
        <v>28</v>
      </c>
      <c r="H351" s="37">
        <v>30790</v>
      </c>
      <c r="I351" s="17" t="s">
        <v>212</v>
      </c>
      <c r="J351" s="17" t="s">
        <v>45</v>
      </c>
      <c r="K351" s="17" t="s">
        <v>32</v>
      </c>
      <c r="L351" s="17" t="s">
        <v>33</v>
      </c>
      <c r="M351" s="17">
        <v>2</v>
      </c>
      <c r="N351" s="26">
        <v>2200</v>
      </c>
      <c r="O351" s="17">
        <v>0</v>
      </c>
      <c r="P351" s="26">
        <v>4400</v>
      </c>
      <c r="Q351" s="17">
        <v>4</v>
      </c>
      <c r="R351" s="17" t="s">
        <v>88</v>
      </c>
      <c r="S351" s="17" t="s">
        <v>151</v>
      </c>
      <c r="T351" s="15" t="s">
        <v>62</v>
      </c>
      <c r="U351" s="17">
        <v>9209736419</v>
      </c>
      <c r="V351" s="17" t="s">
        <v>64</v>
      </c>
      <c r="W351" s="47">
        <f t="shared" ca="1" si="15"/>
        <v>42</v>
      </c>
      <c r="X351" s="42">
        <f t="shared" si="16"/>
        <v>5</v>
      </c>
      <c r="Y351" s="42" t="str">
        <f t="shared" si="17"/>
        <v xml:space="preserve">On Time </v>
      </c>
    </row>
    <row r="352" spans="1:25" x14ac:dyDescent="0.5">
      <c r="A352" s="15" t="s">
        <v>1568</v>
      </c>
      <c r="B352" s="15" t="s">
        <v>83</v>
      </c>
      <c r="C352" s="15" t="s">
        <v>184</v>
      </c>
      <c r="D352" s="32">
        <v>45868</v>
      </c>
      <c r="E352" s="32">
        <v>45873</v>
      </c>
      <c r="F352" s="15" t="s">
        <v>180</v>
      </c>
      <c r="G352" s="15" t="s">
        <v>76</v>
      </c>
      <c r="H352" s="36">
        <v>37803</v>
      </c>
      <c r="I352" s="15" t="s">
        <v>105</v>
      </c>
      <c r="J352" s="15" t="s">
        <v>106</v>
      </c>
      <c r="K352" s="15" t="s">
        <v>46</v>
      </c>
      <c r="L352" s="15" t="s">
        <v>189</v>
      </c>
      <c r="M352" s="15">
        <v>15</v>
      </c>
      <c r="N352" s="25">
        <v>700</v>
      </c>
      <c r="O352" s="15">
        <v>15</v>
      </c>
      <c r="P352" s="25">
        <v>8925</v>
      </c>
      <c r="Q352" s="15">
        <v>3</v>
      </c>
      <c r="R352" s="15" t="s">
        <v>48</v>
      </c>
      <c r="S352" s="15" t="s">
        <v>115</v>
      </c>
      <c r="T352" s="15" t="s">
        <v>89</v>
      </c>
      <c r="U352" s="15">
        <v>9645907237</v>
      </c>
      <c r="V352" s="15" t="s">
        <v>38</v>
      </c>
      <c r="W352" s="46">
        <f t="shared" ca="1" si="15"/>
        <v>23</v>
      </c>
      <c r="X352" s="42">
        <f t="shared" si="16"/>
        <v>5</v>
      </c>
      <c r="Y352" s="42" t="str">
        <f t="shared" si="17"/>
        <v xml:space="preserve">On Time </v>
      </c>
    </row>
    <row r="353" spans="1:25" x14ac:dyDescent="0.5">
      <c r="A353" s="17" t="s">
        <v>1571</v>
      </c>
      <c r="B353" s="17" t="s">
        <v>127</v>
      </c>
      <c r="C353" s="17" t="s">
        <v>24</v>
      </c>
      <c r="D353" s="33">
        <v>45856</v>
      </c>
      <c r="E353" s="33">
        <v>45862</v>
      </c>
      <c r="F353" s="15" t="s">
        <v>200</v>
      </c>
      <c r="G353" s="17" t="s">
        <v>76</v>
      </c>
      <c r="H353" s="37">
        <v>33902</v>
      </c>
      <c r="I353" s="17" t="s">
        <v>138</v>
      </c>
      <c r="J353" s="17" t="s">
        <v>106</v>
      </c>
      <c r="K353" s="17" t="s">
        <v>32</v>
      </c>
      <c r="L353" s="17" t="s">
        <v>33</v>
      </c>
      <c r="M353" s="17">
        <v>5</v>
      </c>
      <c r="N353" s="26">
        <v>2200</v>
      </c>
      <c r="O353" s="17">
        <v>15</v>
      </c>
      <c r="P353" s="26">
        <v>9350</v>
      </c>
      <c r="Q353" s="17">
        <v>1</v>
      </c>
      <c r="R353" s="17" t="s">
        <v>48</v>
      </c>
      <c r="S353" s="17" t="s">
        <v>115</v>
      </c>
      <c r="T353" s="15" t="s">
        <v>132</v>
      </c>
      <c r="U353" s="17">
        <v>9566149945</v>
      </c>
      <c r="V353" s="17" t="s">
        <v>64</v>
      </c>
      <c r="W353" s="47">
        <f t="shared" ca="1" si="15"/>
        <v>33</v>
      </c>
      <c r="X353" s="42">
        <f t="shared" si="16"/>
        <v>6</v>
      </c>
      <c r="Y353" s="42" t="str">
        <f t="shared" si="17"/>
        <v>Delayed</v>
      </c>
    </row>
    <row r="354" spans="1:25" x14ac:dyDescent="0.5">
      <c r="A354" s="15" t="s">
        <v>1575</v>
      </c>
      <c r="B354" s="15" t="s">
        <v>83</v>
      </c>
      <c r="C354" s="15" t="s">
        <v>72</v>
      </c>
      <c r="D354" s="32">
        <v>46092</v>
      </c>
      <c r="E354" s="32">
        <v>46093</v>
      </c>
      <c r="F354" s="15" t="s">
        <v>180</v>
      </c>
      <c r="G354" s="15" t="s">
        <v>76</v>
      </c>
      <c r="H354" s="36">
        <v>32360</v>
      </c>
      <c r="I354" s="15" t="s">
        <v>138</v>
      </c>
      <c r="J354" s="15" t="s">
        <v>106</v>
      </c>
      <c r="K354" s="15" t="s">
        <v>46</v>
      </c>
      <c r="L354" s="15" t="s">
        <v>78</v>
      </c>
      <c r="M354" s="15">
        <v>15</v>
      </c>
      <c r="N354" s="25">
        <v>1200</v>
      </c>
      <c r="O354" s="15">
        <v>0</v>
      </c>
      <c r="P354" s="25">
        <v>18000</v>
      </c>
      <c r="Q354" s="15">
        <v>3</v>
      </c>
      <c r="R354" s="15" t="s">
        <v>48</v>
      </c>
      <c r="S354" s="15" t="s">
        <v>61</v>
      </c>
      <c r="T354" s="15" t="s">
        <v>89</v>
      </c>
      <c r="U354" s="15">
        <v>9935018068</v>
      </c>
      <c r="V354" s="15" t="s">
        <v>69</v>
      </c>
      <c r="W354" s="46">
        <f t="shared" ca="1" si="15"/>
        <v>38</v>
      </c>
      <c r="X354" s="42">
        <f t="shared" si="16"/>
        <v>1</v>
      </c>
      <c r="Y354" s="42" t="str">
        <f t="shared" si="17"/>
        <v xml:space="preserve">On Time </v>
      </c>
    </row>
    <row r="355" spans="1:25" x14ac:dyDescent="0.5">
      <c r="A355" s="17" t="s">
        <v>1578</v>
      </c>
      <c r="B355" s="17" t="s">
        <v>251</v>
      </c>
      <c r="C355" s="17" t="s">
        <v>72</v>
      </c>
      <c r="D355" s="33">
        <v>46120</v>
      </c>
      <c r="E355" s="33">
        <v>46122</v>
      </c>
      <c r="F355" s="15" t="s">
        <v>254</v>
      </c>
      <c r="G355" s="17" t="s">
        <v>28</v>
      </c>
      <c r="H355" s="37">
        <v>31952</v>
      </c>
      <c r="I355" s="17" t="s">
        <v>105</v>
      </c>
      <c r="J355" s="17" t="s">
        <v>106</v>
      </c>
      <c r="K355" s="17" t="s">
        <v>46</v>
      </c>
      <c r="L355" s="17" t="s">
        <v>78</v>
      </c>
      <c r="M355" s="17">
        <v>19</v>
      </c>
      <c r="N355" s="26">
        <v>1200</v>
      </c>
      <c r="O355" s="17">
        <v>0</v>
      </c>
      <c r="P355" s="26">
        <v>22800</v>
      </c>
      <c r="Q355" s="17">
        <v>1</v>
      </c>
      <c r="R355" s="17" t="s">
        <v>34</v>
      </c>
      <c r="S355" s="17" t="s">
        <v>49</v>
      </c>
      <c r="T355" s="15" t="s">
        <v>256</v>
      </c>
      <c r="U355" s="17">
        <v>9171794652</v>
      </c>
      <c r="V355" s="17" t="s">
        <v>69</v>
      </c>
      <c r="W355" s="47">
        <f t="shared" ca="1" si="15"/>
        <v>39</v>
      </c>
      <c r="X355" s="42">
        <f t="shared" si="16"/>
        <v>2</v>
      </c>
      <c r="Y355" s="42" t="str">
        <f t="shared" si="17"/>
        <v xml:space="preserve">On Time </v>
      </c>
    </row>
    <row r="356" spans="1:25" x14ac:dyDescent="0.5">
      <c r="A356" s="15" t="s">
        <v>1581</v>
      </c>
      <c r="B356" s="15" t="s">
        <v>168</v>
      </c>
      <c r="C356" s="15" t="s">
        <v>40</v>
      </c>
      <c r="D356" s="32">
        <v>45918</v>
      </c>
      <c r="E356" s="32">
        <v>45925</v>
      </c>
      <c r="F356" s="15" t="s">
        <v>361</v>
      </c>
      <c r="G356" s="15" t="s">
        <v>28</v>
      </c>
      <c r="H356" s="36">
        <v>32800</v>
      </c>
      <c r="I356" s="15" t="s">
        <v>105</v>
      </c>
      <c r="J356" s="15" t="s">
        <v>106</v>
      </c>
      <c r="K356" s="15" t="s">
        <v>46</v>
      </c>
      <c r="L356" s="15" t="s">
        <v>47</v>
      </c>
      <c r="M356" s="15">
        <v>9</v>
      </c>
      <c r="N356" s="25">
        <v>12000</v>
      </c>
      <c r="O356" s="15">
        <v>15</v>
      </c>
      <c r="P356" s="25">
        <v>91800</v>
      </c>
      <c r="Q356" s="15">
        <v>3</v>
      </c>
      <c r="R356" s="15" t="s">
        <v>88</v>
      </c>
      <c r="S356" s="15" t="s">
        <v>49</v>
      </c>
      <c r="T356" s="15" t="s">
        <v>175</v>
      </c>
      <c r="U356" s="15">
        <v>9671497416</v>
      </c>
      <c r="V356" s="15" t="s">
        <v>69</v>
      </c>
      <c r="W356" s="46">
        <f t="shared" ca="1" si="15"/>
        <v>36</v>
      </c>
      <c r="X356" s="42">
        <f t="shared" si="16"/>
        <v>7</v>
      </c>
      <c r="Y356" s="42" t="str">
        <f t="shared" si="17"/>
        <v>Delayed</v>
      </c>
    </row>
    <row r="357" spans="1:25" x14ac:dyDescent="0.5">
      <c r="A357" s="17" t="s">
        <v>1585</v>
      </c>
      <c r="B357" s="17" t="s">
        <v>23</v>
      </c>
      <c r="C357" s="17" t="s">
        <v>259</v>
      </c>
      <c r="D357" s="33">
        <v>45941</v>
      </c>
      <c r="E357" s="33">
        <v>45951</v>
      </c>
      <c r="F357" s="15" t="s">
        <v>27</v>
      </c>
      <c r="G357" s="17" t="s">
        <v>28</v>
      </c>
      <c r="H357" s="37">
        <v>33746</v>
      </c>
      <c r="I357" s="17" t="s">
        <v>212</v>
      </c>
      <c r="J357" s="17" t="s">
        <v>45</v>
      </c>
      <c r="K357" s="17" t="s">
        <v>122</v>
      </c>
      <c r="L357" s="17" t="s">
        <v>263</v>
      </c>
      <c r="M357" s="17">
        <v>5</v>
      </c>
      <c r="N357" s="26">
        <v>45</v>
      </c>
      <c r="O357" s="17">
        <v>5</v>
      </c>
      <c r="P357" s="26">
        <v>213.75</v>
      </c>
      <c r="Q357" s="17">
        <v>1</v>
      </c>
      <c r="R357" s="17" t="s">
        <v>79</v>
      </c>
      <c r="S357" s="17" t="s">
        <v>115</v>
      </c>
      <c r="T357" s="15" t="s">
        <v>50</v>
      </c>
      <c r="U357" s="17">
        <v>9810433484</v>
      </c>
      <c r="V357" s="17" t="s">
        <v>38</v>
      </c>
      <c r="W357" s="47">
        <f t="shared" ca="1" si="15"/>
        <v>34</v>
      </c>
      <c r="X357" s="42">
        <f t="shared" si="16"/>
        <v>10</v>
      </c>
      <c r="Y357" s="42" t="str">
        <f t="shared" si="17"/>
        <v>Delayed</v>
      </c>
    </row>
    <row r="358" spans="1:25" x14ac:dyDescent="0.5">
      <c r="A358" s="15" t="s">
        <v>1588</v>
      </c>
      <c r="B358" s="15" t="s">
        <v>251</v>
      </c>
      <c r="C358" s="15" t="s">
        <v>184</v>
      </c>
      <c r="D358" s="40"/>
      <c r="E358" s="32">
        <v>45699</v>
      </c>
      <c r="F358" s="15" t="s">
        <v>254</v>
      </c>
      <c r="G358" s="15" t="s">
        <v>28</v>
      </c>
      <c r="H358" s="36">
        <v>32822</v>
      </c>
      <c r="I358" s="15" t="s">
        <v>105</v>
      </c>
      <c r="J358" s="15" t="s">
        <v>106</v>
      </c>
      <c r="K358" s="15" t="s">
        <v>46</v>
      </c>
      <c r="L358" s="15" t="s">
        <v>189</v>
      </c>
      <c r="M358" s="15">
        <v>3</v>
      </c>
      <c r="N358" s="25">
        <v>700</v>
      </c>
      <c r="O358" s="15">
        <v>15</v>
      </c>
      <c r="P358" s="25">
        <v>1785</v>
      </c>
      <c r="Q358" s="15">
        <v>4</v>
      </c>
      <c r="R358" s="15" t="s">
        <v>34</v>
      </c>
      <c r="S358" s="15" t="s">
        <v>151</v>
      </c>
      <c r="T358" s="15" t="s">
        <v>256</v>
      </c>
      <c r="U358" s="15">
        <v>9990243436</v>
      </c>
      <c r="V358" s="15" t="s">
        <v>38</v>
      </c>
      <c r="W358" s="46">
        <f t="shared" ca="1" si="15"/>
        <v>36</v>
      </c>
      <c r="X358" s="42" t="str">
        <f t="shared" si="16"/>
        <v>Not Available</v>
      </c>
      <c r="Y358" s="42" t="str">
        <f t="shared" si="17"/>
        <v>Delayed</v>
      </c>
    </row>
    <row r="359" spans="1:25" x14ac:dyDescent="0.5">
      <c r="A359" s="17" t="s">
        <v>1592</v>
      </c>
      <c r="B359" s="17" t="s">
        <v>71</v>
      </c>
      <c r="C359" s="17" t="s">
        <v>169</v>
      </c>
      <c r="D359" s="33">
        <v>46005</v>
      </c>
      <c r="E359" s="33">
        <v>46017</v>
      </c>
      <c r="F359" s="15" t="s">
        <v>217</v>
      </c>
      <c r="G359" s="17" t="s">
        <v>76</v>
      </c>
      <c r="H359" s="37">
        <v>29467</v>
      </c>
      <c r="I359" s="17" t="s">
        <v>212</v>
      </c>
      <c r="J359" s="17" t="s">
        <v>45</v>
      </c>
      <c r="K359" s="17" t="s">
        <v>32</v>
      </c>
      <c r="L359" s="17" t="s">
        <v>174</v>
      </c>
      <c r="M359" s="17">
        <v>12</v>
      </c>
      <c r="N359" s="26">
        <v>8500</v>
      </c>
      <c r="O359" s="17">
        <v>5</v>
      </c>
      <c r="P359" s="26">
        <v>96900</v>
      </c>
      <c r="Q359" s="17">
        <v>3</v>
      </c>
      <c r="R359" s="17" t="s">
        <v>79</v>
      </c>
      <c r="S359" s="17" t="s">
        <v>61</v>
      </c>
      <c r="T359" s="15" t="s">
        <v>80</v>
      </c>
      <c r="U359" s="17">
        <v>9396678031</v>
      </c>
      <c r="V359" s="17" t="s">
        <v>64</v>
      </c>
      <c r="W359" s="47">
        <f t="shared" ca="1" si="15"/>
        <v>46</v>
      </c>
      <c r="X359" s="42">
        <f t="shared" si="16"/>
        <v>12</v>
      </c>
      <c r="Y359" s="42" t="str">
        <f t="shared" si="17"/>
        <v>Delayed</v>
      </c>
    </row>
    <row r="360" spans="1:25" x14ac:dyDescent="0.5">
      <c r="A360" s="15" t="s">
        <v>1595</v>
      </c>
      <c r="B360" s="15" t="s">
        <v>251</v>
      </c>
      <c r="C360" s="15" t="s">
        <v>169</v>
      </c>
      <c r="D360" s="32">
        <v>46123</v>
      </c>
      <c r="E360" s="32">
        <v>46131</v>
      </c>
      <c r="F360" s="15" t="s">
        <v>254</v>
      </c>
      <c r="G360" s="15" t="s">
        <v>28</v>
      </c>
      <c r="H360" s="36">
        <v>28920</v>
      </c>
      <c r="I360" s="15" t="s">
        <v>114</v>
      </c>
      <c r="J360" s="15" t="s">
        <v>106</v>
      </c>
      <c r="K360" s="15" t="s">
        <v>32</v>
      </c>
      <c r="L360" s="15" t="s">
        <v>174</v>
      </c>
      <c r="M360" s="15">
        <v>4</v>
      </c>
      <c r="N360" s="25">
        <v>8500</v>
      </c>
      <c r="O360" s="15">
        <v>15</v>
      </c>
      <c r="P360" s="25">
        <v>28900</v>
      </c>
      <c r="Q360" s="15">
        <v>4</v>
      </c>
      <c r="R360" s="15" t="s">
        <v>48</v>
      </c>
      <c r="S360" s="15" t="s">
        <v>61</v>
      </c>
      <c r="T360" s="15" t="s">
        <v>256</v>
      </c>
      <c r="U360" s="15">
        <v>9818591245</v>
      </c>
      <c r="V360" s="15" t="s">
        <v>64</v>
      </c>
      <c r="W360" s="46">
        <f t="shared" ca="1" si="15"/>
        <v>47</v>
      </c>
      <c r="X360" s="42">
        <f t="shared" si="16"/>
        <v>8</v>
      </c>
      <c r="Y360" s="42" t="str">
        <f t="shared" si="17"/>
        <v>Delayed</v>
      </c>
    </row>
    <row r="361" spans="1:25" x14ac:dyDescent="0.5">
      <c r="A361" s="17" t="s">
        <v>1598</v>
      </c>
      <c r="B361" s="17" t="s">
        <v>127</v>
      </c>
      <c r="C361" s="17" t="s">
        <v>222</v>
      </c>
      <c r="D361" s="33">
        <v>45766</v>
      </c>
      <c r="E361" s="33">
        <v>45769</v>
      </c>
      <c r="F361" s="15" t="s">
        <v>200</v>
      </c>
      <c r="G361" s="17" t="s">
        <v>76</v>
      </c>
      <c r="H361" s="37">
        <v>35312</v>
      </c>
      <c r="I361" s="17" t="s">
        <v>212</v>
      </c>
      <c r="J361" s="17" t="s">
        <v>45</v>
      </c>
      <c r="K361" s="17" t="s">
        <v>122</v>
      </c>
      <c r="L361" s="17" t="s">
        <v>227</v>
      </c>
      <c r="M361" s="17">
        <v>16</v>
      </c>
      <c r="N361" s="26">
        <v>20</v>
      </c>
      <c r="O361" s="17">
        <v>10</v>
      </c>
      <c r="P361" s="26">
        <v>288</v>
      </c>
      <c r="Q361" s="17">
        <v>4</v>
      </c>
      <c r="R361" s="17" t="s">
        <v>34</v>
      </c>
      <c r="S361" s="17" t="s">
        <v>115</v>
      </c>
      <c r="T361" s="15" t="s">
        <v>132</v>
      </c>
      <c r="U361" s="17">
        <v>9505550047</v>
      </c>
      <c r="V361" s="17" t="s">
        <v>69</v>
      </c>
      <c r="W361" s="47">
        <f t="shared" ca="1" si="15"/>
        <v>30</v>
      </c>
      <c r="X361" s="42">
        <f t="shared" si="16"/>
        <v>3</v>
      </c>
      <c r="Y361" s="42" t="str">
        <f t="shared" si="17"/>
        <v xml:space="preserve">On Time </v>
      </c>
    </row>
    <row r="362" spans="1:25" x14ac:dyDescent="0.5">
      <c r="A362" s="15" t="s">
        <v>1601</v>
      </c>
      <c r="B362" s="15" t="s">
        <v>127</v>
      </c>
      <c r="C362" s="15" t="s">
        <v>118</v>
      </c>
      <c r="D362" s="32">
        <v>46152</v>
      </c>
      <c r="E362" s="32">
        <v>46160</v>
      </c>
      <c r="F362" s="15" t="s">
        <v>200</v>
      </c>
      <c r="G362" s="15" t="s">
        <v>76</v>
      </c>
      <c r="H362" s="36">
        <v>36233</v>
      </c>
      <c r="I362" s="15" t="s">
        <v>105</v>
      </c>
      <c r="J362" s="15" t="s">
        <v>106</v>
      </c>
      <c r="K362" s="15" t="s">
        <v>122</v>
      </c>
      <c r="L362" s="15" t="s">
        <v>123</v>
      </c>
      <c r="M362" s="15">
        <v>3</v>
      </c>
      <c r="N362" s="25">
        <v>60</v>
      </c>
      <c r="O362" s="15">
        <v>20</v>
      </c>
      <c r="P362" s="25">
        <v>144</v>
      </c>
      <c r="Q362" s="15">
        <v>4</v>
      </c>
      <c r="R362" s="15" t="s">
        <v>88</v>
      </c>
      <c r="S362" s="15" t="s">
        <v>151</v>
      </c>
      <c r="T362" s="15" t="s">
        <v>132</v>
      </c>
      <c r="U362" s="15">
        <v>9469828772</v>
      </c>
      <c r="V362" s="15" t="s">
        <v>64</v>
      </c>
      <c r="W362" s="46">
        <f t="shared" ca="1" si="15"/>
        <v>27</v>
      </c>
      <c r="X362" s="42">
        <f t="shared" si="16"/>
        <v>8</v>
      </c>
      <c r="Y362" s="42" t="str">
        <f t="shared" si="17"/>
        <v>Delayed</v>
      </c>
    </row>
    <row r="363" spans="1:25" x14ac:dyDescent="0.5">
      <c r="A363" s="17" t="s">
        <v>1605</v>
      </c>
      <c r="B363" s="17" t="s">
        <v>71</v>
      </c>
      <c r="C363" s="17" t="s">
        <v>24</v>
      </c>
      <c r="D363" s="33">
        <v>45858</v>
      </c>
      <c r="E363" s="33">
        <v>45864</v>
      </c>
      <c r="F363" s="15" t="s">
        <v>217</v>
      </c>
      <c r="G363" s="17" t="s">
        <v>76</v>
      </c>
      <c r="H363" s="37">
        <v>30958</v>
      </c>
      <c r="I363" s="17" t="s">
        <v>105</v>
      </c>
      <c r="J363" s="17" t="s">
        <v>106</v>
      </c>
      <c r="K363" s="17" t="s">
        <v>32</v>
      </c>
      <c r="L363" s="17" t="s">
        <v>33</v>
      </c>
      <c r="M363" s="17">
        <v>19</v>
      </c>
      <c r="N363" s="26">
        <v>2200</v>
      </c>
      <c r="O363" s="17">
        <v>10</v>
      </c>
      <c r="P363" s="26">
        <v>37620</v>
      </c>
      <c r="Q363" s="17">
        <v>2</v>
      </c>
      <c r="R363" s="17" t="s">
        <v>34</v>
      </c>
      <c r="S363" s="17" t="s">
        <v>151</v>
      </c>
      <c r="T363" s="15" t="s">
        <v>80</v>
      </c>
      <c r="U363" s="17">
        <v>9885092680</v>
      </c>
      <c r="V363" s="17" t="s">
        <v>64</v>
      </c>
      <c r="W363" s="47">
        <f t="shared" ca="1" si="15"/>
        <v>42</v>
      </c>
      <c r="X363" s="42">
        <f t="shared" si="16"/>
        <v>6</v>
      </c>
      <c r="Y363" s="42" t="str">
        <f t="shared" si="17"/>
        <v>Delayed</v>
      </c>
    </row>
    <row r="364" spans="1:25" x14ac:dyDescent="0.5">
      <c r="A364" s="15" t="s">
        <v>1608</v>
      </c>
      <c r="B364" s="15" t="s">
        <v>71</v>
      </c>
      <c r="C364" s="15" t="s">
        <v>72</v>
      </c>
      <c r="D364" s="32">
        <v>46045</v>
      </c>
      <c r="E364" s="32">
        <v>46049</v>
      </c>
      <c r="F364" s="15" t="s">
        <v>217</v>
      </c>
      <c r="G364" s="15" t="s">
        <v>76</v>
      </c>
      <c r="H364" s="36">
        <v>30872</v>
      </c>
      <c r="I364" s="15" t="s">
        <v>30</v>
      </c>
      <c r="J364" s="15" t="s">
        <v>31</v>
      </c>
      <c r="K364" s="15" t="s">
        <v>46</v>
      </c>
      <c r="L364" s="15" t="s">
        <v>78</v>
      </c>
      <c r="M364" s="15">
        <v>7</v>
      </c>
      <c r="N364" s="25">
        <v>1200</v>
      </c>
      <c r="O364" s="15">
        <v>20</v>
      </c>
      <c r="P364" s="25">
        <v>6720</v>
      </c>
      <c r="Q364" s="15">
        <v>3</v>
      </c>
      <c r="R364" s="15" t="s">
        <v>79</v>
      </c>
      <c r="S364" s="15" t="s">
        <v>115</v>
      </c>
      <c r="T364" s="15" t="s">
        <v>80</v>
      </c>
      <c r="U364" s="15">
        <v>9362319457</v>
      </c>
      <c r="V364" s="15" t="s">
        <v>69</v>
      </c>
      <c r="W364" s="46">
        <f t="shared" ca="1" si="15"/>
        <v>42</v>
      </c>
      <c r="X364" s="42">
        <f t="shared" si="16"/>
        <v>4</v>
      </c>
      <c r="Y364" s="42" t="str">
        <f t="shared" si="17"/>
        <v xml:space="preserve">On Time </v>
      </c>
    </row>
    <row r="365" spans="1:25" x14ac:dyDescent="0.5">
      <c r="A365" s="17" t="s">
        <v>1612</v>
      </c>
      <c r="B365" s="17" t="s">
        <v>53</v>
      </c>
      <c r="C365" s="17" t="s">
        <v>222</v>
      </c>
      <c r="D365" s="33">
        <v>46097</v>
      </c>
      <c r="E365" s="33">
        <v>46102</v>
      </c>
      <c r="F365" s="15" t="s">
        <v>163</v>
      </c>
      <c r="G365" s="17" t="s">
        <v>28</v>
      </c>
      <c r="H365" s="37">
        <v>32577</v>
      </c>
      <c r="I365" s="17" t="s">
        <v>59</v>
      </c>
      <c r="J365" s="17" t="s">
        <v>31</v>
      </c>
      <c r="K365" s="17" t="s">
        <v>122</v>
      </c>
      <c r="L365" s="17" t="s">
        <v>227</v>
      </c>
      <c r="M365" s="17">
        <v>20</v>
      </c>
      <c r="N365" s="26">
        <v>20</v>
      </c>
      <c r="O365" s="17">
        <v>20</v>
      </c>
      <c r="P365" s="26">
        <v>320</v>
      </c>
      <c r="Q365" s="17">
        <v>5</v>
      </c>
      <c r="R365" s="17" t="s">
        <v>79</v>
      </c>
      <c r="S365" s="17" t="s">
        <v>115</v>
      </c>
      <c r="T365" s="15" t="s">
        <v>62</v>
      </c>
      <c r="U365" s="17">
        <v>9223945130</v>
      </c>
      <c r="V365" s="17" t="s">
        <v>64</v>
      </c>
      <c r="W365" s="47">
        <f t="shared" ca="1" si="15"/>
        <v>37</v>
      </c>
      <c r="X365" s="42">
        <f t="shared" si="16"/>
        <v>5</v>
      </c>
      <c r="Y365" s="42" t="str">
        <f t="shared" si="17"/>
        <v xml:space="preserve">On Time </v>
      </c>
    </row>
    <row r="366" spans="1:25" x14ac:dyDescent="0.5">
      <c r="A366" s="15" t="s">
        <v>1615</v>
      </c>
      <c r="B366" s="15" t="s">
        <v>100</v>
      </c>
      <c r="C366" s="15" t="s">
        <v>72</v>
      </c>
      <c r="D366" s="32">
        <v>45777</v>
      </c>
      <c r="E366" s="32">
        <v>45784</v>
      </c>
      <c r="F366" s="15" t="s">
        <v>103</v>
      </c>
      <c r="G366" s="15" t="s">
        <v>28</v>
      </c>
      <c r="H366" s="36">
        <v>31156</v>
      </c>
      <c r="I366" s="15" t="s">
        <v>30</v>
      </c>
      <c r="J366" s="15" t="s">
        <v>31</v>
      </c>
      <c r="K366" s="15" t="s">
        <v>46</v>
      </c>
      <c r="L366" s="15" t="s">
        <v>78</v>
      </c>
      <c r="M366" s="15">
        <v>19</v>
      </c>
      <c r="N366" s="25">
        <v>1200</v>
      </c>
      <c r="O366" s="15">
        <v>5</v>
      </c>
      <c r="P366" s="25">
        <v>21660</v>
      </c>
      <c r="Q366" s="15">
        <v>3</v>
      </c>
      <c r="R366" s="15" t="s">
        <v>79</v>
      </c>
      <c r="S366" s="15" t="s">
        <v>35</v>
      </c>
      <c r="T366" s="15" t="s">
        <v>144</v>
      </c>
      <c r="U366" s="15">
        <v>9910804926</v>
      </c>
      <c r="V366" s="15" t="s">
        <v>64</v>
      </c>
      <c r="W366" s="46">
        <f t="shared" ca="1" si="15"/>
        <v>41</v>
      </c>
      <c r="X366" s="42">
        <f t="shared" si="16"/>
        <v>7</v>
      </c>
      <c r="Y366" s="42" t="str">
        <f t="shared" si="17"/>
        <v>Delayed</v>
      </c>
    </row>
    <row r="367" spans="1:25" x14ac:dyDescent="0.5">
      <c r="A367" s="17" t="s">
        <v>1619</v>
      </c>
      <c r="B367" s="17" t="s">
        <v>53</v>
      </c>
      <c r="C367" s="17" t="s">
        <v>222</v>
      </c>
      <c r="D367" s="33">
        <v>45691</v>
      </c>
      <c r="E367" s="33">
        <v>45701</v>
      </c>
      <c r="F367" s="15" t="s">
        <v>163</v>
      </c>
      <c r="G367" s="17" t="s">
        <v>28</v>
      </c>
      <c r="H367" s="37">
        <v>37846</v>
      </c>
      <c r="I367" s="17" t="s">
        <v>30</v>
      </c>
      <c r="J367" s="17" t="s">
        <v>31</v>
      </c>
      <c r="K367" s="17" t="s">
        <v>122</v>
      </c>
      <c r="L367" s="17" t="s">
        <v>227</v>
      </c>
      <c r="M367" s="17">
        <v>5</v>
      </c>
      <c r="N367" s="26">
        <v>20</v>
      </c>
      <c r="O367" s="17">
        <v>0</v>
      </c>
      <c r="P367" s="26">
        <v>100</v>
      </c>
      <c r="Q367" s="17">
        <v>2</v>
      </c>
      <c r="R367" s="17" t="s">
        <v>88</v>
      </c>
      <c r="S367" s="17" t="s">
        <v>49</v>
      </c>
      <c r="T367" s="15" t="s">
        <v>62</v>
      </c>
      <c r="U367" s="17">
        <v>9274269744</v>
      </c>
      <c r="V367" s="17" t="s">
        <v>64</v>
      </c>
      <c r="W367" s="47">
        <f t="shared" ca="1" si="15"/>
        <v>23</v>
      </c>
      <c r="X367" s="42">
        <f t="shared" si="16"/>
        <v>10</v>
      </c>
      <c r="Y367" s="42" t="str">
        <f t="shared" si="17"/>
        <v>Delayed</v>
      </c>
    </row>
    <row r="368" spans="1:25" x14ac:dyDescent="0.5">
      <c r="A368" s="15" t="s">
        <v>1623</v>
      </c>
      <c r="B368" s="15" t="s">
        <v>100</v>
      </c>
      <c r="C368" s="15" t="s">
        <v>259</v>
      </c>
      <c r="D368" s="32">
        <v>46088</v>
      </c>
      <c r="E368" s="32">
        <v>46097</v>
      </c>
      <c r="F368" s="15" t="s">
        <v>103</v>
      </c>
      <c r="G368" s="15" t="s">
        <v>28</v>
      </c>
      <c r="H368" s="36">
        <v>30570</v>
      </c>
      <c r="I368" s="15" t="s">
        <v>212</v>
      </c>
      <c r="J368" s="15" t="s">
        <v>45</v>
      </c>
      <c r="K368" s="15" t="s">
        <v>122</v>
      </c>
      <c r="L368" s="15" t="s">
        <v>263</v>
      </c>
      <c r="M368" s="15">
        <v>16</v>
      </c>
      <c r="N368" s="25">
        <v>45</v>
      </c>
      <c r="O368" s="15">
        <v>15</v>
      </c>
      <c r="P368" s="25">
        <v>612</v>
      </c>
      <c r="Q368" s="15">
        <v>5</v>
      </c>
      <c r="R368" s="15" t="s">
        <v>34</v>
      </c>
      <c r="S368" s="15" t="s">
        <v>61</v>
      </c>
      <c r="T368" s="15" t="s">
        <v>144</v>
      </c>
      <c r="U368" s="15">
        <v>9223196101</v>
      </c>
      <c r="V368" s="15" t="s">
        <v>69</v>
      </c>
      <c r="W368" s="46">
        <f t="shared" ca="1" si="15"/>
        <v>43</v>
      </c>
      <c r="X368" s="42">
        <f t="shared" si="16"/>
        <v>9</v>
      </c>
      <c r="Y368" s="42" t="str">
        <f t="shared" si="17"/>
        <v>Delayed</v>
      </c>
    </row>
    <row r="369" spans="1:25" x14ac:dyDescent="0.5">
      <c r="A369" s="17" t="s">
        <v>1626</v>
      </c>
      <c r="B369" s="17" t="s">
        <v>23</v>
      </c>
      <c r="C369" s="17" t="s">
        <v>24</v>
      </c>
      <c r="D369" s="33">
        <v>45780</v>
      </c>
      <c r="E369" s="33">
        <v>45792</v>
      </c>
      <c r="F369" s="15" t="s">
        <v>27</v>
      </c>
      <c r="G369" s="17" t="s">
        <v>28</v>
      </c>
      <c r="H369" s="37">
        <v>27922</v>
      </c>
      <c r="I369" s="17" t="s">
        <v>212</v>
      </c>
      <c r="J369" s="17" t="s">
        <v>45</v>
      </c>
      <c r="K369" s="17" t="s">
        <v>32</v>
      </c>
      <c r="L369" s="17" t="s">
        <v>33</v>
      </c>
      <c r="M369" s="17">
        <v>1</v>
      </c>
      <c r="N369" s="26">
        <v>2200</v>
      </c>
      <c r="O369" s="17">
        <v>10</v>
      </c>
      <c r="P369" s="26">
        <v>1980</v>
      </c>
      <c r="Q369" s="17">
        <v>5</v>
      </c>
      <c r="R369" s="17" t="s">
        <v>79</v>
      </c>
      <c r="S369" s="17" t="s">
        <v>49</v>
      </c>
      <c r="T369" s="15" t="s">
        <v>50</v>
      </c>
      <c r="U369" s="17">
        <v>9888477457</v>
      </c>
      <c r="V369" s="17" t="s">
        <v>38</v>
      </c>
      <c r="W369" s="47">
        <f t="shared" ca="1" si="15"/>
        <v>50</v>
      </c>
      <c r="X369" s="42">
        <f t="shared" si="16"/>
        <v>12</v>
      </c>
      <c r="Y369" s="42" t="str">
        <f t="shared" si="17"/>
        <v>Delayed</v>
      </c>
    </row>
    <row r="370" spans="1:25" x14ac:dyDescent="0.5">
      <c r="A370" s="15" t="s">
        <v>1629</v>
      </c>
      <c r="B370" s="15" t="s">
        <v>53</v>
      </c>
      <c r="C370" s="15" t="s">
        <v>118</v>
      </c>
      <c r="D370" s="32">
        <v>46113</v>
      </c>
      <c r="E370" s="32">
        <v>46117</v>
      </c>
      <c r="F370" s="15" t="s">
        <v>163</v>
      </c>
      <c r="G370" s="15" t="s">
        <v>28</v>
      </c>
      <c r="H370" s="36">
        <v>31781</v>
      </c>
      <c r="I370" s="15" t="s">
        <v>30</v>
      </c>
      <c r="J370" s="15" t="s">
        <v>31</v>
      </c>
      <c r="K370" s="15" t="s">
        <v>122</v>
      </c>
      <c r="L370" s="15" t="s">
        <v>123</v>
      </c>
      <c r="M370" s="15">
        <v>19</v>
      </c>
      <c r="N370" s="25">
        <v>60</v>
      </c>
      <c r="O370" s="15">
        <v>15</v>
      </c>
      <c r="P370" s="25">
        <v>969</v>
      </c>
      <c r="Q370" s="15">
        <v>4</v>
      </c>
      <c r="R370" s="15" t="s">
        <v>48</v>
      </c>
      <c r="S370" s="15" t="s">
        <v>115</v>
      </c>
      <c r="T370" s="15" t="s">
        <v>62</v>
      </c>
      <c r="U370" s="15">
        <v>9435947486</v>
      </c>
      <c r="V370" s="15" t="s">
        <v>69</v>
      </c>
      <c r="W370" s="46">
        <f t="shared" ca="1" si="15"/>
        <v>39</v>
      </c>
      <c r="X370" s="42">
        <f t="shared" si="16"/>
        <v>4</v>
      </c>
      <c r="Y370" s="42" t="str">
        <f t="shared" si="17"/>
        <v xml:space="preserve">On Time </v>
      </c>
    </row>
    <row r="371" spans="1:25" x14ac:dyDescent="0.5">
      <c r="A371" s="17" t="s">
        <v>1633</v>
      </c>
      <c r="B371" s="17" t="s">
        <v>327</v>
      </c>
      <c r="C371" s="17" t="s">
        <v>54</v>
      </c>
      <c r="D371" s="33"/>
      <c r="E371" s="33">
        <v>45690</v>
      </c>
      <c r="F371" s="15" t="s">
        <v>394</v>
      </c>
      <c r="G371" s="17" t="s">
        <v>76</v>
      </c>
      <c r="H371" s="37">
        <v>33738</v>
      </c>
      <c r="I371" s="17" t="s">
        <v>44</v>
      </c>
      <c r="J371" s="17" t="s">
        <v>45</v>
      </c>
      <c r="K371" s="17" t="s">
        <v>46</v>
      </c>
      <c r="L371" s="17" t="s">
        <v>60</v>
      </c>
      <c r="M371" s="17">
        <v>15</v>
      </c>
      <c r="N371" s="26">
        <v>55000</v>
      </c>
      <c r="O371" s="17">
        <v>0</v>
      </c>
      <c r="P371" s="26">
        <v>825000</v>
      </c>
      <c r="Q371" s="17">
        <v>5</v>
      </c>
      <c r="R371" s="17" t="s">
        <v>79</v>
      </c>
      <c r="S371" s="17" t="s">
        <v>115</v>
      </c>
      <c r="T371" s="15" t="s">
        <v>332</v>
      </c>
      <c r="U371" s="17">
        <v>9411668831</v>
      </c>
      <c r="V371" s="17" t="s">
        <v>69</v>
      </c>
      <c r="W371" s="47">
        <f t="shared" ca="1" si="15"/>
        <v>34</v>
      </c>
      <c r="X371" s="42" t="str">
        <f t="shared" si="16"/>
        <v>Not Available</v>
      </c>
      <c r="Y371" s="42" t="str">
        <f t="shared" si="17"/>
        <v>Delayed</v>
      </c>
    </row>
    <row r="372" spans="1:25" x14ac:dyDescent="0.5">
      <c r="A372" s="15" t="s">
        <v>1637</v>
      </c>
      <c r="B372" s="15" t="s">
        <v>71</v>
      </c>
      <c r="C372" s="15" t="s">
        <v>259</v>
      </c>
      <c r="D372" s="32">
        <v>45936</v>
      </c>
      <c r="E372" s="32">
        <v>45938</v>
      </c>
      <c r="F372" s="15" t="s">
        <v>217</v>
      </c>
      <c r="G372" s="15" t="s">
        <v>76</v>
      </c>
      <c r="H372" s="36">
        <v>32631</v>
      </c>
      <c r="I372" s="15" t="s">
        <v>59</v>
      </c>
      <c r="J372" s="15" t="s">
        <v>31</v>
      </c>
      <c r="K372" s="15" t="s">
        <v>122</v>
      </c>
      <c r="L372" s="15" t="s">
        <v>263</v>
      </c>
      <c r="M372" s="15">
        <v>11</v>
      </c>
      <c r="N372" s="25">
        <v>45</v>
      </c>
      <c r="O372" s="15">
        <v>5</v>
      </c>
      <c r="P372" s="25">
        <v>470.25</v>
      </c>
      <c r="Q372" s="15">
        <v>5</v>
      </c>
      <c r="R372" s="15" t="s">
        <v>48</v>
      </c>
      <c r="S372" s="15" t="s">
        <v>151</v>
      </c>
      <c r="T372" s="15" t="s">
        <v>80</v>
      </c>
      <c r="U372" s="15">
        <v>9523682403</v>
      </c>
      <c r="V372" s="15" t="s">
        <v>38</v>
      </c>
      <c r="W372" s="46">
        <f t="shared" ca="1" si="15"/>
        <v>37</v>
      </c>
      <c r="X372" s="42">
        <f t="shared" si="16"/>
        <v>2</v>
      </c>
      <c r="Y372" s="42" t="str">
        <f t="shared" si="17"/>
        <v xml:space="preserve">On Time </v>
      </c>
    </row>
    <row r="373" spans="1:25" x14ac:dyDescent="0.5">
      <c r="A373" s="17" t="s">
        <v>1641</v>
      </c>
      <c r="B373" s="17" t="s">
        <v>251</v>
      </c>
      <c r="C373" s="17" t="s">
        <v>222</v>
      </c>
      <c r="D373" s="33">
        <v>45820</v>
      </c>
      <c r="E373" s="33">
        <v>45825</v>
      </c>
      <c r="F373" s="15" t="s">
        <v>254</v>
      </c>
      <c r="G373" s="17" t="s">
        <v>28</v>
      </c>
      <c r="H373" s="37">
        <v>33226</v>
      </c>
      <c r="I373" s="17" t="s">
        <v>212</v>
      </c>
      <c r="J373" s="17" t="s">
        <v>45</v>
      </c>
      <c r="K373" s="17" t="s">
        <v>122</v>
      </c>
      <c r="L373" s="17" t="s">
        <v>227</v>
      </c>
      <c r="M373" s="17">
        <v>9</v>
      </c>
      <c r="N373" s="26">
        <v>20</v>
      </c>
      <c r="O373" s="17">
        <v>10</v>
      </c>
      <c r="P373" s="26">
        <v>162</v>
      </c>
      <c r="Q373" s="17">
        <v>1</v>
      </c>
      <c r="R373" s="17" t="s">
        <v>79</v>
      </c>
      <c r="S373" s="17" t="s">
        <v>49</v>
      </c>
      <c r="T373" s="15" t="s">
        <v>256</v>
      </c>
      <c r="U373" s="17">
        <v>9652936744</v>
      </c>
      <c r="V373" s="17" t="s">
        <v>69</v>
      </c>
      <c r="W373" s="47">
        <f t="shared" ca="1" si="15"/>
        <v>35</v>
      </c>
      <c r="X373" s="42">
        <f t="shared" si="16"/>
        <v>5</v>
      </c>
      <c r="Y373" s="42" t="str">
        <f t="shared" si="17"/>
        <v xml:space="preserve">On Time </v>
      </c>
    </row>
    <row r="374" spans="1:25" x14ac:dyDescent="0.5">
      <c r="A374" s="15" t="s">
        <v>1646</v>
      </c>
      <c r="B374" s="15" t="s">
        <v>168</v>
      </c>
      <c r="C374" s="15" t="s">
        <v>259</v>
      </c>
      <c r="D374" s="32">
        <v>45979</v>
      </c>
      <c r="E374" s="32">
        <v>45981</v>
      </c>
      <c r="F374" s="15" t="s">
        <v>361</v>
      </c>
      <c r="G374" s="15" t="s">
        <v>28</v>
      </c>
      <c r="H374" s="36">
        <v>34889</v>
      </c>
      <c r="I374" s="15" t="s">
        <v>59</v>
      </c>
      <c r="J374" s="15" t="s">
        <v>31</v>
      </c>
      <c r="K374" s="15" t="s">
        <v>122</v>
      </c>
      <c r="L374" s="15" t="s">
        <v>263</v>
      </c>
      <c r="M374" s="15">
        <v>5</v>
      </c>
      <c r="N374" s="25">
        <v>45</v>
      </c>
      <c r="O374" s="15">
        <v>5</v>
      </c>
      <c r="P374" s="25">
        <v>213.75</v>
      </c>
      <c r="Q374" s="15">
        <v>3</v>
      </c>
      <c r="R374" s="15" t="s">
        <v>79</v>
      </c>
      <c r="S374" s="15" t="s">
        <v>115</v>
      </c>
      <c r="T374" s="15" t="s">
        <v>175</v>
      </c>
      <c r="U374" s="15">
        <v>9726464733</v>
      </c>
      <c r="V374" s="15" t="s">
        <v>64</v>
      </c>
      <c r="W374" s="46">
        <f t="shared" ca="1" si="15"/>
        <v>31</v>
      </c>
      <c r="X374" s="42">
        <f t="shared" si="16"/>
        <v>2</v>
      </c>
      <c r="Y374" s="42" t="str">
        <f t="shared" si="17"/>
        <v xml:space="preserve">On Time </v>
      </c>
    </row>
    <row r="375" spans="1:25" x14ac:dyDescent="0.5">
      <c r="A375" s="17" t="s">
        <v>1649</v>
      </c>
      <c r="B375" s="17" t="s">
        <v>83</v>
      </c>
      <c r="C375" s="17" t="s">
        <v>184</v>
      </c>
      <c r="D375" s="33">
        <v>45962</v>
      </c>
      <c r="E375" s="33">
        <v>45963</v>
      </c>
      <c r="F375" s="15" t="s">
        <v>180</v>
      </c>
      <c r="G375" s="17" t="s">
        <v>76</v>
      </c>
      <c r="H375" s="37">
        <v>36152</v>
      </c>
      <c r="I375" s="17" t="s">
        <v>30</v>
      </c>
      <c r="J375" s="17" t="s">
        <v>31</v>
      </c>
      <c r="K375" s="17" t="s">
        <v>46</v>
      </c>
      <c r="L375" s="17" t="s">
        <v>189</v>
      </c>
      <c r="M375" s="17">
        <v>5</v>
      </c>
      <c r="N375" s="26">
        <v>700</v>
      </c>
      <c r="O375" s="17">
        <v>10</v>
      </c>
      <c r="P375" s="26">
        <v>3150</v>
      </c>
      <c r="Q375" s="17">
        <v>2</v>
      </c>
      <c r="R375" s="17" t="s">
        <v>88</v>
      </c>
      <c r="S375" s="17" t="s">
        <v>49</v>
      </c>
      <c r="T375" s="15" t="s">
        <v>89</v>
      </c>
      <c r="U375" s="17">
        <v>9273520544</v>
      </c>
      <c r="V375" s="17" t="s">
        <v>38</v>
      </c>
      <c r="W375" s="47">
        <f t="shared" ca="1" si="15"/>
        <v>27</v>
      </c>
      <c r="X375" s="42">
        <f t="shared" si="16"/>
        <v>1</v>
      </c>
      <c r="Y375" s="42" t="str">
        <f t="shared" si="17"/>
        <v xml:space="preserve">On Time </v>
      </c>
    </row>
    <row r="376" spans="1:25" x14ac:dyDescent="0.5">
      <c r="A376" s="15" t="s">
        <v>1653</v>
      </c>
      <c r="B376" s="15" t="s">
        <v>221</v>
      </c>
      <c r="C376" s="15" t="s">
        <v>184</v>
      </c>
      <c r="D376" s="32">
        <v>45681</v>
      </c>
      <c r="E376" s="32">
        <v>45688</v>
      </c>
      <c r="F376" s="15" t="s">
        <v>225</v>
      </c>
      <c r="G376" s="15" t="s">
        <v>76</v>
      </c>
      <c r="H376" s="36">
        <v>29212</v>
      </c>
      <c r="I376" s="15" t="s">
        <v>294</v>
      </c>
      <c r="J376" s="15" t="s">
        <v>295</v>
      </c>
      <c r="K376" s="15" t="s">
        <v>46</v>
      </c>
      <c r="L376" s="15" t="s">
        <v>189</v>
      </c>
      <c r="M376" s="15">
        <v>1</v>
      </c>
      <c r="N376" s="25">
        <v>700</v>
      </c>
      <c r="O376" s="15">
        <v>0</v>
      </c>
      <c r="P376" s="25">
        <v>700</v>
      </c>
      <c r="Q376" s="15">
        <v>1</v>
      </c>
      <c r="R376" s="15" t="s">
        <v>88</v>
      </c>
      <c r="S376" s="15" t="s">
        <v>151</v>
      </c>
      <c r="T376" s="15" t="s">
        <v>228</v>
      </c>
      <c r="U376" s="15">
        <v>9374259988</v>
      </c>
      <c r="V376" s="15" t="s">
        <v>38</v>
      </c>
      <c r="W376" s="46">
        <f t="shared" ca="1" si="15"/>
        <v>46</v>
      </c>
      <c r="X376" s="42">
        <f t="shared" si="16"/>
        <v>7</v>
      </c>
      <c r="Y376" s="42" t="str">
        <f t="shared" si="17"/>
        <v>Delayed</v>
      </c>
    </row>
    <row r="377" spans="1:25" x14ac:dyDescent="0.5">
      <c r="A377" s="17" t="s">
        <v>1657</v>
      </c>
      <c r="B377" s="17" t="s">
        <v>23</v>
      </c>
      <c r="C377" s="17" t="s">
        <v>184</v>
      </c>
      <c r="D377" s="33">
        <v>46066</v>
      </c>
      <c r="E377" s="33">
        <v>46074</v>
      </c>
      <c r="F377" s="15" t="s">
        <v>27</v>
      </c>
      <c r="G377" s="17" t="s">
        <v>28</v>
      </c>
      <c r="H377" s="37">
        <v>27743</v>
      </c>
      <c r="I377" s="17" t="s">
        <v>105</v>
      </c>
      <c r="J377" s="17" t="s">
        <v>106</v>
      </c>
      <c r="K377" s="17" t="s">
        <v>46</v>
      </c>
      <c r="L377" s="17" t="s">
        <v>189</v>
      </c>
      <c r="M377" s="17">
        <v>13</v>
      </c>
      <c r="N377" s="26">
        <v>700</v>
      </c>
      <c r="O377" s="17">
        <v>20</v>
      </c>
      <c r="P377" s="26">
        <v>7280</v>
      </c>
      <c r="Q377" s="17">
        <v>2</v>
      </c>
      <c r="R377" s="17" t="s">
        <v>79</v>
      </c>
      <c r="S377" s="17" t="s">
        <v>35</v>
      </c>
      <c r="T377" s="15" t="s">
        <v>50</v>
      </c>
      <c r="U377" s="17">
        <v>9538129419</v>
      </c>
      <c r="V377" s="17" t="s">
        <v>38</v>
      </c>
      <c r="W377" s="47">
        <f t="shared" ca="1" si="15"/>
        <v>50</v>
      </c>
      <c r="X377" s="42">
        <f t="shared" si="16"/>
        <v>8</v>
      </c>
      <c r="Y377" s="42" t="str">
        <f t="shared" si="17"/>
        <v>Delayed</v>
      </c>
    </row>
    <row r="378" spans="1:25" x14ac:dyDescent="0.5">
      <c r="A378" s="15" t="s">
        <v>1660</v>
      </c>
      <c r="B378" s="15" t="s">
        <v>71</v>
      </c>
      <c r="C378" s="15" t="s">
        <v>40</v>
      </c>
      <c r="D378" s="32">
        <v>45696</v>
      </c>
      <c r="E378" s="32">
        <v>45707</v>
      </c>
      <c r="F378" s="15" t="s">
        <v>217</v>
      </c>
      <c r="G378" s="15" t="s">
        <v>76</v>
      </c>
      <c r="H378" s="36">
        <v>34106</v>
      </c>
      <c r="I378" s="15" t="s">
        <v>114</v>
      </c>
      <c r="J378" s="15" t="s">
        <v>106</v>
      </c>
      <c r="K378" s="15" t="s">
        <v>46</v>
      </c>
      <c r="L378" s="15" t="s">
        <v>47</v>
      </c>
      <c r="M378" s="15">
        <v>20</v>
      </c>
      <c r="N378" s="25">
        <v>12000</v>
      </c>
      <c r="O378" s="15">
        <v>0</v>
      </c>
      <c r="P378" s="25">
        <v>240000</v>
      </c>
      <c r="Q378" s="15">
        <v>2</v>
      </c>
      <c r="R378" s="15" t="s">
        <v>79</v>
      </c>
      <c r="S378" s="15" t="s">
        <v>115</v>
      </c>
      <c r="T378" s="15" t="s">
        <v>80</v>
      </c>
      <c r="U378" s="15">
        <v>9382815686</v>
      </c>
      <c r="V378" s="15" t="s">
        <v>38</v>
      </c>
      <c r="W378" s="46">
        <f t="shared" ca="1" si="15"/>
        <v>33</v>
      </c>
      <c r="X378" s="42">
        <f t="shared" si="16"/>
        <v>11</v>
      </c>
      <c r="Y378" s="42" t="str">
        <f t="shared" si="17"/>
        <v>Delayed</v>
      </c>
    </row>
    <row r="379" spans="1:25" x14ac:dyDescent="0.5">
      <c r="A379" s="17" t="s">
        <v>1663</v>
      </c>
      <c r="B379" s="17" t="s">
        <v>83</v>
      </c>
      <c r="C379" s="17" t="s">
        <v>72</v>
      </c>
      <c r="D379" s="33">
        <v>46019</v>
      </c>
      <c r="E379" s="33">
        <v>46028</v>
      </c>
      <c r="F379" s="15" t="s">
        <v>180</v>
      </c>
      <c r="G379" s="17" t="s">
        <v>76</v>
      </c>
      <c r="H379" s="37">
        <v>28020</v>
      </c>
      <c r="I379" s="17" t="s">
        <v>294</v>
      </c>
      <c r="J379" s="17" t="s">
        <v>295</v>
      </c>
      <c r="K379" s="17" t="s">
        <v>46</v>
      </c>
      <c r="L379" s="17" t="s">
        <v>78</v>
      </c>
      <c r="M379" s="17">
        <v>9</v>
      </c>
      <c r="N379" s="26">
        <v>1200</v>
      </c>
      <c r="O379" s="17">
        <v>15</v>
      </c>
      <c r="P379" s="26">
        <v>9180</v>
      </c>
      <c r="Q379" s="17">
        <v>1</v>
      </c>
      <c r="R379" s="17" t="s">
        <v>88</v>
      </c>
      <c r="S379" s="17" t="s">
        <v>35</v>
      </c>
      <c r="T379" s="15" t="s">
        <v>89</v>
      </c>
      <c r="U379" s="17">
        <v>9450746157</v>
      </c>
      <c r="V379" s="17" t="s">
        <v>64</v>
      </c>
      <c r="W379" s="47">
        <f t="shared" ca="1" si="15"/>
        <v>50</v>
      </c>
      <c r="X379" s="42">
        <f t="shared" si="16"/>
        <v>9</v>
      </c>
      <c r="Y379" s="42" t="str">
        <f t="shared" si="17"/>
        <v>Delayed</v>
      </c>
    </row>
    <row r="380" spans="1:25" x14ac:dyDescent="0.5">
      <c r="A380" s="15" t="s">
        <v>1666</v>
      </c>
      <c r="B380" s="15" t="s">
        <v>83</v>
      </c>
      <c r="C380" s="15" t="s">
        <v>222</v>
      </c>
      <c r="D380" s="32">
        <v>45931</v>
      </c>
      <c r="E380" s="32">
        <v>45933</v>
      </c>
      <c r="F380" s="15" t="s">
        <v>180</v>
      </c>
      <c r="G380" s="15" t="s">
        <v>76</v>
      </c>
      <c r="H380" s="36">
        <v>35421</v>
      </c>
      <c r="I380" s="15" t="s">
        <v>212</v>
      </c>
      <c r="J380" s="15" t="s">
        <v>45</v>
      </c>
      <c r="K380" s="15" t="s">
        <v>122</v>
      </c>
      <c r="L380" s="15" t="s">
        <v>227</v>
      </c>
      <c r="M380" s="15">
        <v>3</v>
      </c>
      <c r="N380" s="25">
        <v>20</v>
      </c>
      <c r="O380" s="15">
        <v>15</v>
      </c>
      <c r="P380" s="25">
        <v>51</v>
      </c>
      <c r="Q380" s="15">
        <v>3</v>
      </c>
      <c r="R380" s="15" t="s">
        <v>34</v>
      </c>
      <c r="S380" s="15" t="s">
        <v>115</v>
      </c>
      <c r="T380" s="15" t="s">
        <v>89</v>
      </c>
      <c r="U380" s="15">
        <v>9349012570</v>
      </c>
      <c r="V380" s="15" t="s">
        <v>64</v>
      </c>
      <c r="W380" s="46">
        <f t="shared" ca="1" si="15"/>
        <v>29</v>
      </c>
      <c r="X380" s="42">
        <f t="shared" si="16"/>
        <v>2</v>
      </c>
      <c r="Y380" s="42" t="str">
        <f t="shared" si="17"/>
        <v xml:space="preserve">On Time </v>
      </c>
    </row>
    <row r="381" spans="1:25" x14ac:dyDescent="0.5">
      <c r="A381" s="17" t="s">
        <v>1670</v>
      </c>
      <c r="B381" s="17" t="s">
        <v>251</v>
      </c>
      <c r="C381" s="17" t="s">
        <v>54</v>
      </c>
      <c r="D381" s="33">
        <v>46009</v>
      </c>
      <c r="E381" s="33">
        <v>46010</v>
      </c>
      <c r="F381" s="15" t="s">
        <v>254</v>
      </c>
      <c r="G381" s="17" t="s">
        <v>28</v>
      </c>
      <c r="H381" s="37">
        <v>35058</v>
      </c>
      <c r="I381" s="17" t="s">
        <v>44</v>
      </c>
      <c r="J381" s="17" t="s">
        <v>45</v>
      </c>
      <c r="K381" s="17" t="s">
        <v>46</v>
      </c>
      <c r="L381" s="17" t="s">
        <v>60</v>
      </c>
      <c r="M381" s="17">
        <v>8</v>
      </c>
      <c r="N381" s="26">
        <v>55000</v>
      </c>
      <c r="O381" s="17">
        <v>20</v>
      </c>
      <c r="P381" s="26">
        <v>352000</v>
      </c>
      <c r="Q381" s="17">
        <v>5</v>
      </c>
      <c r="R381" s="17" t="s">
        <v>79</v>
      </c>
      <c r="S381" s="17" t="s">
        <v>151</v>
      </c>
      <c r="T381" s="15" t="s">
        <v>256</v>
      </c>
      <c r="U381" s="17">
        <v>9442163790</v>
      </c>
      <c r="V381" s="17" t="s">
        <v>64</v>
      </c>
      <c r="W381" s="47">
        <f t="shared" ca="1" si="15"/>
        <v>30</v>
      </c>
      <c r="X381" s="42">
        <f t="shared" si="16"/>
        <v>1</v>
      </c>
      <c r="Y381" s="42" t="str">
        <f t="shared" si="17"/>
        <v xml:space="preserve">On Time </v>
      </c>
    </row>
    <row r="382" spans="1:25" x14ac:dyDescent="0.5">
      <c r="A382" s="15" t="s">
        <v>1673</v>
      </c>
      <c r="B382" s="15" t="s">
        <v>251</v>
      </c>
      <c r="C382" s="15" t="s">
        <v>118</v>
      </c>
      <c r="D382" s="32">
        <v>45929</v>
      </c>
      <c r="E382" s="32">
        <v>45937</v>
      </c>
      <c r="F382" s="15" t="s">
        <v>254</v>
      </c>
      <c r="G382" s="15" t="s">
        <v>28</v>
      </c>
      <c r="H382" s="36">
        <v>31221</v>
      </c>
      <c r="I382" s="15" t="s">
        <v>44</v>
      </c>
      <c r="J382" s="15" t="s">
        <v>45</v>
      </c>
      <c r="K382" s="15" t="s">
        <v>122</v>
      </c>
      <c r="L382" s="15" t="s">
        <v>123</v>
      </c>
      <c r="M382" s="15">
        <v>17</v>
      </c>
      <c r="N382" s="25">
        <v>60</v>
      </c>
      <c r="O382" s="15">
        <v>20</v>
      </c>
      <c r="P382" s="25">
        <v>816</v>
      </c>
      <c r="Q382" s="15">
        <v>1</v>
      </c>
      <c r="R382" s="15" t="s">
        <v>88</v>
      </c>
      <c r="S382" s="15" t="s">
        <v>35</v>
      </c>
      <c r="T382" s="15" t="s">
        <v>256</v>
      </c>
      <c r="U382" s="15">
        <v>9953329223</v>
      </c>
      <c r="V382" s="15" t="s">
        <v>64</v>
      </c>
      <c r="W382" s="46">
        <f t="shared" ca="1" si="15"/>
        <v>41</v>
      </c>
      <c r="X382" s="42">
        <f t="shared" si="16"/>
        <v>8</v>
      </c>
      <c r="Y382" s="42" t="str">
        <f t="shared" si="17"/>
        <v>Delayed</v>
      </c>
    </row>
    <row r="383" spans="1:25" x14ac:dyDescent="0.5">
      <c r="A383" s="17" t="s">
        <v>1676</v>
      </c>
      <c r="B383" s="17" t="s">
        <v>127</v>
      </c>
      <c r="C383" s="17" t="s">
        <v>222</v>
      </c>
      <c r="D383" s="33">
        <v>45791</v>
      </c>
      <c r="E383" s="33">
        <v>45799</v>
      </c>
      <c r="F383" s="15" t="s">
        <v>200</v>
      </c>
      <c r="G383" s="17" t="s">
        <v>76</v>
      </c>
      <c r="H383" s="37">
        <v>30722</v>
      </c>
      <c r="I383" s="17" t="s">
        <v>59</v>
      </c>
      <c r="J383" s="17" t="s">
        <v>31</v>
      </c>
      <c r="K383" s="17" t="s">
        <v>122</v>
      </c>
      <c r="L383" s="17" t="s">
        <v>227</v>
      </c>
      <c r="M383" s="17">
        <v>4</v>
      </c>
      <c r="N383" s="26">
        <v>20</v>
      </c>
      <c r="O383" s="17">
        <v>15</v>
      </c>
      <c r="P383" s="26">
        <v>68</v>
      </c>
      <c r="Q383" s="17">
        <v>3</v>
      </c>
      <c r="R383" s="17" t="s">
        <v>48</v>
      </c>
      <c r="S383" s="17" t="s">
        <v>61</v>
      </c>
      <c r="T383" s="15" t="s">
        <v>132</v>
      </c>
      <c r="U383" s="17">
        <v>9202321359</v>
      </c>
      <c r="V383" s="17" t="s">
        <v>64</v>
      </c>
      <c r="W383" s="47">
        <f t="shared" ca="1" si="15"/>
        <v>42</v>
      </c>
      <c r="X383" s="42">
        <f t="shared" si="16"/>
        <v>8</v>
      </c>
      <c r="Y383" s="42" t="str">
        <f t="shared" si="17"/>
        <v>Delayed</v>
      </c>
    </row>
    <row r="384" spans="1:25" x14ac:dyDescent="0.5">
      <c r="A384" s="15" t="s">
        <v>1680</v>
      </c>
      <c r="B384" s="15" t="s">
        <v>127</v>
      </c>
      <c r="C384" s="15" t="s">
        <v>24</v>
      </c>
      <c r="D384" s="32">
        <v>45748</v>
      </c>
      <c r="E384" s="32">
        <v>45758</v>
      </c>
      <c r="F384" s="15" t="s">
        <v>200</v>
      </c>
      <c r="G384" s="15" t="s">
        <v>76</v>
      </c>
      <c r="H384" s="36">
        <v>37348</v>
      </c>
      <c r="I384" s="15" t="s">
        <v>294</v>
      </c>
      <c r="J384" s="15" t="s">
        <v>295</v>
      </c>
      <c r="K384" s="15" t="s">
        <v>32</v>
      </c>
      <c r="L384" s="15" t="s">
        <v>33</v>
      </c>
      <c r="M384" s="15">
        <v>2</v>
      </c>
      <c r="N384" s="25">
        <v>2200</v>
      </c>
      <c r="O384" s="15">
        <v>10</v>
      </c>
      <c r="P384" s="25">
        <v>3960</v>
      </c>
      <c r="Q384" s="15">
        <v>2</v>
      </c>
      <c r="R384" s="15" t="s">
        <v>88</v>
      </c>
      <c r="S384" s="15" t="s">
        <v>49</v>
      </c>
      <c r="T384" s="15" t="s">
        <v>132</v>
      </c>
      <c r="U384" s="15">
        <v>9812564160</v>
      </c>
      <c r="V384" s="15" t="s">
        <v>64</v>
      </c>
      <c r="W384" s="46">
        <f t="shared" ca="1" si="15"/>
        <v>24</v>
      </c>
      <c r="X384" s="42">
        <f t="shared" si="16"/>
        <v>10</v>
      </c>
      <c r="Y384" s="42" t="str">
        <f t="shared" si="17"/>
        <v>Delayed</v>
      </c>
    </row>
    <row r="385" spans="1:25" x14ac:dyDescent="0.5">
      <c r="A385" s="17" t="s">
        <v>1684</v>
      </c>
      <c r="B385" s="17" t="s">
        <v>221</v>
      </c>
      <c r="C385" s="17" t="s">
        <v>118</v>
      </c>
      <c r="D385" s="33">
        <v>45754</v>
      </c>
      <c r="E385" s="33">
        <v>45765</v>
      </c>
      <c r="F385" s="15" t="s">
        <v>225</v>
      </c>
      <c r="G385" s="17" t="s">
        <v>76</v>
      </c>
      <c r="H385" s="37">
        <v>37819</v>
      </c>
      <c r="I385" s="17" t="s">
        <v>59</v>
      </c>
      <c r="J385" s="17" t="s">
        <v>31</v>
      </c>
      <c r="K385" s="17" t="s">
        <v>122</v>
      </c>
      <c r="L385" s="17" t="s">
        <v>123</v>
      </c>
      <c r="M385" s="17">
        <v>5</v>
      </c>
      <c r="N385" s="26">
        <v>60</v>
      </c>
      <c r="O385" s="17">
        <v>5</v>
      </c>
      <c r="P385" s="26">
        <v>285</v>
      </c>
      <c r="Q385" s="17">
        <v>1</v>
      </c>
      <c r="R385" s="17" t="s">
        <v>88</v>
      </c>
      <c r="S385" s="17" t="s">
        <v>35</v>
      </c>
      <c r="T385" s="15" t="s">
        <v>228</v>
      </c>
      <c r="U385" s="17">
        <v>9688458222</v>
      </c>
      <c r="V385" s="17" t="s">
        <v>69</v>
      </c>
      <c r="W385" s="47">
        <f t="shared" ca="1" si="15"/>
        <v>23</v>
      </c>
      <c r="X385" s="42">
        <f t="shared" si="16"/>
        <v>11</v>
      </c>
      <c r="Y385" s="42" t="str">
        <f t="shared" si="17"/>
        <v>Delayed</v>
      </c>
    </row>
    <row r="386" spans="1:25" x14ac:dyDescent="0.5">
      <c r="A386" s="15" t="s">
        <v>1687</v>
      </c>
      <c r="B386" s="15" t="s">
        <v>127</v>
      </c>
      <c r="C386" s="15" t="s">
        <v>24</v>
      </c>
      <c r="D386" s="32">
        <v>46072</v>
      </c>
      <c r="E386" s="32">
        <v>46076</v>
      </c>
      <c r="F386" s="15" t="s">
        <v>200</v>
      </c>
      <c r="G386" s="15" t="s">
        <v>76</v>
      </c>
      <c r="H386" s="36">
        <v>33517</v>
      </c>
      <c r="I386" s="15" t="s">
        <v>44</v>
      </c>
      <c r="J386" s="15" t="s">
        <v>45</v>
      </c>
      <c r="K386" s="15" t="s">
        <v>32</v>
      </c>
      <c r="L386" s="15" t="s">
        <v>33</v>
      </c>
      <c r="M386" s="15">
        <v>17</v>
      </c>
      <c r="N386" s="25">
        <v>2200</v>
      </c>
      <c r="O386" s="15">
        <v>0</v>
      </c>
      <c r="P386" s="25">
        <v>37400</v>
      </c>
      <c r="Q386" s="15">
        <v>2</v>
      </c>
      <c r="R386" s="15" t="s">
        <v>88</v>
      </c>
      <c r="S386" s="15" t="s">
        <v>151</v>
      </c>
      <c r="T386" s="15" t="s">
        <v>132</v>
      </c>
      <c r="U386" s="15">
        <v>9634473337</v>
      </c>
      <c r="V386" s="15" t="s">
        <v>69</v>
      </c>
      <c r="W386" s="46">
        <f t="shared" ca="1" si="15"/>
        <v>35</v>
      </c>
      <c r="X386" s="42">
        <f t="shared" si="16"/>
        <v>4</v>
      </c>
      <c r="Y386" s="42" t="str">
        <f t="shared" si="17"/>
        <v xml:space="preserve">On Time </v>
      </c>
    </row>
    <row r="387" spans="1:25" x14ac:dyDescent="0.5">
      <c r="A387" s="17" t="s">
        <v>1692</v>
      </c>
      <c r="B387" s="17" t="s">
        <v>168</v>
      </c>
      <c r="C387" s="17" t="s">
        <v>118</v>
      </c>
      <c r="D387" s="33">
        <v>45995</v>
      </c>
      <c r="E387" s="33">
        <v>46002</v>
      </c>
      <c r="F387" s="15" t="s">
        <v>361</v>
      </c>
      <c r="G387" s="17" t="s">
        <v>28</v>
      </c>
      <c r="H387" s="37">
        <v>30686</v>
      </c>
      <c r="I387" s="17" t="s">
        <v>138</v>
      </c>
      <c r="J387" s="17" t="s">
        <v>106</v>
      </c>
      <c r="K387" s="17" t="s">
        <v>122</v>
      </c>
      <c r="L387" s="17" t="s">
        <v>123</v>
      </c>
      <c r="M387" s="17">
        <v>7</v>
      </c>
      <c r="N387" s="26">
        <v>60</v>
      </c>
      <c r="O387" s="17">
        <v>0</v>
      </c>
      <c r="P387" s="26">
        <v>420</v>
      </c>
      <c r="Q387" s="17">
        <v>2</v>
      </c>
      <c r="R387" s="17" t="s">
        <v>88</v>
      </c>
      <c r="S387" s="17" t="s">
        <v>61</v>
      </c>
      <c r="T387" s="15" t="s">
        <v>175</v>
      </c>
      <c r="U387" s="17">
        <v>9608737026</v>
      </c>
      <c r="V387" s="17" t="s">
        <v>64</v>
      </c>
      <c r="W387" s="47">
        <f t="shared" ref="W387:W450" ca="1" si="18">DATEDIF(H387, TODAY(), "y")</f>
        <v>42</v>
      </c>
      <c r="X387" s="42">
        <f t="shared" ref="X387:X450" si="19">IF(OR(ISBLANK(D387), ISBLANK(E387)), "Not Available", E387-D387)</f>
        <v>7</v>
      </c>
      <c r="Y387" s="42" t="str">
        <f t="shared" ref="Y387:Y450" si="20">IF(ISBLANK(E387), "Pending", IF(E387-D387&lt;=5, "On Time ",  "Delayed"))</f>
        <v>Delayed</v>
      </c>
    </row>
    <row r="388" spans="1:25" x14ac:dyDescent="0.5">
      <c r="A388" s="15" t="s">
        <v>1695</v>
      </c>
      <c r="B388" s="15" t="s">
        <v>221</v>
      </c>
      <c r="C388" s="15" t="s">
        <v>54</v>
      </c>
      <c r="D388" s="32">
        <v>45950</v>
      </c>
      <c r="E388" s="32">
        <v>45954</v>
      </c>
      <c r="F388" s="15" t="s">
        <v>225</v>
      </c>
      <c r="G388" s="15" t="s">
        <v>76</v>
      </c>
      <c r="H388" s="36">
        <v>27465</v>
      </c>
      <c r="I388" s="15" t="s">
        <v>30</v>
      </c>
      <c r="J388" s="15" t="s">
        <v>31</v>
      </c>
      <c r="K388" s="15" t="s">
        <v>46</v>
      </c>
      <c r="L388" s="15" t="s">
        <v>60</v>
      </c>
      <c r="M388" s="15">
        <v>6</v>
      </c>
      <c r="N388" s="25">
        <v>55000</v>
      </c>
      <c r="O388" s="15">
        <v>5</v>
      </c>
      <c r="P388" s="25">
        <v>313500</v>
      </c>
      <c r="Q388" s="15">
        <v>4</v>
      </c>
      <c r="R388" s="15" t="s">
        <v>79</v>
      </c>
      <c r="S388" s="15" t="s">
        <v>61</v>
      </c>
      <c r="T388" s="15" t="s">
        <v>228</v>
      </c>
      <c r="U388" s="15">
        <v>9804498139</v>
      </c>
      <c r="V388" s="15" t="s">
        <v>38</v>
      </c>
      <c r="W388" s="46">
        <f t="shared" ca="1" si="18"/>
        <v>51</v>
      </c>
      <c r="X388" s="42">
        <f t="shared" si="19"/>
        <v>4</v>
      </c>
      <c r="Y388" s="42" t="str">
        <f t="shared" si="20"/>
        <v xml:space="preserve">On Time </v>
      </c>
    </row>
    <row r="389" spans="1:25" x14ac:dyDescent="0.5">
      <c r="A389" s="17" t="s">
        <v>1699</v>
      </c>
      <c r="B389" s="17" t="s">
        <v>71</v>
      </c>
      <c r="C389" s="17" t="s">
        <v>222</v>
      </c>
      <c r="D389" s="33">
        <v>46043</v>
      </c>
      <c r="E389" s="33">
        <v>46047</v>
      </c>
      <c r="F389" s="15" t="s">
        <v>217</v>
      </c>
      <c r="G389" s="17" t="s">
        <v>76</v>
      </c>
      <c r="H389" s="37">
        <v>30390</v>
      </c>
      <c r="I389" s="17" t="s">
        <v>30</v>
      </c>
      <c r="J389" s="17" t="s">
        <v>31</v>
      </c>
      <c r="K389" s="17" t="s">
        <v>122</v>
      </c>
      <c r="L389" s="17" t="s">
        <v>227</v>
      </c>
      <c r="M389" s="17">
        <v>16</v>
      </c>
      <c r="N389" s="26">
        <v>20</v>
      </c>
      <c r="O389" s="17">
        <v>5</v>
      </c>
      <c r="P389" s="26">
        <v>304</v>
      </c>
      <c r="Q389" s="17">
        <v>1</v>
      </c>
      <c r="R389" s="17" t="s">
        <v>79</v>
      </c>
      <c r="S389" s="17" t="s">
        <v>49</v>
      </c>
      <c r="T389" s="15" t="s">
        <v>80</v>
      </c>
      <c r="U389" s="17">
        <v>9798643580</v>
      </c>
      <c r="V389" s="17" t="s">
        <v>38</v>
      </c>
      <c r="W389" s="47">
        <f t="shared" ca="1" si="18"/>
        <v>43</v>
      </c>
      <c r="X389" s="42">
        <f t="shared" si="19"/>
        <v>4</v>
      </c>
      <c r="Y389" s="42" t="str">
        <f t="shared" si="20"/>
        <v xml:space="preserve">On Time </v>
      </c>
    </row>
    <row r="390" spans="1:25" x14ac:dyDescent="0.5">
      <c r="A390" s="15" t="s">
        <v>1703</v>
      </c>
      <c r="B390" s="15" t="s">
        <v>23</v>
      </c>
      <c r="C390" s="15" t="s">
        <v>24</v>
      </c>
      <c r="D390" s="32">
        <v>45682</v>
      </c>
      <c r="E390" s="32">
        <v>45685</v>
      </c>
      <c r="F390" s="15" t="s">
        <v>27</v>
      </c>
      <c r="G390" s="15" t="s">
        <v>28</v>
      </c>
      <c r="H390" s="36">
        <v>27870</v>
      </c>
      <c r="I390" s="15" t="s">
        <v>294</v>
      </c>
      <c r="J390" s="15" t="s">
        <v>295</v>
      </c>
      <c r="K390" s="15" t="s">
        <v>32</v>
      </c>
      <c r="L390" s="15" t="s">
        <v>33</v>
      </c>
      <c r="M390" s="15">
        <v>11</v>
      </c>
      <c r="N390" s="25">
        <v>2200</v>
      </c>
      <c r="O390" s="15">
        <v>15</v>
      </c>
      <c r="P390" s="25">
        <v>20570</v>
      </c>
      <c r="Q390" s="15">
        <v>1</v>
      </c>
      <c r="R390" s="15" t="s">
        <v>48</v>
      </c>
      <c r="S390" s="15" t="s">
        <v>115</v>
      </c>
      <c r="T390" s="15" t="s">
        <v>50</v>
      </c>
      <c r="U390" s="15">
        <v>9809823278</v>
      </c>
      <c r="V390" s="15" t="s">
        <v>69</v>
      </c>
      <c r="W390" s="46">
        <f t="shared" ca="1" si="18"/>
        <v>50</v>
      </c>
      <c r="X390" s="42">
        <f t="shared" si="19"/>
        <v>3</v>
      </c>
      <c r="Y390" s="42" t="str">
        <f t="shared" si="20"/>
        <v xml:space="preserve">On Time </v>
      </c>
    </row>
    <row r="391" spans="1:25" x14ac:dyDescent="0.5">
      <c r="A391" s="17" t="s">
        <v>1708</v>
      </c>
      <c r="B391" s="17" t="s">
        <v>100</v>
      </c>
      <c r="C391" s="17" t="s">
        <v>222</v>
      </c>
      <c r="D391" s="33">
        <v>45716</v>
      </c>
      <c r="E391" s="33">
        <v>45718</v>
      </c>
      <c r="F391" s="15" t="s">
        <v>103</v>
      </c>
      <c r="G391" s="17" t="s">
        <v>28</v>
      </c>
      <c r="H391" s="37">
        <v>31454</v>
      </c>
      <c r="I391" s="17" t="s">
        <v>114</v>
      </c>
      <c r="J391" s="17" t="s">
        <v>106</v>
      </c>
      <c r="K391" s="17" t="s">
        <v>122</v>
      </c>
      <c r="L391" s="17" t="s">
        <v>227</v>
      </c>
      <c r="M391" s="17">
        <v>19</v>
      </c>
      <c r="N391" s="26">
        <v>20</v>
      </c>
      <c r="O391" s="17">
        <v>5</v>
      </c>
      <c r="P391" s="26">
        <v>361</v>
      </c>
      <c r="Q391" s="17">
        <v>4</v>
      </c>
      <c r="R391" s="17" t="s">
        <v>88</v>
      </c>
      <c r="S391" s="17" t="s">
        <v>35</v>
      </c>
      <c r="T391" s="15" t="s">
        <v>144</v>
      </c>
      <c r="U391" s="17">
        <v>9177767854</v>
      </c>
      <c r="V391" s="17" t="s">
        <v>64</v>
      </c>
      <c r="W391" s="47">
        <f t="shared" ca="1" si="18"/>
        <v>40</v>
      </c>
      <c r="X391" s="42">
        <f t="shared" si="19"/>
        <v>2</v>
      </c>
      <c r="Y391" s="42" t="str">
        <f t="shared" si="20"/>
        <v xml:space="preserve">On Time </v>
      </c>
    </row>
    <row r="392" spans="1:25" x14ac:dyDescent="0.5">
      <c r="A392" s="15" t="s">
        <v>1711</v>
      </c>
      <c r="B392" s="15" t="s">
        <v>100</v>
      </c>
      <c r="C392" s="15" t="s">
        <v>72</v>
      </c>
      <c r="D392" s="32">
        <v>45828</v>
      </c>
      <c r="E392" s="32">
        <v>45829</v>
      </c>
      <c r="F392" s="15" t="s">
        <v>103</v>
      </c>
      <c r="G392" s="15" t="s">
        <v>28</v>
      </c>
      <c r="H392" s="36">
        <v>28570</v>
      </c>
      <c r="I392" s="15" t="s">
        <v>114</v>
      </c>
      <c r="J392" s="15" t="s">
        <v>106</v>
      </c>
      <c r="K392" s="15" t="s">
        <v>46</v>
      </c>
      <c r="L392" s="15" t="s">
        <v>78</v>
      </c>
      <c r="M392" s="15">
        <v>20</v>
      </c>
      <c r="N392" s="25">
        <v>1200</v>
      </c>
      <c r="O392" s="15">
        <v>15</v>
      </c>
      <c r="P392" s="25">
        <v>20400</v>
      </c>
      <c r="Q392" s="15">
        <v>4</v>
      </c>
      <c r="R392" s="15" t="s">
        <v>79</v>
      </c>
      <c r="S392" s="15" t="s">
        <v>35</v>
      </c>
      <c r="T392" s="15" t="s">
        <v>144</v>
      </c>
      <c r="U392" s="15">
        <v>9643440006</v>
      </c>
      <c r="V392" s="15" t="s">
        <v>64</v>
      </c>
      <c r="W392" s="46">
        <f t="shared" ca="1" si="18"/>
        <v>48</v>
      </c>
      <c r="X392" s="42">
        <f t="shared" si="19"/>
        <v>1</v>
      </c>
      <c r="Y392" s="42" t="str">
        <f t="shared" si="20"/>
        <v xml:space="preserve">On Time </v>
      </c>
    </row>
    <row r="393" spans="1:25" x14ac:dyDescent="0.5">
      <c r="A393" s="17" t="s">
        <v>1716</v>
      </c>
      <c r="B393" s="17" t="s">
        <v>53</v>
      </c>
      <c r="C393" s="17" t="s">
        <v>222</v>
      </c>
      <c r="D393" s="33">
        <v>45805</v>
      </c>
      <c r="E393" s="33">
        <v>45814</v>
      </c>
      <c r="F393" s="15" t="s">
        <v>163</v>
      </c>
      <c r="G393" s="17" t="s">
        <v>28</v>
      </c>
      <c r="H393" s="37">
        <v>35258</v>
      </c>
      <c r="I393" s="17" t="s">
        <v>30</v>
      </c>
      <c r="J393" s="17" t="s">
        <v>31</v>
      </c>
      <c r="K393" s="17" t="s">
        <v>122</v>
      </c>
      <c r="L393" s="17" t="s">
        <v>227</v>
      </c>
      <c r="M393" s="17">
        <v>13</v>
      </c>
      <c r="N393" s="26">
        <v>20</v>
      </c>
      <c r="O393" s="17">
        <v>15</v>
      </c>
      <c r="P393" s="26">
        <v>221</v>
      </c>
      <c r="Q393" s="17">
        <v>4</v>
      </c>
      <c r="R393" s="17" t="s">
        <v>34</v>
      </c>
      <c r="S393" s="17" t="s">
        <v>35</v>
      </c>
      <c r="T393" s="15" t="s">
        <v>62</v>
      </c>
      <c r="U393" s="17">
        <v>9673698825</v>
      </c>
      <c r="V393" s="17" t="s">
        <v>64</v>
      </c>
      <c r="W393" s="47">
        <f t="shared" ca="1" si="18"/>
        <v>30</v>
      </c>
      <c r="X393" s="42">
        <f t="shared" si="19"/>
        <v>9</v>
      </c>
      <c r="Y393" s="42" t="str">
        <f t="shared" si="20"/>
        <v>Delayed</v>
      </c>
    </row>
    <row r="394" spans="1:25" x14ac:dyDescent="0.5">
      <c r="A394" s="15" t="s">
        <v>1721</v>
      </c>
      <c r="B394" s="15" t="s">
        <v>251</v>
      </c>
      <c r="C394" s="15" t="s">
        <v>72</v>
      </c>
      <c r="D394" s="32">
        <v>45660</v>
      </c>
      <c r="E394" s="32">
        <v>45665</v>
      </c>
      <c r="F394" s="15" t="s">
        <v>254</v>
      </c>
      <c r="G394" s="15" t="s">
        <v>28</v>
      </c>
      <c r="H394" s="36">
        <v>33940</v>
      </c>
      <c r="I394" s="15" t="s">
        <v>44</v>
      </c>
      <c r="J394" s="15" t="s">
        <v>45</v>
      </c>
      <c r="K394" s="15" t="s">
        <v>46</v>
      </c>
      <c r="L394" s="15" t="s">
        <v>78</v>
      </c>
      <c r="M394" s="15">
        <v>12</v>
      </c>
      <c r="N394" s="25">
        <v>1200</v>
      </c>
      <c r="O394" s="15">
        <v>10</v>
      </c>
      <c r="P394" s="25">
        <v>12960</v>
      </c>
      <c r="Q394" s="15">
        <v>3</v>
      </c>
      <c r="R394" s="15" t="s">
        <v>48</v>
      </c>
      <c r="S394" s="15" t="s">
        <v>35</v>
      </c>
      <c r="T394" s="15" t="s">
        <v>256</v>
      </c>
      <c r="U394" s="15">
        <v>9706238784</v>
      </c>
      <c r="V394" s="15" t="s">
        <v>64</v>
      </c>
      <c r="W394" s="46">
        <f t="shared" ca="1" si="18"/>
        <v>33</v>
      </c>
      <c r="X394" s="42">
        <f t="shared" si="19"/>
        <v>5</v>
      </c>
      <c r="Y394" s="42" t="str">
        <f t="shared" si="20"/>
        <v xml:space="preserve">On Time </v>
      </c>
    </row>
    <row r="395" spans="1:25" x14ac:dyDescent="0.5">
      <c r="A395" s="17" t="s">
        <v>1724</v>
      </c>
      <c r="B395" s="17" t="s">
        <v>100</v>
      </c>
      <c r="C395" s="17" t="s">
        <v>169</v>
      </c>
      <c r="D395" s="33">
        <v>45685</v>
      </c>
      <c r="E395" s="33">
        <v>45686</v>
      </c>
      <c r="F395" s="15" t="s">
        <v>103</v>
      </c>
      <c r="G395" s="17" t="s">
        <v>28</v>
      </c>
      <c r="H395" s="37">
        <v>35147</v>
      </c>
      <c r="I395" s="17" t="s">
        <v>294</v>
      </c>
      <c r="J395" s="17" t="s">
        <v>295</v>
      </c>
      <c r="K395" s="17" t="s">
        <v>32</v>
      </c>
      <c r="L395" s="17" t="s">
        <v>174</v>
      </c>
      <c r="M395" s="17">
        <v>6</v>
      </c>
      <c r="N395" s="26">
        <v>8500</v>
      </c>
      <c r="O395" s="17">
        <v>5</v>
      </c>
      <c r="P395" s="26">
        <v>48450</v>
      </c>
      <c r="Q395" s="17">
        <v>5</v>
      </c>
      <c r="R395" s="17" t="s">
        <v>34</v>
      </c>
      <c r="S395" s="17" t="s">
        <v>115</v>
      </c>
      <c r="T395" s="15" t="s">
        <v>144</v>
      </c>
      <c r="U395" s="17">
        <v>9132959877</v>
      </c>
      <c r="V395" s="17" t="s">
        <v>69</v>
      </c>
      <c r="W395" s="47">
        <f t="shared" ca="1" si="18"/>
        <v>30</v>
      </c>
      <c r="X395" s="42">
        <f t="shared" si="19"/>
        <v>1</v>
      </c>
      <c r="Y395" s="42" t="str">
        <f t="shared" si="20"/>
        <v xml:space="preserve">On Time </v>
      </c>
    </row>
    <row r="396" spans="1:25" x14ac:dyDescent="0.5">
      <c r="A396" s="15" t="s">
        <v>1727</v>
      </c>
      <c r="B396" s="15" t="s">
        <v>23</v>
      </c>
      <c r="C396" s="15" t="s">
        <v>169</v>
      </c>
      <c r="D396" s="32">
        <v>46071</v>
      </c>
      <c r="E396" s="32">
        <v>46079</v>
      </c>
      <c r="F396" s="15" t="s">
        <v>27</v>
      </c>
      <c r="G396" s="15" t="s">
        <v>28</v>
      </c>
      <c r="H396" s="36">
        <v>34508</v>
      </c>
      <c r="I396" s="15" t="s">
        <v>138</v>
      </c>
      <c r="J396" s="15" t="s">
        <v>106</v>
      </c>
      <c r="K396" s="15" t="s">
        <v>32</v>
      </c>
      <c r="L396" s="15" t="s">
        <v>174</v>
      </c>
      <c r="M396" s="15">
        <v>15</v>
      </c>
      <c r="N396" s="25">
        <v>8500</v>
      </c>
      <c r="O396" s="15">
        <v>10</v>
      </c>
      <c r="P396" s="25">
        <v>114750</v>
      </c>
      <c r="Q396" s="15">
        <v>1</v>
      </c>
      <c r="R396" s="15" t="s">
        <v>34</v>
      </c>
      <c r="S396" s="15" t="s">
        <v>115</v>
      </c>
      <c r="T396" s="15" t="s">
        <v>50</v>
      </c>
      <c r="U396" s="15">
        <v>9295011645</v>
      </c>
      <c r="V396" s="15" t="s">
        <v>38</v>
      </c>
      <c r="W396" s="46">
        <f t="shared" ca="1" si="18"/>
        <v>32</v>
      </c>
      <c r="X396" s="42">
        <f t="shared" si="19"/>
        <v>8</v>
      </c>
      <c r="Y396" s="42" t="str">
        <f t="shared" si="20"/>
        <v>Delayed</v>
      </c>
    </row>
    <row r="397" spans="1:25" x14ac:dyDescent="0.5">
      <c r="A397" s="17" t="s">
        <v>1731</v>
      </c>
      <c r="B397" s="17" t="s">
        <v>127</v>
      </c>
      <c r="C397" s="17" t="s">
        <v>40</v>
      </c>
      <c r="D397" s="33">
        <v>45872</v>
      </c>
      <c r="E397" s="33">
        <v>45884</v>
      </c>
      <c r="F397" s="15" t="s">
        <v>200</v>
      </c>
      <c r="G397" s="17" t="s">
        <v>76</v>
      </c>
      <c r="H397" s="37">
        <v>29253</v>
      </c>
      <c r="I397" s="17" t="s">
        <v>30</v>
      </c>
      <c r="J397" s="17" t="s">
        <v>31</v>
      </c>
      <c r="K397" s="17" t="s">
        <v>46</v>
      </c>
      <c r="L397" s="17" t="s">
        <v>47</v>
      </c>
      <c r="M397" s="17">
        <v>19</v>
      </c>
      <c r="N397" s="26">
        <v>12000</v>
      </c>
      <c r="O397" s="17">
        <v>20</v>
      </c>
      <c r="P397" s="26">
        <v>182400</v>
      </c>
      <c r="Q397" s="17">
        <v>5</v>
      </c>
      <c r="R397" s="17" t="s">
        <v>34</v>
      </c>
      <c r="S397" s="17" t="s">
        <v>115</v>
      </c>
      <c r="T397" s="15" t="s">
        <v>132</v>
      </c>
      <c r="U397" s="17">
        <v>9677606427</v>
      </c>
      <c r="V397" s="17" t="s">
        <v>38</v>
      </c>
      <c r="W397" s="47">
        <f t="shared" ca="1" si="18"/>
        <v>46</v>
      </c>
      <c r="X397" s="42">
        <f t="shared" si="19"/>
        <v>12</v>
      </c>
      <c r="Y397" s="42" t="str">
        <f t="shared" si="20"/>
        <v>Delayed</v>
      </c>
    </row>
    <row r="398" spans="1:25" x14ac:dyDescent="0.5">
      <c r="A398" s="15" t="s">
        <v>1736</v>
      </c>
      <c r="B398" s="15" t="s">
        <v>83</v>
      </c>
      <c r="C398" s="15" t="s">
        <v>184</v>
      </c>
      <c r="D398" s="32">
        <v>45672</v>
      </c>
      <c r="E398" s="32">
        <v>45675</v>
      </c>
      <c r="F398" s="15" t="s">
        <v>180</v>
      </c>
      <c r="G398" s="15" t="s">
        <v>76</v>
      </c>
      <c r="H398" s="36">
        <v>33109</v>
      </c>
      <c r="I398" s="15" t="s">
        <v>44</v>
      </c>
      <c r="J398" s="15" t="s">
        <v>45</v>
      </c>
      <c r="K398" s="15" t="s">
        <v>46</v>
      </c>
      <c r="L398" s="15" t="s">
        <v>189</v>
      </c>
      <c r="M398" s="15">
        <v>5</v>
      </c>
      <c r="N398" s="25">
        <v>700</v>
      </c>
      <c r="O398" s="15">
        <v>0</v>
      </c>
      <c r="P398" s="25">
        <v>3500</v>
      </c>
      <c r="Q398" s="15">
        <v>2</v>
      </c>
      <c r="R398" s="15" t="s">
        <v>79</v>
      </c>
      <c r="S398" s="15" t="s">
        <v>61</v>
      </c>
      <c r="T398" s="15" t="s">
        <v>89</v>
      </c>
      <c r="U398" s="15">
        <v>9161631566</v>
      </c>
      <c r="V398" s="15" t="s">
        <v>69</v>
      </c>
      <c r="W398" s="46">
        <f t="shared" ca="1" si="18"/>
        <v>36</v>
      </c>
      <c r="X398" s="42">
        <f t="shared" si="19"/>
        <v>3</v>
      </c>
      <c r="Y398" s="42" t="str">
        <f t="shared" si="20"/>
        <v xml:space="preserve">On Time </v>
      </c>
    </row>
    <row r="399" spans="1:25" x14ac:dyDescent="0.5">
      <c r="A399" s="17" t="s">
        <v>1740</v>
      </c>
      <c r="B399" s="17" t="s">
        <v>83</v>
      </c>
      <c r="C399" s="17" t="s">
        <v>40</v>
      </c>
      <c r="D399" s="33">
        <v>45688</v>
      </c>
      <c r="E399" s="33">
        <v>45692</v>
      </c>
      <c r="F399" s="15" t="s">
        <v>180</v>
      </c>
      <c r="G399" s="17" t="s">
        <v>76</v>
      </c>
      <c r="H399" s="37">
        <v>28834</v>
      </c>
      <c r="I399" s="17" t="s">
        <v>294</v>
      </c>
      <c r="J399" s="17" t="s">
        <v>295</v>
      </c>
      <c r="K399" s="17" t="s">
        <v>46</v>
      </c>
      <c r="L399" s="17" t="s">
        <v>47</v>
      </c>
      <c r="M399" s="17">
        <v>19</v>
      </c>
      <c r="N399" s="26">
        <v>12000</v>
      </c>
      <c r="O399" s="17">
        <v>0</v>
      </c>
      <c r="P399" s="26">
        <v>228000</v>
      </c>
      <c r="Q399" s="17">
        <v>4</v>
      </c>
      <c r="R399" s="17" t="s">
        <v>88</v>
      </c>
      <c r="S399" s="17" t="s">
        <v>61</v>
      </c>
      <c r="T399" s="15" t="s">
        <v>89</v>
      </c>
      <c r="U399" s="17">
        <v>9136906750</v>
      </c>
      <c r="V399" s="17" t="s">
        <v>64</v>
      </c>
      <c r="W399" s="47">
        <f t="shared" ca="1" si="18"/>
        <v>47</v>
      </c>
      <c r="X399" s="42">
        <f t="shared" si="19"/>
        <v>4</v>
      </c>
      <c r="Y399" s="42" t="str">
        <f t="shared" si="20"/>
        <v xml:space="preserve">On Time </v>
      </c>
    </row>
    <row r="400" spans="1:25" x14ac:dyDescent="0.5">
      <c r="A400" s="15" t="s">
        <v>1743</v>
      </c>
      <c r="B400" s="15" t="s">
        <v>327</v>
      </c>
      <c r="C400" s="15" t="s">
        <v>184</v>
      </c>
      <c r="D400" s="32"/>
      <c r="E400" s="32">
        <v>45964</v>
      </c>
      <c r="F400" s="15" t="s">
        <v>394</v>
      </c>
      <c r="G400" s="15" t="s">
        <v>76</v>
      </c>
      <c r="H400" s="36">
        <v>29099</v>
      </c>
      <c r="I400" s="15" t="s">
        <v>59</v>
      </c>
      <c r="J400" s="15" t="s">
        <v>31</v>
      </c>
      <c r="K400" s="15" t="s">
        <v>46</v>
      </c>
      <c r="L400" s="15" t="s">
        <v>189</v>
      </c>
      <c r="M400" s="15">
        <v>12</v>
      </c>
      <c r="N400" s="25">
        <v>700</v>
      </c>
      <c r="O400" s="15">
        <v>15</v>
      </c>
      <c r="P400" s="25">
        <v>7140</v>
      </c>
      <c r="Q400" s="15">
        <v>3</v>
      </c>
      <c r="R400" s="15" t="s">
        <v>79</v>
      </c>
      <c r="S400" s="15" t="s">
        <v>35</v>
      </c>
      <c r="T400" s="15" t="s">
        <v>332</v>
      </c>
      <c r="U400" s="15">
        <v>9485286324</v>
      </c>
      <c r="V400" s="15" t="s">
        <v>38</v>
      </c>
      <c r="W400" s="46">
        <f t="shared" ca="1" si="18"/>
        <v>47</v>
      </c>
      <c r="X400" s="42" t="str">
        <f t="shared" si="19"/>
        <v>Not Available</v>
      </c>
      <c r="Y400" s="42" t="str">
        <f t="shared" si="20"/>
        <v>Delayed</v>
      </c>
    </row>
    <row r="401" spans="1:25" x14ac:dyDescent="0.5">
      <c r="A401" s="17" t="s">
        <v>1746</v>
      </c>
      <c r="B401" s="17" t="s">
        <v>23</v>
      </c>
      <c r="C401" s="17" t="s">
        <v>72</v>
      </c>
      <c r="D401" s="33">
        <v>45790</v>
      </c>
      <c r="E401" s="33">
        <v>45798</v>
      </c>
      <c r="F401" s="15" t="s">
        <v>27</v>
      </c>
      <c r="G401" s="17" t="s">
        <v>28</v>
      </c>
      <c r="H401" s="37">
        <v>36989</v>
      </c>
      <c r="I401" s="17" t="s">
        <v>44</v>
      </c>
      <c r="J401" s="17" t="s">
        <v>45</v>
      </c>
      <c r="K401" s="17" t="s">
        <v>46</v>
      </c>
      <c r="L401" s="17" t="s">
        <v>78</v>
      </c>
      <c r="M401" s="17">
        <v>16</v>
      </c>
      <c r="N401" s="26">
        <v>1200</v>
      </c>
      <c r="O401" s="17">
        <v>20</v>
      </c>
      <c r="P401" s="26">
        <v>15360</v>
      </c>
      <c r="Q401" s="17">
        <v>1</v>
      </c>
      <c r="R401" s="17" t="s">
        <v>34</v>
      </c>
      <c r="S401" s="17" t="s">
        <v>49</v>
      </c>
      <c r="T401" s="15" t="s">
        <v>50</v>
      </c>
      <c r="U401" s="17">
        <v>9414633966</v>
      </c>
      <c r="V401" s="17" t="s">
        <v>64</v>
      </c>
      <c r="W401" s="47">
        <f t="shared" ca="1" si="18"/>
        <v>25</v>
      </c>
      <c r="X401" s="42">
        <f t="shared" si="19"/>
        <v>8</v>
      </c>
      <c r="Y401" s="42" t="str">
        <f t="shared" si="20"/>
        <v>Delayed</v>
      </c>
    </row>
    <row r="402" spans="1:25" x14ac:dyDescent="0.5">
      <c r="A402" s="15" t="s">
        <v>1750</v>
      </c>
      <c r="B402" s="15" t="s">
        <v>71</v>
      </c>
      <c r="C402" s="15" t="s">
        <v>169</v>
      </c>
      <c r="D402" s="32">
        <v>46018</v>
      </c>
      <c r="E402" s="32">
        <v>46026</v>
      </c>
      <c r="F402" s="15" t="s">
        <v>217</v>
      </c>
      <c r="G402" s="15" t="s">
        <v>76</v>
      </c>
      <c r="H402" s="36">
        <v>30317</v>
      </c>
      <c r="I402" s="15" t="s">
        <v>30</v>
      </c>
      <c r="J402" s="15" t="s">
        <v>31</v>
      </c>
      <c r="K402" s="15" t="s">
        <v>32</v>
      </c>
      <c r="L402" s="15" t="s">
        <v>174</v>
      </c>
      <c r="M402" s="15">
        <v>10</v>
      </c>
      <c r="N402" s="25">
        <v>8500</v>
      </c>
      <c r="O402" s="15">
        <v>5</v>
      </c>
      <c r="P402" s="25">
        <v>80750</v>
      </c>
      <c r="Q402" s="15">
        <v>5</v>
      </c>
      <c r="R402" s="15" t="s">
        <v>48</v>
      </c>
      <c r="S402" s="15" t="s">
        <v>35</v>
      </c>
      <c r="T402" s="15" t="s">
        <v>80</v>
      </c>
      <c r="U402" s="15">
        <v>9833735234</v>
      </c>
      <c r="V402" s="15" t="s">
        <v>38</v>
      </c>
      <c r="W402" s="46">
        <f t="shared" ca="1" si="18"/>
        <v>43</v>
      </c>
      <c r="X402" s="42">
        <f t="shared" si="19"/>
        <v>8</v>
      </c>
      <c r="Y402" s="42" t="str">
        <f t="shared" si="20"/>
        <v>Delayed</v>
      </c>
    </row>
    <row r="403" spans="1:25" x14ac:dyDescent="0.5">
      <c r="A403" s="17" t="s">
        <v>1753</v>
      </c>
      <c r="B403" s="17" t="s">
        <v>23</v>
      </c>
      <c r="C403" s="17" t="s">
        <v>222</v>
      </c>
      <c r="D403" s="33">
        <v>45699</v>
      </c>
      <c r="E403" s="33">
        <v>45709</v>
      </c>
      <c r="F403" s="15" t="s">
        <v>27</v>
      </c>
      <c r="G403" s="17" t="s">
        <v>28</v>
      </c>
      <c r="H403" s="37">
        <v>32729</v>
      </c>
      <c r="I403" s="17" t="s">
        <v>138</v>
      </c>
      <c r="J403" s="17" t="s">
        <v>106</v>
      </c>
      <c r="K403" s="17" t="s">
        <v>122</v>
      </c>
      <c r="L403" s="17" t="s">
        <v>227</v>
      </c>
      <c r="M403" s="17">
        <v>18</v>
      </c>
      <c r="N403" s="26">
        <v>20</v>
      </c>
      <c r="O403" s="17">
        <v>20</v>
      </c>
      <c r="P403" s="26">
        <v>288</v>
      </c>
      <c r="Q403" s="17">
        <v>1</v>
      </c>
      <c r="R403" s="17" t="s">
        <v>88</v>
      </c>
      <c r="S403" s="17" t="s">
        <v>35</v>
      </c>
      <c r="T403" s="15" t="s">
        <v>50</v>
      </c>
      <c r="U403" s="17">
        <v>9523689108</v>
      </c>
      <c r="V403" s="17" t="s">
        <v>64</v>
      </c>
      <c r="W403" s="47">
        <f t="shared" ca="1" si="18"/>
        <v>37</v>
      </c>
      <c r="X403" s="42">
        <f t="shared" si="19"/>
        <v>10</v>
      </c>
      <c r="Y403" s="42" t="str">
        <f t="shared" si="20"/>
        <v>Delayed</v>
      </c>
    </row>
    <row r="404" spans="1:25" x14ac:dyDescent="0.5">
      <c r="A404" s="15" t="s">
        <v>1756</v>
      </c>
      <c r="B404" s="15" t="s">
        <v>71</v>
      </c>
      <c r="C404" s="15" t="s">
        <v>169</v>
      </c>
      <c r="D404" s="32">
        <v>46094</v>
      </c>
      <c r="E404" s="32">
        <v>46100</v>
      </c>
      <c r="F404" s="15" t="s">
        <v>217</v>
      </c>
      <c r="G404" s="15" t="s">
        <v>76</v>
      </c>
      <c r="H404" s="36">
        <v>34264</v>
      </c>
      <c r="I404" s="15" t="s">
        <v>105</v>
      </c>
      <c r="J404" s="15" t="s">
        <v>106</v>
      </c>
      <c r="K404" s="15" t="s">
        <v>32</v>
      </c>
      <c r="L404" s="15" t="s">
        <v>174</v>
      </c>
      <c r="M404" s="15">
        <v>9</v>
      </c>
      <c r="N404" s="25">
        <v>8500</v>
      </c>
      <c r="O404" s="15">
        <v>0</v>
      </c>
      <c r="P404" s="25">
        <v>76500</v>
      </c>
      <c r="Q404" s="15">
        <v>2</v>
      </c>
      <c r="R404" s="15" t="s">
        <v>79</v>
      </c>
      <c r="S404" s="15" t="s">
        <v>35</v>
      </c>
      <c r="T404" s="15" t="s">
        <v>80</v>
      </c>
      <c r="U404" s="15">
        <v>9812909831</v>
      </c>
      <c r="V404" s="15" t="s">
        <v>64</v>
      </c>
      <c r="W404" s="46">
        <f t="shared" ca="1" si="18"/>
        <v>32</v>
      </c>
      <c r="X404" s="42">
        <f t="shared" si="19"/>
        <v>6</v>
      </c>
      <c r="Y404" s="42" t="str">
        <f t="shared" si="20"/>
        <v>Delayed</v>
      </c>
    </row>
    <row r="405" spans="1:25" x14ac:dyDescent="0.5">
      <c r="A405" s="17" t="s">
        <v>1759</v>
      </c>
      <c r="B405" s="17" t="s">
        <v>23</v>
      </c>
      <c r="C405" s="17" t="s">
        <v>169</v>
      </c>
      <c r="D405" s="33">
        <v>45931</v>
      </c>
      <c r="E405" s="33">
        <v>45942</v>
      </c>
      <c r="F405" s="15" t="s">
        <v>27</v>
      </c>
      <c r="G405" s="17" t="s">
        <v>28</v>
      </c>
      <c r="H405" s="37">
        <v>36651</v>
      </c>
      <c r="I405" s="17" t="s">
        <v>105</v>
      </c>
      <c r="J405" s="17" t="s">
        <v>106</v>
      </c>
      <c r="K405" s="17" t="s">
        <v>32</v>
      </c>
      <c r="L405" s="17" t="s">
        <v>174</v>
      </c>
      <c r="M405" s="17">
        <v>8</v>
      </c>
      <c r="N405" s="26">
        <v>8500</v>
      </c>
      <c r="O405" s="17">
        <v>10</v>
      </c>
      <c r="P405" s="26">
        <v>61200</v>
      </c>
      <c r="Q405" s="17">
        <v>4</v>
      </c>
      <c r="R405" s="17" t="s">
        <v>34</v>
      </c>
      <c r="S405" s="17" t="s">
        <v>115</v>
      </c>
      <c r="T405" s="15" t="s">
        <v>50</v>
      </c>
      <c r="U405" s="17">
        <v>9106290987</v>
      </c>
      <c r="V405" s="17" t="s">
        <v>69</v>
      </c>
      <c r="W405" s="47">
        <f t="shared" ca="1" si="18"/>
        <v>26</v>
      </c>
      <c r="X405" s="42">
        <f t="shared" si="19"/>
        <v>11</v>
      </c>
      <c r="Y405" s="42" t="str">
        <f t="shared" si="20"/>
        <v>Delayed</v>
      </c>
    </row>
    <row r="406" spans="1:25" x14ac:dyDescent="0.5">
      <c r="A406" s="15" t="s">
        <v>1763</v>
      </c>
      <c r="B406" s="15" t="s">
        <v>53</v>
      </c>
      <c r="C406" s="15" t="s">
        <v>222</v>
      </c>
      <c r="D406" s="32">
        <v>46048</v>
      </c>
      <c r="E406" s="32">
        <v>46054</v>
      </c>
      <c r="F406" s="15" t="s">
        <v>163</v>
      </c>
      <c r="G406" s="15" t="s">
        <v>28</v>
      </c>
      <c r="H406" s="36">
        <v>30730</v>
      </c>
      <c r="I406" s="15" t="s">
        <v>114</v>
      </c>
      <c r="J406" s="15" t="s">
        <v>106</v>
      </c>
      <c r="K406" s="15" t="s">
        <v>122</v>
      </c>
      <c r="L406" s="15" t="s">
        <v>227</v>
      </c>
      <c r="M406" s="15">
        <v>3</v>
      </c>
      <c r="N406" s="25">
        <v>20</v>
      </c>
      <c r="O406" s="15">
        <v>10</v>
      </c>
      <c r="P406" s="25">
        <v>54</v>
      </c>
      <c r="Q406" s="15">
        <v>3</v>
      </c>
      <c r="R406" s="15" t="s">
        <v>79</v>
      </c>
      <c r="S406" s="15" t="s">
        <v>151</v>
      </c>
      <c r="T406" s="15" t="s">
        <v>62</v>
      </c>
      <c r="U406" s="15">
        <v>9767727724</v>
      </c>
      <c r="V406" s="15" t="s">
        <v>64</v>
      </c>
      <c r="W406" s="46">
        <f t="shared" ca="1" si="18"/>
        <v>42</v>
      </c>
      <c r="X406" s="42">
        <f t="shared" si="19"/>
        <v>6</v>
      </c>
      <c r="Y406" s="42" t="str">
        <f t="shared" si="20"/>
        <v>Delayed</v>
      </c>
    </row>
    <row r="407" spans="1:25" x14ac:dyDescent="0.5">
      <c r="A407" s="17" t="s">
        <v>1767</v>
      </c>
      <c r="B407" s="17" t="s">
        <v>168</v>
      </c>
      <c r="C407" s="17" t="s">
        <v>169</v>
      </c>
      <c r="D407" s="33">
        <v>45840</v>
      </c>
      <c r="E407" s="33">
        <v>45850</v>
      </c>
      <c r="F407" s="15" t="s">
        <v>361</v>
      </c>
      <c r="G407" s="17" t="s">
        <v>28</v>
      </c>
      <c r="H407" s="37">
        <v>33402</v>
      </c>
      <c r="I407" s="17" t="s">
        <v>294</v>
      </c>
      <c r="J407" s="17" t="s">
        <v>295</v>
      </c>
      <c r="K407" s="17" t="s">
        <v>32</v>
      </c>
      <c r="L407" s="17" t="s">
        <v>174</v>
      </c>
      <c r="M407" s="17">
        <v>18</v>
      </c>
      <c r="N407" s="26">
        <v>8500</v>
      </c>
      <c r="O407" s="17">
        <v>10</v>
      </c>
      <c r="P407" s="26">
        <v>137700</v>
      </c>
      <c r="Q407" s="17">
        <v>4</v>
      </c>
      <c r="R407" s="17" t="s">
        <v>34</v>
      </c>
      <c r="S407" s="17" t="s">
        <v>49</v>
      </c>
      <c r="T407" s="15" t="s">
        <v>175</v>
      </c>
      <c r="U407" s="17">
        <v>9865401727</v>
      </c>
      <c r="V407" s="17" t="s">
        <v>69</v>
      </c>
      <c r="W407" s="47">
        <f t="shared" ca="1" si="18"/>
        <v>35</v>
      </c>
      <c r="X407" s="42">
        <f t="shared" si="19"/>
        <v>10</v>
      </c>
      <c r="Y407" s="42" t="str">
        <f t="shared" si="20"/>
        <v>Delayed</v>
      </c>
    </row>
    <row r="408" spans="1:25" x14ac:dyDescent="0.5">
      <c r="A408" s="15" t="s">
        <v>1770</v>
      </c>
      <c r="B408" s="15" t="s">
        <v>53</v>
      </c>
      <c r="C408" s="15" t="s">
        <v>259</v>
      </c>
      <c r="D408" s="32">
        <v>45935</v>
      </c>
      <c r="E408" s="32">
        <v>45939</v>
      </c>
      <c r="F408" s="15" t="s">
        <v>163</v>
      </c>
      <c r="G408" s="15" t="s">
        <v>28</v>
      </c>
      <c r="H408" s="36">
        <v>35204</v>
      </c>
      <c r="I408" s="15" t="s">
        <v>114</v>
      </c>
      <c r="J408" s="15" t="s">
        <v>106</v>
      </c>
      <c r="K408" s="15" t="s">
        <v>122</v>
      </c>
      <c r="L408" s="15" t="s">
        <v>263</v>
      </c>
      <c r="M408" s="15">
        <v>5</v>
      </c>
      <c r="N408" s="25">
        <v>45</v>
      </c>
      <c r="O408" s="15">
        <v>10</v>
      </c>
      <c r="P408" s="25">
        <v>202.5</v>
      </c>
      <c r="Q408" s="15">
        <v>3</v>
      </c>
      <c r="R408" s="15" t="s">
        <v>34</v>
      </c>
      <c r="S408" s="15" t="s">
        <v>115</v>
      </c>
      <c r="T408" s="15" t="s">
        <v>62</v>
      </c>
      <c r="U408" s="15">
        <v>9603848571</v>
      </c>
      <c r="V408" s="15" t="s">
        <v>64</v>
      </c>
      <c r="W408" s="46">
        <f t="shared" ca="1" si="18"/>
        <v>30</v>
      </c>
      <c r="X408" s="42">
        <f t="shared" si="19"/>
        <v>4</v>
      </c>
      <c r="Y408" s="42" t="str">
        <f t="shared" si="20"/>
        <v xml:space="preserve">On Time </v>
      </c>
    </row>
    <row r="409" spans="1:25" x14ac:dyDescent="0.5">
      <c r="A409" s="17" t="s">
        <v>1773</v>
      </c>
      <c r="B409" s="17" t="s">
        <v>71</v>
      </c>
      <c r="C409" s="17" t="s">
        <v>259</v>
      </c>
      <c r="D409" s="33">
        <v>45807</v>
      </c>
      <c r="E409" s="33">
        <v>45810</v>
      </c>
      <c r="F409" s="15" t="s">
        <v>217</v>
      </c>
      <c r="G409" s="17" t="s">
        <v>76</v>
      </c>
      <c r="H409" s="37">
        <v>33747</v>
      </c>
      <c r="I409" s="17" t="s">
        <v>105</v>
      </c>
      <c r="J409" s="17" t="s">
        <v>106</v>
      </c>
      <c r="K409" s="17" t="s">
        <v>122</v>
      </c>
      <c r="L409" s="17" t="s">
        <v>263</v>
      </c>
      <c r="M409" s="17">
        <v>2</v>
      </c>
      <c r="N409" s="26">
        <v>45</v>
      </c>
      <c r="O409" s="17">
        <v>20</v>
      </c>
      <c r="P409" s="26">
        <v>72</v>
      </c>
      <c r="Q409" s="17">
        <v>5</v>
      </c>
      <c r="R409" s="17" t="s">
        <v>88</v>
      </c>
      <c r="S409" s="17" t="s">
        <v>61</v>
      </c>
      <c r="T409" s="15" t="s">
        <v>80</v>
      </c>
      <c r="U409" s="17">
        <v>9101231789</v>
      </c>
      <c r="V409" s="17" t="s">
        <v>69</v>
      </c>
      <c r="W409" s="47">
        <f t="shared" ca="1" si="18"/>
        <v>34</v>
      </c>
      <c r="X409" s="42">
        <f t="shared" si="19"/>
        <v>3</v>
      </c>
      <c r="Y409" s="42" t="str">
        <f t="shared" si="20"/>
        <v xml:space="preserve">On Time </v>
      </c>
    </row>
    <row r="410" spans="1:25" x14ac:dyDescent="0.5">
      <c r="A410" s="15" t="s">
        <v>1776</v>
      </c>
      <c r="B410" s="15" t="s">
        <v>100</v>
      </c>
      <c r="C410" s="15" t="s">
        <v>259</v>
      </c>
      <c r="D410" s="32">
        <v>45684</v>
      </c>
      <c r="E410" s="32">
        <v>45694</v>
      </c>
      <c r="F410" s="15" t="s">
        <v>103</v>
      </c>
      <c r="G410" s="15" t="s">
        <v>28</v>
      </c>
      <c r="H410" s="36">
        <v>32309</v>
      </c>
      <c r="I410" s="15" t="s">
        <v>30</v>
      </c>
      <c r="J410" s="15" t="s">
        <v>31</v>
      </c>
      <c r="K410" s="15" t="s">
        <v>122</v>
      </c>
      <c r="L410" s="15" t="s">
        <v>263</v>
      </c>
      <c r="M410" s="15">
        <v>18</v>
      </c>
      <c r="N410" s="25">
        <v>45</v>
      </c>
      <c r="O410" s="15">
        <v>10</v>
      </c>
      <c r="P410" s="25">
        <v>729</v>
      </c>
      <c r="Q410" s="15">
        <v>2</v>
      </c>
      <c r="R410" s="15" t="s">
        <v>48</v>
      </c>
      <c r="S410" s="15" t="s">
        <v>115</v>
      </c>
      <c r="T410" s="15" t="s">
        <v>144</v>
      </c>
      <c r="U410" s="15">
        <v>9485017802</v>
      </c>
      <c r="V410" s="15" t="s">
        <v>64</v>
      </c>
      <c r="W410" s="46">
        <f t="shared" ca="1" si="18"/>
        <v>38</v>
      </c>
      <c r="X410" s="42">
        <f t="shared" si="19"/>
        <v>10</v>
      </c>
      <c r="Y410" s="42" t="str">
        <f t="shared" si="20"/>
        <v>Delayed</v>
      </c>
    </row>
    <row r="411" spans="1:25" x14ac:dyDescent="0.5">
      <c r="A411" s="17" t="s">
        <v>1779</v>
      </c>
      <c r="B411" s="17" t="s">
        <v>127</v>
      </c>
      <c r="C411" s="17" t="s">
        <v>72</v>
      </c>
      <c r="D411" s="33">
        <v>46015</v>
      </c>
      <c r="E411" s="33">
        <v>46023</v>
      </c>
      <c r="F411" s="15" t="s">
        <v>200</v>
      </c>
      <c r="G411" s="17" t="s">
        <v>76</v>
      </c>
      <c r="H411" s="37">
        <v>34172</v>
      </c>
      <c r="I411" s="17" t="s">
        <v>294</v>
      </c>
      <c r="J411" s="17" t="s">
        <v>295</v>
      </c>
      <c r="K411" s="17" t="s">
        <v>46</v>
      </c>
      <c r="L411" s="17" t="s">
        <v>78</v>
      </c>
      <c r="M411" s="17">
        <v>13</v>
      </c>
      <c r="N411" s="26">
        <v>1200</v>
      </c>
      <c r="O411" s="17">
        <v>5</v>
      </c>
      <c r="P411" s="26">
        <v>14820</v>
      </c>
      <c r="Q411" s="17">
        <v>4</v>
      </c>
      <c r="R411" s="17" t="s">
        <v>79</v>
      </c>
      <c r="S411" s="17" t="s">
        <v>115</v>
      </c>
      <c r="T411" s="15" t="s">
        <v>132</v>
      </c>
      <c r="U411" s="17">
        <v>9815464650</v>
      </c>
      <c r="V411" s="17" t="s">
        <v>38</v>
      </c>
      <c r="W411" s="47">
        <f t="shared" ca="1" si="18"/>
        <v>33</v>
      </c>
      <c r="X411" s="42">
        <f t="shared" si="19"/>
        <v>8</v>
      </c>
      <c r="Y411" s="42" t="str">
        <f t="shared" si="20"/>
        <v>Delayed</v>
      </c>
    </row>
    <row r="412" spans="1:25" x14ac:dyDescent="0.5">
      <c r="A412" s="15" t="s">
        <v>1782</v>
      </c>
      <c r="B412" s="15" t="s">
        <v>23</v>
      </c>
      <c r="C412" s="15" t="s">
        <v>222</v>
      </c>
      <c r="D412" s="32">
        <v>46153</v>
      </c>
      <c r="E412" s="32">
        <v>46159</v>
      </c>
      <c r="F412" s="15" t="s">
        <v>27</v>
      </c>
      <c r="G412" s="15" t="s">
        <v>28</v>
      </c>
      <c r="H412" s="36">
        <v>38020</v>
      </c>
      <c r="I412" s="15" t="s">
        <v>30</v>
      </c>
      <c r="J412" s="15" t="s">
        <v>31</v>
      </c>
      <c r="K412" s="15" t="s">
        <v>122</v>
      </c>
      <c r="L412" s="15" t="s">
        <v>227</v>
      </c>
      <c r="M412" s="15">
        <v>14</v>
      </c>
      <c r="N412" s="25">
        <v>20</v>
      </c>
      <c r="O412" s="15">
        <v>20</v>
      </c>
      <c r="P412" s="25">
        <v>224</v>
      </c>
      <c r="Q412" s="15">
        <v>5</v>
      </c>
      <c r="R412" s="15" t="s">
        <v>88</v>
      </c>
      <c r="S412" s="15" t="s">
        <v>49</v>
      </c>
      <c r="T412" s="15" t="s">
        <v>50</v>
      </c>
      <c r="U412" s="15">
        <v>9860715839</v>
      </c>
      <c r="V412" s="15" t="s">
        <v>64</v>
      </c>
      <c r="W412" s="46">
        <f t="shared" ca="1" si="18"/>
        <v>22</v>
      </c>
      <c r="X412" s="42">
        <f t="shared" si="19"/>
        <v>6</v>
      </c>
      <c r="Y412" s="42" t="str">
        <f t="shared" si="20"/>
        <v>Delayed</v>
      </c>
    </row>
    <row r="413" spans="1:25" x14ac:dyDescent="0.5">
      <c r="A413" s="17" t="s">
        <v>1786</v>
      </c>
      <c r="B413" s="17" t="s">
        <v>100</v>
      </c>
      <c r="C413" s="17" t="s">
        <v>92</v>
      </c>
      <c r="D413" s="33">
        <v>46064</v>
      </c>
      <c r="E413" s="33">
        <v>46076</v>
      </c>
      <c r="F413" s="15" t="s">
        <v>103</v>
      </c>
      <c r="G413" s="17" t="s">
        <v>28</v>
      </c>
      <c r="H413" s="37">
        <v>28847</v>
      </c>
      <c r="I413" s="17" t="s">
        <v>30</v>
      </c>
      <c r="J413" s="17" t="s">
        <v>31</v>
      </c>
      <c r="K413" s="17" t="s">
        <v>32</v>
      </c>
      <c r="L413" s="17" t="s">
        <v>97</v>
      </c>
      <c r="M413" s="17">
        <v>16</v>
      </c>
      <c r="N413" s="26">
        <v>3500</v>
      </c>
      <c r="O413" s="17">
        <v>15</v>
      </c>
      <c r="P413" s="26">
        <v>47600</v>
      </c>
      <c r="Q413" s="17">
        <v>3</v>
      </c>
      <c r="R413" s="17" t="s">
        <v>88</v>
      </c>
      <c r="S413" s="17" t="s">
        <v>61</v>
      </c>
      <c r="T413" s="15" t="s">
        <v>144</v>
      </c>
      <c r="U413" s="17">
        <v>9207561051</v>
      </c>
      <c r="V413" s="17" t="s">
        <v>69</v>
      </c>
      <c r="W413" s="47">
        <f t="shared" ca="1" si="18"/>
        <v>47</v>
      </c>
      <c r="X413" s="42">
        <f t="shared" si="19"/>
        <v>12</v>
      </c>
      <c r="Y413" s="42" t="str">
        <f t="shared" si="20"/>
        <v>Delayed</v>
      </c>
    </row>
    <row r="414" spans="1:25" x14ac:dyDescent="0.5">
      <c r="A414" s="15" t="s">
        <v>1790</v>
      </c>
      <c r="B414" s="15" t="s">
        <v>251</v>
      </c>
      <c r="C414" s="15" t="s">
        <v>222</v>
      </c>
      <c r="D414" s="32">
        <v>45704</v>
      </c>
      <c r="E414" s="32">
        <v>45712</v>
      </c>
      <c r="F414" s="15" t="s">
        <v>254</v>
      </c>
      <c r="G414" s="15" t="s">
        <v>28</v>
      </c>
      <c r="H414" s="36">
        <v>34257</v>
      </c>
      <c r="I414" s="15" t="s">
        <v>59</v>
      </c>
      <c r="J414" s="15" t="s">
        <v>31</v>
      </c>
      <c r="K414" s="15" t="s">
        <v>122</v>
      </c>
      <c r="L414" s="15" t="s">
        <v>227</v>
      </c>
      <c r="M414" s="15">
        <v>20</v>
      </c>
      <c r="N414" s="25">
        <v>20</v>
      </c>
      <c r="O414" s="15">
        <v>15</v>
      </c>
      <c r="P414" s="25">
        <v>340</v>
      </c>
      <c r="Q414" s="15">
        <v>1</v>
      </c>
      <c r="R414" s="15" t="s">
        <v>48</v>
      </c>
      <c r="S414" s="15" t="s">
        <v>61</v>
      </c>
      <c r="T414" s="15" t="s">
        <v>256</v>
      </c>
      <c r="U414" s="15">
        <v>9159894508</v>
      </c>
      <c r="V414" s="15" t="s">
        <v>69</v>
      </c>
      <c r="W414" s="46">
        <f t="shared" ca="1" si="18"/>
        <v>33</v>
      </c>
      <c r="X414" s="42">
        <f t="shared" si="19"/>
        <v>8</v>
      </c>
      <c r="Y414" s="42" t="str">
        <f t="shared" si="20"/>
        <v>Delayed</v>
      </c>
    </row>
    <row r="415" spans="1:25" x14ac:dyDescent="0.5">
      <c r="A415" s="17" t="s">
        <v>1793</v>
      </c>
      <c r="B415" s="17" t="s">
        <v>168</v>
      </c>
      <c r="C415" s="17" t="s">
        <v>54</v>
      </c>
      <c r="D415" s="33">
        <v>45756</v>
      </c>
      <c r="E415" s="33">
        <v>45761</v>
      </c>
      <c r="F415" s="15" t="s">
        <v>361</v>
      </c>
      <c r="G415" s="17" t="s">
        <v>28</v>
      </c>
      <c r="H415" s="37">
        <v>29201</v>
      </c>
      <c r="I415" s="17" t="s">
        <v>138</v>
      </c>
      <c r="J415" s="17" t="s">
        <v>106</v>
      </c>
      <c r="K415" s="17" t="s">
        <v>46</v>
      </c>
      <c r="L415" s="17" t="s">
        <v>60</v>
      </c>
      <c r="M415" s="17">
        <v>1</v>
      </c>
      <c r="N415" s="26">
        <v>55000</v>
      </c>
      <c r="O415" s="17">
        <v>15</v>
      </c>
      <c r="P415" s="26">
        <v>46750</v>
      </c>
      <c r="Q415" s="17">
        <v>2</v>
      </c>
      <c r="R415" s="17" t="s">
        <v>88</v>
      </c>
      <c r="S415" s="17" t="s">
        <v>115</v>
      </c>
      <c r="T415" s="15" t="s">
        <v>175</v>
      </c>
      <c r="U415" s="17">
        <v>9531465024</v>
      </c>
      <c r="V415" s="17" t="s">
        <v>69</v>
      </c>
      <c r="W415" s="47">
        <f t="shared" ca="1" si="18"/>
        <v>46</v>
      </c>
      <c r="X415" s="42">
        <f t="shared" si="19"/>
        <v>5</v>
      </c>
      <c r="Y415" s="42" t="str">
        <f t="shared" si="20"/>
        <v xml:space="preserve">On Time </v>
      </c>
    </row>
    <row r="416" spans="1:25" x14ac:dyDescent="0.5">
      <c r="A416" s="15" t="s">
        <v>1796</v>
      </c>
      <c r="B416" s="15" t="s">
        <v>100</v>
      </c>
      <c r="C416" s="15" t="s">
        <v>118</v>
      </c>
      <c r="D416" s="32">
        <v>45672</v>
      </c>
      <c r="E416" s="32">
        <v>45677</v>
      </c>
      <c r="F416" s="15" t="s">
        <v>103</v>
      </c>
      <c r="G416" s="15" t="s">
        <v>28</v>
      </c>
      <c r="H416" s="36">
        <v>37400</v>
      </c>
      <c r="I416" s="15" t="s">
        <v>138</v>
      </c>
      <c r="J416" s="15" t="s">
        <v>106</v>
      </c>
      <c r="K416" s="15" t="s">
        <v>122</v>
      </c>
      <c r="L416" s="15" t="s">
        <v>123</v>
      </c>
      <c r="M416" s="15">
        <v>15</v>
      </c>
      <c r="N416" s="25">
        <v>60</v>
      </c>
      <c r="O416" s="15">
        <v>5</v>
      </c>
      <c r="P416" s="25">
        <v>855</v>
      </c>
      <c r="Q416" s="15">
        <v>4</v>
      </c>
      <c r="R416" s="15" t="s">
        <v>48</v>
      </c>
      <c r="S416" s="15" t="s">
        <v>61</v>
      </c>
      <c r="T416" s="15" t="s">
        <v>144</v>
      </c>
      <c r="U416" s="15">
        <v>9158813608</v>
      </c>
      <c r="V416" s="15" t="s">
        <v>38</v>
      </c>
      <c r="W416" s="46">
        <f t="shared" ca="1" si="18"/>
        <v>24</v>
      </c>
      <c r="X416" s="42">
        <f t="shared" si="19"/>
        <v>5</v>
      </c>
      <c r="Y416" s="42" t="str">
        <f t="shared" si="20"/>
        <v xml:space="preserve">On Time </v>
      </c>
    </row>
    <row r="417" spans="1:25" x14ac:dyDescent="0.5">
      <c r="A417" s="17" t="s">
        <v>1799</v>
      </c>
      <c r="B417" s="17" t="s">
        <v>83</v>
      </c>
      <c r="C417" s="17" t="s">
        <v>184</v>
      </c>
      <c r="D417" s="33">
        <v>46108</v>
      </c>
      <c r="E417" s="33">
        <v>46114</v>
      </c>
      <c r="F417" s="15" t="s">
        <v>180</v>
      </c>
      <c r="G417" s="17" t="s">
        <v>76</v>
      </c>
      <c r="H417" s="37">
        <v>27828</v>
      </c>
      <c r="I417" s="17" t="s">
        <v>105</v>
      </c>
      <c r="J417" s="17" t="s">
        <v>106</v>
      </c>
      <c r="K417" s="17" t="s">
        <v>46</v>
      </c>
      <c r="L417" s="17" t="s">
        <v>189</v>
      </c>
      <c r="M417" s="17">
        <v>15</v>
      </c>
      <c r="N417" s="26">
        <v>700</v>
      </c>
      <c r="O417" s="17">
        <v>0</v>
      </c>
      <c r="P417" s="26">
        <v>10500</v>
      </c>
      <c r="Q417" s="17">
        <v>5</v>
      </c>
      <c r="R417" s="17" t="s">
        <v>48</v>
      </c>
      <c r="S417" s="17" t="s">
        <v>115</v>
      </c>
      <c r="T417" s="15" t="s">
        <v>89</v>
      </c>
      <c r="U417" s="17">
        <v>9308461700</v>
      </c>
      <c r="V417" s="17" t="s">
        <v>38</v>
      </c>
      <c r="W417" s="47">
        <f t="shared" ca="1" si="18"/>
        <v>50</v>
      </c>
      <c r="X417" s="42">
        <f t="shared" si="19"/>
        <v>6</v>
      </c>
      <c r="Y417" s="42" t="str">
        <f t="shared" si="20"/>
        <v>Delayed</v>
      </c>
    </row>
    <row r="418" spans="1:25" x14ac:dyDescent="0.5">
      <c r="A418" s="15" t="s">
        <v>1803</v>
      </c>
      <c r="B418" s="15" t="s">
        <v>221</v>
      </c>
      <c r="C418" s="15" t="s">
        <v>40</v>
      </c>
      <c r="D418" s="32">
        <v>46027</v>
      </c>
      <c r="E418" s="32">
        <v>46031</v>
      </c>
      <c r="F418" s="15" t="s">
        <v>225</v>
      </c>
      <c r="G418" s="15" t="s">
        <v>76</v>
      </c>
      <c r="H418" s="36">
        <v>29484</v>
      </c>
      <c r="I418" s="15" t="s">
        <v>294</v>
      </c>
      <c r="J418" s="15" t="s">
        <v>295</v>
      </c>
      <c r="K418" s="15" t="s">
        <v>46</v>
      </c>
      <c r="L418" s="15" t="s">
        <v>47</v>
      </c>
      <c r="M418" s="15">
        <v>13</v>
      </c>
      <c r="N418" s="25">
        <v>12000</v>
      </c>
      <c r="O418" s="15">
        <v>10</v>
      </c>
      <c r="P418" s="25">
        <v>140400</v>
      </c>
      <c r="Q418" s="15">
        <v>1</v>
      </c>
      <c r="R418" s="15" t="s">
        <v>34</v>
      </c>
      <c r="S418" s="15" t="s">
        <v>151</v>
      </c>
      <c r="T418" s="15" t="s">
        <v>228</v>
      </c>
      <c r="U418" s="15">
        <v>9882279049</v>
      </c>
      <c r="V418" s="15" t="s">
        <v>69</v>
      </c>
      <c r="W418" s="46">
        <f t="shared" ca="1" si="18"/>
        <v>46</v>
      </c>
      <c r="X418" s="42">
        <f t="shared" si="19"/>
        <v>4</v>
      </c>
      <c r="Y418" s="42" t="str">
        <f t="shared" si="20"/>
        <v xml:space="preserve">On Time </v>
      </c>
    </row>
    <row r="419" spans="1:25" x14ac:dyDescent="0.5">
      <c r="A419" s="17" t="s">
        <v>1806</v>
      </c>
      <c r="B419" s="17" t="s">
        <v>83</v>
      </c>
      <c r="C419" s="17" t="s">
        <v>40</v>
      </c>
      <c r="D419" s="33">
        <v>46129</v>
      </c>
      <c r="E419" s="33">
        <v>46141</v>
      </c>
      <c r="F419" s="15" t="s">
        <v>180</v>
      </c>
      <c r="G419" s="17" t="s">
        <v>76</v>
      </c>
      <c r="H419" s="37">
        <v>32318</v>
      </c>
      <c r="I419" s="17" t="s">
        <v>30</v>
      </c>
      <c r="J419" s="17" t="s">
        <v>31</v>
      </c>
      <c r="K419" s="17" t="s">
        <v>46</v>
      </c>
      <c r="L419" s="17" t="s">
        <v>47</v>
      </c>
      <c r="M419" s="17">
        <v>12</v>
      </c>
      <c r="N419" s="26">
        <v>12000</v>
      </c>
      <c r="O419" s="17">
        <v>20</v>
      </c>
      <c r="P419" s="26">
        <v>115200</v>
      </c>
      <c r="Q419" s="17">
        <v>2</v>
      </c>
      <c r="R419" s="17" t="s">
        <v>34</v>
      </c>
      <c r="S419" s="17" t="s">
        <v>35</v>
      </c>
      <c r="T419" s="15" t="s">
        <v>89</v>
      </c>
      <c r="U419" s="17">
        <v>9961801338</v>
      </c>
      <c r="V419" s="17" t="s">
        <v>38</v>
      </c>
      <c r="W419" s="47">
        <f t="shared" ca="1" si="18"/>
        <v>38</v>
      </c>
      <c r="X419" s="42">
        <f t="shared" si="19"/>
        <v>12</v>
      </c>
      <c r="Y419" s="42" t="str">
        <f t="shared" si="20"/>
        <v>Delayed</v>
      </c>
    </row>
    <row r="420" spans="1:25" x14ac:dyDescent="0.5">
      <c r="A420" s="15" t="s">
        <v>1810</v>
      </c>
      <c r="B420" s="15" t="s">
        <v>83</v>
      </c>
      <c r="C420" s="15" t="s">
        <v>259</v>
      </c>
      <c r="D420" s="32">
        <v>45741</v>
      </c>
      <c r="E420" s="32">
        <v>45745</v>
      </c>
      <c r="F420" s="15" t="s">
        <v>180</v>
      </c>
      <c r="G420" s="15" t="s">
        <v>76</v>
      </c>
      <c r="H420" s="36">
        <v>37783</v>
      </c>
      <c r="I420" s="15" t="s">
        <v>105</v>
      </c>
      <c r="J420" s="15" t="s">
        <v>106</v>
      </c>
      <c r="K420" s="15" t="s">
        <v>122</v>
      </c>
      <c r="L420" s="15" t="s">
        <v>263</v>
      </c>
      <c r="M420" s="15">
        <v>10</v>
      </c>
      <c r="N420" s="25">
        <v>45</v>
      </c>
      <c r="O420" s="15">
        <v>0</v>
      </c>
      <c r="P420" s="25">
        <v>450</v>
      </c>
      <c r="Q420" s="15">
        <v>5</v>
      </c>
      <c r="R420" s="15" t="s">
        <v>79</v>
      </c>
      <c r="S420" s="15" t="s">
        <v>115</v>
      </c>
      <c r="T420" s="15" t="s">
        <v>89</v>
      </c>
      <c r="U420" s="15">
        <v>9853525026</v>
      </c>
      <c r="V420" s="15" t="s">
        <v>69</v>
      </c>
      <c r="W420" s="46">
        <f t="shared" ca="1" si="18"/>
        <v>23</v>
      </c>
      <c r="X420" s="42">
        <f t="shared" si="19"/>
        <v>4</v>
      </c>
      <c r="Y420" s="42" t="str">
        <f t="shared" si="20"/>
        <v xml:space="preserve">On Time </v>
      </c>
    </row>
    <row r="421" spans="1:25" x14ac:dyDescent="0.5">
      <c r="A421" s="17" t="s">
        <v>1813</v>
      </c>
      <c r="B421" s="17" t="s">
        <v>127</v>
      </c>
      <c r="C421" s="17" t="s">
        <v>72</v>
      </c>
      <c r="D421" s="33">
        <v>45774</v>
      </c>
      <c r="E421" s="33">
        <v>45786</v>
      </c>
      <c r="F421" s="15" t="s">
        <v>200</v>
      </c>
      <c r="G421" s="17" t="s">
        <v>76</v>
      </c>
      <c r="H421" s="37">
        <v>29930</v>
      </c>
      <c r="I421" s="17" t="s">
        <v>105</v>
      </c>
      <c r="J421" s="17" t="s">
        <v>106</v>
      </c>
      <c r="K421" s="17" t="s">
        <v>46</v>
      </c>
      <c r="L421" s="17" t="s">
        <v>78</v>
      </c>
      <c r="M421" s="17">
        <v>20</v>
      </c>
      <c r="N421" s="26">
        <v>1200</v>
      </c>
      <c r="O421" s="17">
        <v>20</v>
      </c>
      <c r="P421" s="26">
        <v>19200</v>
      </c>
      <c r="Q421" s="17">
        <v>5</v>
      </c>
      <c r="R421" s="17" t="s">
        <v>48</v>
      </c>
      <c r="S421" s="17" t="s">
        <v>61</v>
      </c>
      <c r="T421" s="15" t="s">
        <v>132</v>
      </c>
      <c r="U421" s="17">
        <v>9209649485</v>
      </c>
      <c r="V421" s="17" t="s">
        <v>69</v>
      </c>
      <c r="W421" s="47">
        <f t="shared" ca="1" si="18"/>
        <v>44</v>
      </c>
      <c r="X421" s="42">
        <f t="shared" si="19"/>
        <v>12</v>
      </c>
      <c r="Y421" s="42" t="str">
        <f t="shared" si="20"/>
        <v>Delayed</v>
      </c>
    </row>
    <row r="422" spans="1:25" x14ac:dyDescent="0.5">
      <c r="A422" s="15" t="s">
        <v>1816</v>
      </c>
      <c r="B422" s="15" t="s">
        <v>71</v>
      </c>
      <c r="C422" s="15" t="s">
        <v>72</v>
      </c>
      <c r="D422" s="32">
        <v>45919</v>
      </c>
      <c r="E422" s="32">
        <v>45926</v>
      </c>
      <c r="F422" s="15" t="s">
        <v>217</v>
      </c>
      <c r="G422" s="15" t="s">
        <v>76</v>
      </c>
      <c r="H422" s="36">
        <v>27449</v>
      </c>
      <c r="I422" s="15" t="s">
        <v>114</v>
      </c>
      <c r="J422" s="15" t="s">
        <v>106</v>
      </c>
      <c r="K422" s="15" t="s">
        <v>46</v>
      </c>
      <c r="L422" s="15" t="s">
        <v>78</v>
      </c>
      <c r="M422" s="15">
        <v>8</v>
      </c>
      <c r="N422" s="25">
        <v>1200</v>
      </c>
      <c r="O422" s="15">
        <v>10</v>
      </c>
      <c r="P422" s="25">
        <v>8640</v>
      </c>
      <c r="Q422" s="15">
        <v>4</v>
      </c>
      <c r="R422" s="15" t="s">
        <v>48</v>
      </c>
      <c r="S422" s="15" t="s">
        <v>61</v>
      </c>
      <c r="T422" s="15" t="s">
        <v>80</v>
      </c>
      <c r="U422" s="15">
        <v>9712905525</v>
      </c>
      <c r="V422" s="15" t="s">
        <v>38</v>
      </c>
      <c r="W422" s="46">
        <f t="shared" ca="1" si="18"/>
        <v>51</v>
      </c>
      <c r="X422" s="42">
        <f t="shared" si="19"/>
        <v>7</v>
      </c>
      <c r="Y422" s="42" t="str">
        <f t="shared" si="20"/>
        <v>Delayed</v>
      </c>
    </row>
    <row r="423" spans="1:25" x14ac:dyDescent="0.5">
      <c r="A423" s="17" t="s">
        <v>1820</v>
      </c>
      <c r="B423" s="17" t="s">
        <v>127</v>
      </c>
      <c r="C423" s="17" t="s">
        <v>72</v>
      </c>
      <c r="D423" s="33">
        <v>45795</v>
      </c>
      <c r="E423" s="33">
        <v>45797</v>
      </c>
      <c r="F423" s="15" t="s">
        <v>200</v>
      </c>
      <c r="G423" s="17" t="s">
        <v>76</v>
      </c>
      <c r="H423" s="37">
        <v>28395</v>
      </c>
      <c r="I423" s="17" t="s">
        <v>212</v>
      </c>
      <c r="J423" s="17" t="s">
        <v>45</v>
      </c>
      <c r="K423" s="17" t="s">
        <v>46</v>
      </c>
      <c r="L423" s="17" t="s">
        <v>78</v>
      </c>
      <c r="M423" s="17">
        <v>8</v>
      </c>
      <c r="N423" s="26">
        <v>1200</v>
      </c>
      <c r="O423" s="17">
        <v>10</v>
      </c>
      <c r="P423" s="26">
        <v>8640</v>
      </c>
      <c r="Q423" s="17">
        <v>5</v>
      </c>
      <c r="R423" s="17" t="s">
        <v>79</v>
      </c>
      <c r="S423" s="17" t="s">
        <v>49</v>
      </c>
      <c r="T423" s="15" t="s">
        <v>132</v>
      </c>
      <c r="U423" s="17">
        <v>9812472447</v>
      </c>
      <c r="V423" s="17" t="s">
        <v>69</v>
      </c>
      <c r="W423" s="47">
        <f t="shared" ca="1" si="18"/>
        <v>49</v>
      </c>
      <c r="X423" s="42">
        <f t="shared" si="19"/>
        <v>2</v>
      </c>
      <c r="Y423" s="42" t="str">
        <f t="shared" si="20"/>
        <v xml:space="preserve">On Time </v>
      </c>
    </row>
    <row r="424" spans="1:25" x14ac:dyDescent="0.5">
      <c r="A424" s="15" t="s">
        <v>1823</v>
      </c>
      <c r="B424" s="15" t="s">
        <v>327</v>
      </c>
      <c r="C424" s="15" t="s">
        <v>24</v>
      </c>
      <c r="D424" s="32">
        <v>46020</v>
      </c>
      <c r="E424" s="32">
        <v>46021</v>
      </c>
      <c r="F424" s="15" t="s">
        <v>394</v>
      </c>
      <c r="G424" s="15" t="s">
        <v>76</v>
      </c>
      <c r="H424" s="36">
        <v>32136</v>
      </c>
      <c r="I424" s="15" t="s">
        <v>212</v>
      </c>
      <c r="J424" s="15" t="s">
        <v>45</v>
      </c>
      <c r="K424" s="15" t="s">
        <v>32</v>
      </c>
      <c r="L424" s="15" t="s">
        <v>33</v>
      </c>
      <c r="M424" s="15">
        <v>9</v>
      </c>
      <c r="N424" s="25">
        <v>2200</v>
      </c>
      <c r="O424" s="15">
        <v>20</v>
      </c>
      <c r="P424" s="25">
        <v>15840</v>
      </c>
      <c r="Q424" s="15">
        <v>1</v>
      </c>
      <c r="R424" s="15" t="s">
        <v>48</v>
      </c>
      <c r="S424" s="15" t="s">
        <v>115</v>
      </c>
      <c r="T424" s="15" t="s">
        <v>332</v>
      </c>
      <c r="U424" s="15">
        <v>9281127052</v>
      </c>
      <c r="V424" s="15" t="s">
        <v>38</v>
      </c>
      <c r="W424" s="46">
        <f t="shared" ca="1" si="18"/>
        <v>38</v>
      </c>
      <c r="X424" s="42">
        <f t="shared" si="19"/>
        <v>1</v>
      </c>
      <c r="Y424" s="42" t="str">
        <f t="shared" si="20"/>
        <v xml:space="preserve">On Time </v>
      </c>
    </row>
    <row r="425" spans="1:25" x14ac:dyDescent="0.5">
      <c r="A425" s="17" t="s">
        <v>1827</v>
      </c>
      <c r="B425" s="17" t="s">
        <v>127</v>
      </c>
      <c r="C425" s="17" t="s">
        <v>222</v>
      </c>
      <c r="D425" s="33">
        <v>45669</v>
      </c>
      <c r="E425" s="33">
        <v>45673</v>
      </c>
      <c r="F425" s="15" t="s">
        <v>200</v>
      </c>
      <c r="G425" s="17" t="s">
        <v>76</v>
      </c>
      <c r="H425" s="37">
        <v>36973</v>
      </c>
      <c r="I425" s="17" t="s">
        <v>294</v>
      </c>
      <c r="J425" s="17" t="s">
        <v>295</v>
      </c>
      <c r="K425" s="17" t="s">
        <v>122</v>
      </c>
      <c r="L425" s="17" t="s">
        <v>227</v>
      </c>
      <c r="M425" s="17">
        <v>8</v>
      </c>
      <c r="N425" s="26">
        <v>20</v>
      </c>
      <c r="O425" s="17">
        <v>20</v>
      </c>
      <c r="P425" s="26">
        <v>128</v>
      </c>
      <c r="Q425" s="17">
        <v>4</v>
      </c>
      <c r="R425" s="17" t="s">
        <v>34</v>
      </c>
      <c r="S425" s="17" t="s">
        <v>35</v>
      </c>
      <c r="T425" s="15" t="s">
        <v>132</v>
      </c>
      <c r="U425" s="17">
        <v>9346312555</v>
      </c>
      <c r="V425" s="17" t="s">
        <v>69</v>
      </c>
      <c r="W425" s="47">
        <f t="shared" ca="1" si="18"/>
        <v>25</v>
      </c>
      <c r="X425" s="42">
        <f t="shared" si="19"/>
        <v>4</v>
      </c>
      <c r="Y425" s="42" t="str">
        <f t="shared" si="20"/>
        <v xml:space="preserve">On Time </v>
      </c>
    </row>
    <row r="426" spans="1:25" x14ac:dyDescent="0.5">
      <c r="A426" s="15" t="s">
        <v>1830</v>
      </c>
      <c r="B426" s="15" t="s">
        <v>221</v>
      </c>
      <c r="C426" s="15" t="s">
        <v>54</v>
      </c>
      <c r="D426" s="32">
        <v>46035</v>
      </c>
      <c r="E426" s="32">
        <v>46044</v>
      </c>
      <c r="F426" s="15" t="s">
        <v>225</v>
      </c>
      <c r="G426" s="15" t="s">
        <v>76</v>
      </c>
      <c r="H426" s="36">
        <v>30216</v>
      </c>
      <c r="I426" s="15" t="s">
        <v>114</v>
      </c>
      <c r="J426" s="15" t="s">
        <v>106</v>
      </c>
      <c r="K426" s="15" t="s">
        <v>46</v>
      </c>
      <c r="L426" s="15" t="s">
        <v>60</v>
      </c>
      <c r="M426" s="15">
        <v>5</v>
      </c>
      <c r="N426" s="25">
        <v>55000</v>
      </c>
      <c r="O426" s="15">
        <v>0</v>
      </c>
      <c r="P426" s="25">
        <v>275000</v>
      </c>
      <c r="Q426" s="15">
        <v>1</v>
      </c>
      <c r="R426" s="15" t="s">
        <v>79</v>
      </c>
      <c r="S426" s="15" t="s">
        <v>115</v>
      </c>
      <c r="T426" s="15" t="s">
        <v>228</v>
      </c>
      <c r="U426" s="15">
        <v>9443786067</v>
      </c>
      <c r="V426" s="15" t="s">
        <v>38</v>
      </c>
      <c r="W426" s="46">
        <f t="shared" ca="1" si="18"/>
        <v>44</v>
      </c>
      <c r="X426" s="42">
        <f t="shared" si="19"/>
        <v>9</v>
      </c>
      <c r="Y426" s="42" t="str">
        <f t="shared" si="20"/>
        <v>Delayed</v>
      </c>
    </row>
    <row r="427" spans="1:25" x14ac:dyDescent="0.5">
      <c r="A427" s="17" t="s">
        <v>1833</v>
      </c>
      <c r="B427" s="17" t="s">
        <v>100</v>
      </c>
      <c r="C427" s="17" t="s">
        <v>72</v>
      </c>
      <c r="D427" s="33">
        <v>46096</v>
      </c>
      <c r="E427" s="33">
        <v>46099</v>
      </c>
      <c r="F427" s="15" t="s">
        <v>103</v>
      </c>
      <c r="G427" s="17" t="s">
        <v>28</v>
      </c>
      <c r="H427" s="37">
        <v>31670</v>
      </c>
      <c r="I427" s="17" t="s">
        <v>105</v>
      </c>
      <c r="J427" s="17" t="s">
        <v>106</v>
      </c>
      <c r="K427" s="17" t="s">
        <v>46</v>
      </c>
      <c r="L427" s="17" t="s">
        <v>78</v>
      </c>
      <c r="M427" s="17">
        <v>13</v>
      </c>
      <c r="N427" s="26">
        <v>1200</v>
      </c>
      <c r="O427" s="17">
        <v>5</v>
      </c>
      <c r="P427" s="26">
        <v>14820</v>
      </c>
      <c r="Q427" s="17">
        <v>2</v>
      </c>
      <c r="R427" s="17" t="s">
        <v>79</v>
      </c>
      <c r="S427" s="17" t="s">
        <v>35</v>
      </c>
      <c r="T427" s="15" t="s">
        <v>144</v>
      </c>
      <c r="U427" s="17">
        <v>9452540528</v>
      </c>
      <c r="V427" s="17" t="s">
        <v>69</v>
      </c>
      <c r="W427" s="47">
        <f t="shared" ca="1" si="18"/>
        <v>40</v>
      </c>
      <c r="X427" s="42">
        <f t="shared" si="19"/>
        <v>3</v>
      </c>
      <c r="Y427" s="42" t="str">
        <f t="shared" si="20"/>
        <v xml:space="preserve">On Time </v>
      </c>
    </row>
    <row r="428" spans="1:25" x14ac:dyDescent="0.5">
      <c r="A428" s="15" t="s">
        <v>1837</v>
      </c>
      <c r="B428" s="15" t="s">
        <v>83</v>
      </c>
      <c r="C428" s="15" t="s">
        <v>169</v>
      </c>
      <c r="D428" s="32">
        <v>45986</v>
      </c>
      <c r="E428" s="32">
        <v>45991</v>
      </c>
      <c r="F428" s="15" t="s">
        <v>180</v>
      </c>
      <c r="G428" s="15" t="s">
        <v>76</v>
      </c>
      <c r="H428" s="36">
        <v>37602</v>
      </c>
      <c r="I428" s="15" t="s">
        <v>212</v>
      </c>
      <c r="J428" s="15" t="s">
        <v>45</v>
      </c>
      <c r="K428" s="15" t="s">
        <v>32</v>
      </c>
      <c r="L428" s="15" t="s">
        <v>174</v>
      </c>
      <c r="M428" s="15">
        <v>13</v>
      </c>
      <c r="N428" s="25">
        <v>8500</v>
      </c>
      <c r="O428" s="15">
        <v>20</v>
      </c>
      <c r="P428" s="25">
        <v>88400</v>
      </c>
      <c r="Q428" s="15">
        <v>5</v>
      </c>
      <c r="R428" s="15" t="s">
        <v>34</v>
      </c>
      <c r="S428" s="15" t="s">
        <v>49</v>
      </c>
      <c r="T428" s="15" t="s">
        <v>89</v>
      </c>
      <c r="U428" s="15">
        <v>9750918728</v>
      </c>
      <c r="V428" s="15" t="s">
        <v>64</v>
      </c>
      <c r="W428" s="46">
        <f t="shared" ca="1" si="18"/>
        <v>23</v>
      </c>
      <c r="X428" s="42">
        <f t="shared" si="19"/>
        <v>5</v>
      </c>
      <c r="Y428" s="42" t="str">
        <f t="shared" si="20"/>
        <v xml:space="preserve">On Time </v>
      </c>
    </row>
    <row r="429" spans="1:25" x14ac:dyDescent="0.5">
      <c r="A429" s="17" t="s">
        <v>1841</v>
      </c>
      <c r="B429" s="17" t="s">
        <v>71</v>
      </c>
      <c r="C429" s="17" t="s">
        <v>118</v>
      </c>
      <c r="D429" s="33">
        <v>45692</v>
      </c>
      <c r="E429" s="33">
        <v>45703</v>
      </c>
      <c r="F429" s="15" t="s">
        <v>217</v>
      </c>
      <c r="G429" s="17" t="s">
        <v>76</v>
      </c>
      <c r="H429" s="37">
        <v>36053</v>
      </c>
      <c r="I429" s="17" t="s">
        <v>114</v>
      </c>
      <c r="J429" s="17" t="s">
        <v>106</v>
      </c>
      <c r="K429" s="17" t="s">
        <v>122</v>
      </c>
      <c r="L429" s="17" t="s">
        <v>123</v>
      </c>
      <c r="M429" s="17">
        <v>14</v>
      </c>
      <c r="N429" s="26">
        <v>60</v>
      </c>
      <c r="O429" s="17">
        <v>10</v>
      </c>
      <c r="P429" s="26">
        <v>756</v>
      </c>
      <c r="Q429" s="17">
        <v>1</v>
      </c>
      <c r="R429" s="17" t="s">
        <v>34</v>
      </c>
      <c r="S429" s="17" t="s">
        <v>61</v>
      </c>
      <c r="T429" s="15" t="s">
        <v>80</v>
      </c>
      <c r="U429" s="17">
        <v>9375975834</v>
      </c>
      <c r="V429" s="17" t="s">
        <v>69</v>
      </c>
      <c r="W429" s="47">
        <f t="shared" ca="1" si="18"/>
        <v>28</v>
      </c>
      <c r="X429" s="42">
        <f t="shared" si="19"/>
        <v>11</v>
      </c>
      <c r="Y429" s="42" t="str">
        <f t="shared" si="20"/>
        <v>Delayed</v>
      </c>
    </row>
    <row r="430" spans="1:25" x14ac:dyDescent="0.5">
      <c r="A430" s="15" t="s">
        <v>1845</v>
      </c>
      <c r="B430" s="15" t="s">
        <v>251</v>
      </c>
      <c r="C430" s="15" t="s">
        <v>24</v>
      </c>
      <c r="D430" s="32">
        <v>45775</v>
      </c>
      <c r="E430" s="32">
        <v>45776</v>
      </c>
      <c r="F430" s="15" t="s">
        <v>254</v>
      </c>
      <c r="G430" s="15" t="s">
        <v>28</v>
      </c>
      <c r="H430" s="36">
        <v>31337</v>
      </c>
      <c r="I430" s="15" t="s">
        <v>59</v>
      </c>
      <c r="J430" s="15" t="s">
        <v>31</v>
      </c>
      <c r="K430" s="15" t="s">
        <v>32</v>
      </c>
      <c r="L430" s="15" t="s">
        <v>33</v>
      </c>
      <c r="M430" s="15">
        <v>15</v>
      </c>
      <c r="N430" s="25">
        <v>2200</v>
      </c>
      <c r="O430" s="15">
        <v>0</v>
      </c>
      <c r="P430" s="25">
        <v>33000</v>
      </c>
      <c r="Q430" s="15">
        <v>1</v>
      </c>
      <c r="R430" s="15" t="s">
        <v>34</v>
      </c>
      <c r="S430" s="15" t="s">
        <v>61</v>
      </c>
      <c r="T430" s="15" t="s">
        <v>256</v>
      </c>
      <c r="U430" s="15">
        <v>9497321112</v>
      </c>
      <c r="V430" s="15" t="s">
        <v>38</v>
      </c>
      <c r="W430" s="46">
        <f t="shared" ca="1" si="18"/>
        <v>40</v>
      </c>
      <c r="X430" s="42">
        <f t="shared" si="19"/>
        <v>1</v>
      </c>
      <c r="Y430" s="42" t="str">
        <f t="shared" si="20"/>
        <v xml:space="preserve">On Time </v>
      </c>
    </row>
    <row r="431" spans="1:25" x14ac:dyDescent="0.5">
      <c r="A431" s="17" t="s">
        <v>1848</v>
      </c>
      <c r="B431" s="17" t="s">
        <v>83</v>
      </c>
      <c r="C431" s="17" t="s">
        <v>118</v>
      </c>
      <c r="D431" s="33">
        <v>45896</v>
      </c>
      <c r="E431" s="33">
        <v>45898</v>
      </c>
      <c r="F431" s="15" t="s">
        <v>180</v>
      </c>
      <c r="G431" s="17" t="s">
        <v>76</v>
      </c>
      <c r="H431" s="37">
        <v>34926</v>
      </c>
      <c r="I431" s="17" t="s">
        <v>212</v>
      </c>
      <c r="J431" s="17" t="s">
        <v>45</v>
      </c>
      <c r="K431" s="17" t="s">
        <v>122</v>
      </c>
      <c r="L431" s="17" t="s">
        <v>123</v>
      </c>
      <c r="M431" s="17">
        <v>19</v>
      </c>
      <c r="N431" s="26">
        <v>60</v>
      </c>
      <c r="O431" s="17">
        <v>20</v>
      </c>
      <c r="P431" s="26">
        <v>912</v>
      </c>
      <c r="Q431" s="17">
        <v>3</v>
      </c>
      <c r="R431" s="17" t="s">
        <v>34</v>
      </c>
      <c r="S431" s="17" t="s">
        <v>151</v>
      </c>
      <c r="T431" s="15" t="s">
        <v>89</v>
      </c>
      <c r="U431" s="17">
        <v>9828749888</v>
      </c>
      <c r="V431" s="17" t="s">
        <v>64</v>
      </c>
      <c r="W431" s="47">
        <f t="shared" ca="1" si="18"/>
        <v>31</v>
      </c>
      <c r="X431" s="42">
        <f t="shared" si="19"/>
        <v>2</v>
      </c>
      <c r="Y431" s="42" t="str">
        <f t="shared" si="20"/>
        <v xml:space="preserve">On Time </v>
      </c>
    </row>
    <row r="432" spans="1:25" x14ac:dyDescent="0.5">
      <c r="A432" s="15" t="s">
        <v>1853</v>
      </c>
      <c r="B432" s="15" t="s">
        <v>53</v>
      </c>
      <c r="C432" s="15" t="s">
        <v>259</v>
      </c>
      <c r="D432" s="32">
        <v>45942</v>
      </c>
      <c r="E432" s="32">
        <v>45953</v>
      </c>
      <c r="F432" s="15" t="s">
        <v>163</v>
      </c>
      <c r="G432" s="15" t="s">
        <v>28</v>
      </c>
      <c r="H432" s="36">
        <v>31286</v>
      </c>
      <c r="I432" s="15" t="s">
        <v>212</v>
      </c>
      <c r="J432" s="15" t="s">
        <v>45</v>
      </c>
      <c r="K432" s="15" t="s">
        <v>122</v>
      </c>
      <c r="L432" s="15" t="s">
        <v>263</v>
      </c>
      <c r="M432" s="15">
        <v>13</v>
      </c>
      <c r="N432" s="25">
        <v>45</v>
      </c>
      <c r="O432" s="15">
        <v>15</v>
      </c>
      <c r="P432" s="25">
        <v>497.25</v>
      </c>
      <c r="Q432" s="15">
        <v>2</v>
      </c>
      <c r="R432" s="15" t="s">
        <v>34</v>
      </c>
      <c r="S432" s="15" t="s">
        <v>49</v>
      </c>
      <c r="T432" s="15" t="s">
        <v>62</v>
      </c>
      <c r="U432" s="15">
        <v>9814267382</v>
      </c>
      <c r="V432" s="15" t="s">
        <v>38</v>
      </c>
      <c r="W432" s="46">
        <f t="shared" ca="1" si="18"/>
        <v>41</v>
      </c>
      <c r="X432" s="42">
        <f t="shared" si="19"/>
        <v>11</v>
      </c>
      <c r="Y432" s="42" t="str">
        <f t="shared" si="20"/>
        <v>Delayed</v>
      </c>
    </row>
    <row r="433" spans="1:25" x14ac:dyDescent="0.5">
      <c r="A433" s="17" t="s">
        <v>1856</v>
      </c>
      <c r="B433" s="17" t="s">
        <v>251</v>
      </c>
      <c r="C433" s="17" t="s">
        <v>40</v>
      </c>
      <c r="D433" s="33">
        <v>46036</v>
      </c>
      <c r="E433" s="33">
        <v>46046</v>
      </c>
      <c r="F433" s="15" t="s">
        <v>254</v>
      </c>
      <c r="G433" s="17" t="s">
        <v>28</v>
      </c>
      <c r="H433" s="37">
        <v>27550</v>
      </c>
      <c r="I433" s="17" t="s">
        <v>105</v>
      </c>
      <c r="J433" s="17" t="s">
        <v>106</v>
      </c>
      <c r="K433" s="17" t="s">
        <v>46</v>
      </c>
      <c r="L433" s="17" t="s">
        <v>47</v>
      </c>
      <c r="M433" s="17">
        <v>7</v>
      </c>
      <c r="N433" s="26">
        <v>12000</v>
      </c>
      <c r="O433" s="17">
        <v>5</v>
      </c>
      <c r="P433" s="26">
        <v>79800</v>
      </c>
      <c r="Q433" s="17">
        <v>4</v>
      </c>
      <c r="R433" s="17" t="s">
        <v>79</v>
      </c>
      <c r="S433" s="17" t="s">
        <v>151</v>
      </c>
      <c r="T433" s="15" t="s">
        <v>256</v>
      </c>
      <c r="U433" s="17">
        <v>9937007439</v>
      </c>
      <c r="V433" s="17" t="s">
        <v>69</v>
      </c>
      <c r="W433" s="47">
        <f t="shared" ca="1" si="18"/>
        <v>51</v>
      </c>
      <c r="X433" s="42">
        <f t="shared" si="19"/>
        <v>10</v>
      </c>
      <c r="Y433" s="42" t="str">
        <f t="shared" si="20"/>
        <v>Delayed</v>
      </c>
    </row>
    <row r="434" spans="1:25" x14ac:dyDescent="0.5">
      <c r="A434" s="15" t="s">
        <v>1859</v>
      </c>
      <c r="B434" s="15" t="s">
        <v>327</v>
      </c>
      <c r="C434" s="15" t="s">
        <v>222</v>
      </c>
      <c r="D434" s="32">
        <v>46152</v>
      </c>
      <c r="E434" s="32"/>
      <c r="F434" s="15" t="s">
        <v>394</v>
      </c>
      <c r="G434" s="15" t="s">
        <v>76</v>
      </c>
      <c r="H434" s="36">
        <v>35514</v>
      </c>
      <c r="I434" s="15" t="s">
        <v>294</v>
      </c>
      <c r="J434" s="15" t="s">
        <v>295</v>
      </c>
      <c r="K434" s="15" t="s">
        <v>122</v>
      </c>
      <c r="L434" s="15" t="s">
        <v>227</v>
      </c>
      <c r="M434" s="15">
        <v>8</v>
      </c>
      <c r="N434" s="25">
        <v>20</v>
      </c>
      <c r="O434" s="15">
        <v>0</v>
      </c>
      <c r="P434" s="25">
        <v>160</v>
      </c>
      <c r="Q434" s="15">
        <v>4</v>
      </c>
      <c r="R434" s="15" t="s">
        <v>79</v>
      </c>
      <c r="S434" s="15" t="s">
        <v>61</v>
      </c>
      <c r="T434" s="15" t="s">
        <v>332</v>
      </c>
      <c r="U434" s="15">
        <v>9657513435</v>
      </c>
      <c r="V434" s="15" t="s">
        <v>64</v>
      </c>
      <c r="W434" s="46">
        <f t="shared" ca="1" si="18"/>
        <v>29</v>
      </c>
      <c r="X434" s="42" t="str">
        <f t="shared" si="19"/>
        <v>Not Available</v>
      </c>
      <c r="Y434" s="42" t="str">
        <f t="shared" si="20"/>
        <v>Pending</v>
      </c>
    </row>
    <row r="435" spans="1:25" x14ac:dyDescent="0.5">
      <c r="A435" s="17" t="s">
        <v>1862</v>
      </c>
      <c r="B435" s="17" t="s">
        <v>23</v>
      </c>
      <c r="C435" s="17" t="s">
        <v>92</v>
      </c>
      <c r="D435" s="33">
        <v>45689</v>
      </c>
      <c r="E435" s="33">
        <v>45694</v>
      </c>
      <c r="F435" s="15" t="s">
        <v>27</v>
      </c>
      <c r="G435" s="17" t="s">
        <v>28</v>
      </c>
      <c r="H435" s="37">
        <v>35538</v>
      </c>
      <c r="I435" s="17" t="s">
        <v>294</v>
      </c>
      <c r="J435" s="17" t="s">
        <v>295</v>
      </c>
      <c r="K435" s="17" t="s">
        <v>32</v>
      </c>
      <c r="L435" s="17" t="s">
        <v>97</v>
      </c>
      <c r="M435" s="17">
        <v>16</v>
      </c>
      <c r="N435" s="26">
        <v>3500</v>
      </c>
      <c r="O435" s="17">
        <v>5</v>
      </c>
      <c r="P435" s="26">
        <v>53200</v>
      </c>
      <c r="Q435" s="17">
        <v>1</v>
      </c>
      <c r="R435" s="17" t="s">
        <v>79</v>
      </c>
      <c r="S435" s="17" t="s">
        <v>61</v>
      </c>
      <c r="T435" s="15" t="s">
        <v>50</v>
      </c>
      <c r="U435" s="17">
        <v>9999406260</v>
      </c>
      <c r="V435" s="17" t="s">
        <v>69</v>
      </c>
      <c r="W435" s="47">
        <f t="shared" ca="1" si="18"/>
        <v>29</v>
      </c>
      <c r="X435" s="42">
        <f t="shared" si="19"/>
        <v>5</v>
      </c>
      <c r="Y435" s="42" t="str">
        <f t="shared" si="20"/>
        <v xml:space="preserve">On Time </v>
      </c>
    </row>
    <row r="436" spans="1:25" x14ac:dyDescent="0.5">
      <c r="A436" s="15" t="s">
        <v>1866</v>
      </c>
      <c r="B436" s="15" t="s">
        <v>327</v>
      </c>
      <c r="C436" s="15" t="s">
        <v>169</v>
      </c>
      <c r="D436" s="32">
        <v>45710</v>
      </c>
      <c r="E436" s="32">
        <v>45720</v>
      </c>
      <c r="F436" s="15" t="s">
        <v>394</v>
      </c>
      <c r="G436" s="15" t="s">
        <v>76</v>
      </c>
      <c r="H436" s="36">
        <v>36308</v>
      </c>
      <c r="I436" s="15" t="s">
        <v>105</v>
      </c>
      <c r="J436" s="15" t="s">
        <v>106</v>
      </c>
      <c r="K436" s="15" t="s">
        <v>32</v>
      </c>
      <c r="L436" s="15" t="s">
        <v>174</v>
      </c>
      <c r="M436" s="15">
        <v>12</v>
      </c>
      <c r="N436" s="25">
        <v>8500</v>
      </c>
      <c r="O436" s="15">
        <v>10</v>
      </c>
      <c r="P436" s="25">
        <v>91800</v>
      </c>
      <c r="Q436" s="15">
        <v>3</v>
      </c>
      <c r="R436" s="15" t="s">
        <v>79</v>
      </c>
      <c r="S436" s="15" t="s">
        <v>35</v>
      </c>
      <c r="T436" s="15" t="s">
        <v>332</v>
      </c>
      <c r="U436" s="15">
        <v>9233727886</v>
      </c>
      <c r="V436" s="15" t="s">
        <v>38</v>
      </c>
      <c r="W436" s="46">
        <f t="shared" ca="1" si="18"/>
        <v>27</v>
      </c>
      <c r="X436" s="42">
        <f t="shared" si="19"/>
        <v>10</v>
      </c>
      <c r="Y436" s="42" t="str">
        <f t="shared" si="20"/>
        <v>Delayed</v>
      </c>
    </row>
    <row r="437" spans="1:25" x14ac:dyDescent="0.5">
      <c r="A437" s="17" t="s">
        <v>1870</v>
      </c>
      <c r="B437" s="17" t="s">
        <v>23</v>
      </c>
      <c r="C437" s="17" t="s">
        <v>118</v>
      </c>
      <c r="D437" s="33">
        <v>45765</v>
      </c>
      <c r="E437" s="33">
        <v>45767</v>
      </c>
      <c r="F437" s="15" t="s">
        <v>27</v>
      </c>
      <c r="G437" s="17" t="s">
        <v>28</v>
      </c>
      <c r="H437" s="37">
        <v>30492</v>
      </c>
      <c r="I437" s="17" t="s">
        <v>138</v>
      </c>
      <c r="J437" s="17" t="s">
        <v>106</v>
      </c>
      <c r="K437" s="17" t="s">
        <v>122</v>
      </c>
      <c r="L437" s="17" t="s">
        <v>123</v>
      </c>
      <c r="M437" s="17">
        <v>1</v>
      </c>
      <c r="N437" s="26">
        <v>60</v>
      </c>
      <c r="O437" s="17">
        <v>20</v>
      </c>
      <c r="P437" s="26">
        <v>48</v>
      </c>
      <c r="Q437" s="17">
        <v>2</v>
      </c>
      <c r="R437" s="17" t="s">
        <v>79</v>
      </c>
      <c r="S437" s="17" t="s">
        <v>151</v>
      </c>
      <c r="T437" s="15" t="s">
        <v>50</v>
      </c>
      <c r="U437" s="17">
        <v>9831688801</v>
      </c>
      <c r="V437" s="17" t="s">
        <v>38</v>
      </c>
      <c r="W437" s="47">
        <f t="shared" ca="1" si="18"/>
        <v>43</v>
      </c>
      <c r="X437" s="42">
        <f t="shared" si="19"/>
        <v>2</v>
      </c>
      <c r="Y437" s="42" t="str">
        <f t="shared" si="20"/>
        <v xml:space="preserve">On Time </v>
      </c>
    </row>
    <row r="438" spans="1:25" x14ac:dyDescent="0.5">
      <c r="A438" s="15" t="s">
        <v>1873</v>
      </c>
      <c r="B438" s="15" t="s">
        <v>127</v>
      </c>
      <c r="C438" s="15" t="s">
        <v>118</v>
      </c>
      <c r="D438" s="32">
        <v>45967</v>
      </c>
      <c r="E438" s="32">
        <v>45972</v>
      </c>
      <c r="F438" s="15" t="s">
        <v>200</v>
      </c>
      <c r="G438" s="15" t="s">
        <v>76</v>
      </c>
      <c r="H438" s="36">
        <v>33995</v>
      </c>
      <c r="I438" s="15" t="s">
        <v>30</v>
      </c>
      <c r="J438" s="15" t="s">
        <v>31</v>
      </c>
      <c r="K438" s="15" t="s">
        <v>122</v>
      </c>
      <c r="L438" s="15" t="s">
        <v>123</v>
      </c>
      <c r="M438" s="15">
        <v>3</v>
      </c>
      <c r="N438" s="25">
        <v>60</v>
      </c>
      <c r="O438" s="15">
        <v>15</v>
      </c>
      <c r="P438" s="25">
        <v>153</v>
      </c>
      <c r="Q438" s="15">
        <v>4</v>
      </c>
      <c r="R438" s="15" t="s">
        <v>79</v>
      </c>
      <c r="S438" s="15" t="s">
        <v>35</v>
      </c>
      <c r="T438" s="15" t="s">
        <v>132</v>
      </c>
      <c r="U438" s="15">
        <v>9982849508</v>
      </c>
      <c r="V438" s="15" t="s">
        <v>38</v>
      </c>
      <c r="W438" s="46">
        <f t="shared" ca="1" si="18"/>
        <v>33</v>
      </c>
      <c r="X438" s="42">
        <f t="shared" si="19"/>
        <v>5</v>
      </c>
      <c r="Y438" s="42" t="str">
        <f t="shared" si="20"/>
        <v xml:space="preserve">On Time </v>
      </c>
    </row>
    <row r="439" spans="1:25" x14ac:dyDescent="0.5">
      <c r="A439" s="17" t="s">
        <v>1876</v>
      </c>
      <c r="B439" s="17" t="s">
        <v>100</v>
      </c>
      <c r="C439" s="17" t="s">
        <v>184</v>
      </c>
      <c r="D439" s="33">
        <v>45736</v>
      </c>
      <c r="E439" s="33">
        <v>45741</v>
      </c>
      <c r="F439" s="15" t="s">
        <v>103</v>
      </c>
      <c r="G439" s="17" t="s">
        <v>28</v>
      </c>
      <c r="H439" s="37">
        <v>28917</v>
      </c>
      <c r="I439" s="17" t="s">
        <v>294</v>
      </c>
      <c r="J439" s="17" t="s">
        <v>295</v>
      </c>
      <c r="K439" s="17" t="s">
        <v>46</v>
      </c>
      <c r="L439" s="17" t="s">
        <v>189</v>
      </c>
      <c r="M439" s="17">
        <v>10</v>
      </c>
      <c r="N439" s="26">
        <v>700</v>
      </c>
      <c r="O439" s="17">
        <v>15</v>
      </c>
      <c r="P439" s="26">
        <v>5950</v>
      </c>
      <c r="Q439" s="17">
        <v>3</v>
      </c>
      <c r="R439" s="17" t="s">
        <v>48</v>
      </c>
      <c r="S439" s="17" t="s">
        <v>35</v>
      </c>
      <c r="T439" s="15" t="s">
        <v>144</v>
      </c>
      <c r="U439" s="17">
        <v>9288309246</v>
      </c>
      <c r="V439" s="17" t="s">
        <v>64</v>
      </c>
      <c r="W439" s="47">
        <f t="shared" ca="1" si="18"/>
        <v>47</v>
      </c>
      <c r="X439" s="42">
        <f t="shared" si="19"/>
        <v>5</v>
      </c>
      <c r="Y439" s="42" t="str">
        <f t="shared" si="20"/>
        <v xml:space="preserve">On Time </v>
      </c>
    </row>
    <row r="440" spans="1:25" x14ac:dyDescent="0.5">
      <c r="A440" s="15" t="s">
        <v>1879</v>
      </c>
      <c r="B440" s="15" t="s">
        <v>83</v>
      </c>
      <c r="C440" s="15" t="s">
        <v>222</v>
      </c>
      <c r="D440" s="32">
        <v>45952</v>
      </c>
      <c r="E440" s="32">
        <v>45955</v>
      </c>
      <c r="F440" s="15" t="s">
        <v>180</v>
      </c>
      <c r="G440" s="15" t="s">
        <v>76</v>
      </c>
      <c r="H440" s="36">
        <v>28016</v>
      </c>
      <c r="I440" s="15" t="s">
        <v>138</v>
      </c>
      <c r="J440" s="15" t="s">
        <v>106</v>
      </c>
      <c r="K440" s="15" t="s">
        <v>122</v>
      </c>
      <c r="L440" s="15" t="s">
        <v>227</v>
      </c>
      <c r="M440" s="15">
        <v>2</v>
      </c>
      <c r="N440" s="25">
        <v>20</v>
      </c>
      <c r="O440" s="15">
        <v>10</v>
      </c>
      <c r="P440" s="25">
        <v>36</v>
      </c>
      <c r="Q440" s="15">
        <v>2</v>
      </c>
      <c r="R440" s="15" t="s">
        <v>88</v>
      </c>
      <c r="S440" s="15" t="s">
        <v>61</v>
      </c>
      <c r="T440" s="15" t="s">
        <v>89</v>
      </c>
      <c r="U440" s="15">
        <v>9808476235</v>
      </c>
      <c r="V440" s="15" t="s">
        <v>38</v>
      </c>
      <c r="W440" s="46">
        <f t="shared" ca="1" si="18"/>
        <v>50</v>
      </c>
      <c r="X440" s="42">
        <f t="shared" si="19"/>
        <v>3</v>
      </c>
      <c r="Y440" s="42" t="str">
        <f t="shared" si="20"/>
        <v xml:space="preserve">On Time </v>
      </c>
    </row>
    <row r="441" spans="1:25" x14ac:dyDescent="0.5">
      <c r="A441" s="17" t="s">
        <v>1884</v>
      </c>
      <c r="B441" s="17" t="s">
        <v>83</v>
      </c>
      <c r="C441" s="17" t="s">
        <v>222</v>
      </c>
      <c r="D441" s="33">
        <v>46022</v>
      </c>
      <c r="E441" s="33">
        <v>46027</v>
      </c>
      <c r="F441" s="15" t="s">
        <v>180</v>
      </c>
      <c r="G441" s="17" t="s">
        <v>76</v>
      </c>
      <c r="H441" s="37">
        <v>33446</v>
      </c>
      <c r="I441" s="17" t="s">
        <v>44</v>
      </c>
      <c r="J441" s="17" t="s">
        <v>45</v>
      </c>
      <c r="K441" s="17" t="s">
        <v>122</v>
      </c>
      <c r="L441" s="17" t="s">
        <v>227</v>
      </c>
      <c r="M441" s="17">
        <v>14</v>
      </c>
      <c r="N441" s="26">
        <v>20</v>
      </c>
      <c r="O441" s="17">
        <v>20</v>
      </c>
      <c r="P441" s="26">
        <v>224</v>
      </c>
      <c r="Q441" s="17">
        <v>5</v>
      </c>
      <c r="R441" s="17" t="s">
        <v>34</v>
      </c>
      <c r="S441" s="17" t="s">
        <v>151</v>
      </c>
      <c r="T441" s="15" t="s">
        <v>89</v>
      </c>
      <c r="U441" s="17">
        <v>9869056117</v>
      </c>
      <c r="V441" s="17" t="s">
        <v>64</v>
      </c>
      <c r="W441" s="47">
        <f t="shared" ca="1" si="18"/>
        <v>35</v>
      </c>
      <c r="X441" s="42">
        <f t="shared" si="19"/>
        <v>5</v>
      </c>
      <c r="Y441" s="42" t="str">
        <f t="shared" si="20"/>
        <v xml:space="preserve">On Time </v>
      </c>
    </row>
    <row r="442" spans="1:25" x14ac:dyDescent="0.5">
      <c r="A442" s="15" t="s">
        <v>1888</v>
      </c>
      <c r="B442" s="15" t="s">
        <v>327</v>
      </c>
      <c r="C442" s="15" t="s">
        <v>92</v>
      </c>
      <c r="D442" s="32">
        <v>45829</v>
      </c>
      <c r="E442" s="32">
        <v>45833</v>
      </c>
      <c r="F442" s="15" t="s">
        <v>394</v>
      </c>
      <c r="G442" s="15" t="s">
        <v>76</v>
      </c>
      <c r="H442" s="36">
        <v>32075</v>
      </c>
      <c r="I442" s="15" t="s">
        <v>138</v>
      </c>
      <c r="J442" s="15" t="s">
        <v>106</v>
      </c>
      <c r="K442" s="15" t="s">
        <v>32</v>
      </c>
      <c r="L442" s="15" t="s">
        <v>97</v>
      </c>
      <c r="M442" s="15">
        <v>4</v>
      </c>
      <c r="N442" s="25">
        <v>3500</v>
      </c>
      <c r="O442" s="15">
        <v>0</v>
      </c>
      <c r="P442" s="25">
        <v>14000</v>
      </c>
      <c r="Q442" s="15">
        <v>2</v>
      </c>
      <c r="R442" s="15" t="s">
        <v>88</v>
      </c>
      <c r="S442" s="15" t="s">
        <v>35</v>
      </c>
      <c r="T442" s="15" t="s">
        <v>332</v>
      </c>
      <c r="U442" s="15">
        <v>9734229772</v>
      </c>
      <c r="V442" s="15" t="s">
        <v>69</v>
      </c>
      <c r="W442" s="46">
        <f t="shared" ca="1" si="18"/>
        <v>38</v>
      </c>
      <c r="X442" s="42">
        <f t="shared" si="19"/>
        <v>4</v>
      </c>
      <c r="Y442" s="42" t="str">
        <f t="shared" si="20"/>
        <v xml:space="preserve">On Time </v>
      </c>
    </row>
    <row r="443" spans="1:25" x14ac:dyDescent="0.5">
      <c r="A443" s="17" t="s">
        <v>1891</v>
      </c>
      <c r="B443" s="17" t="s">
        <v>83</v>
      </c>
      <c r="C443" s="17" t="s">
        <v>92</v>
      </c>
      <c r="D443" s="33">
        <v>45812</v>
      </c>
      <c r="E443" s="33">
        <v>45813</v>
      </c>
      <c r="F443" s="15" t="s">
        <v>180</v>
      </c>
      <c r="G443" s="17" t="s">
        <v>76</v>
      </c>
      <c r="H443" s="37">
        <v>30629</v>
      </c>
      <c r="I443" s="17" t="s">
        <v>212</v>
      </c>
      <c r="J443" s="17" t="s">
        <v>45</v>
      </c>
      <c r="K443" s="17" t="s">
        <v>32</v>
      </c>
      <c r="L443" s="17" t="s">
        <v>97</v>
      </c>
      <c r="M443" s="17">
        <v>9</v>
      </c>
      <c r="N443" s="26">
        <v>3500</v>
      </c>
      <c r="O443" s="17">
        <v>5</v>
      </c>
      <c r="P443" s="26">
        <v>29925</v>
      </c>
      <c r="Q443" s="17">
        <v>3</v>
      </c>
      <c r="R443" s="17" t="s">
        <v>79</v>
      </c>
      <c r="S443" s="17" t="s">
        <v>61</v>
      </c>
      <c r="T443" s="15" t="s">
        <v>89</v>
      </c>
      <c r="U443" s="17">
        <v>9791617906</v>
      </c>
      <c r="V443" s="17" t="s">
        <v>38</v>
      </c>
      <c r="W443" s="47">
        <f t="shared" ca="1" si="18"/>
        <v>42</v>
      </c>
      <c r="X443" s="42">
        <f t="shared" si="19"/>
        <v>1</v>
      </c>
      <c r="Y443" s="42" t="str">
        <f t="shared" si="20"/>
        <v xml:space="preserve">On Time </v>
      </c>
    </row>
    <row r="444" spans="1:25" x14ac:dyDescent="0.5">
      <c r="A444" s="15" t="s">
        <v>1894</v>
      </c>
      <c r="B444" s="15" t="s">
        <v>127</v>
      </c>
      <c r="C444" s="15" t="s">
        <v>118</v>
      </c>
      <c r="D444" s="32">
        <v>45807</v>
      </c>
      <c r="E444" s="32">
        <v>45811</v>
      </c>
      <c r="F444" s="15" t="s">
        <v>200</v>
      </c>
      <c r="G444" s="15" t="s">
        <v>76</v>
      </c>
      <c r="H444" s="36">
        <v>30678</v>
      </c>
      <c r="I444" s="15" t="s">
        <v>105</v>
      </c>
      <c r="J444" s="15" t="s">
        <v>106</v>
      </c>
      <c r="K444" s="15" t="s">
        <v>122</v>
      </c>
      <c r="L444" s="15" t="s">
        <v>123</v>
      </c>
      <c r="M444" s="15">
        <v>9</v>
      </c>
      <c r="N444" s="25">
        <v>60</v>
      </c>
      <c r="O444" s="15">
        <v>0</v>
      </c>
      <c r="P444" s="25">
        <v>540</v>
      </c>
      <c r="Q444" s="15">
        <v>3</v>
      </c>
      <c r="R444" s="15" t="s">
        <v>88</v>
      </c>
      <c r="S444" s="15" t="s">
        <v>35</v>
      </c>
      <c r="T444" s="15" t="s">
        <v>132</v>
      </c>
      <c r="U444" s="15">
        <v>9286316823</v>
      </c>
      <c r="V444" s="15" t="s">
        <v>64</v>
      </c>
      <c r="W444" s="46">
        <f t="shared" ca="1" si="18"/>
        <v>42</v>
      </c>
      <c r="X444" s="42">
        <f t="shared" si="19"/>
        <v>4</v>
      </c>
      <c r="Y444" s="42" t="str">
        <f t="shared" si="20"/>
        <v xml:space="preserve">On Time </v>
      </c>
    </row>
    <row r="445" spans="1:25" x14ac:dyDescent="0.5">
      <c r="A445" s="17" t="s">
        <v>1897</v>
      </c>
      <c r="B445" s="17" t="s">
        <v>168</v>
      </c>
      <c r="C445" s="17" t="s">
        <v>72</v>
      </c>
      <c r="D445" s="33">
        <v>45779</v>
      </c>
      <c r="E445" s="33">
        <v>45780</v>
      </c>
      <c r="F445" s="15" t="s">
        <v>361</v>
      </c>
      <c r="G445" s="17" t="s">
        <v>28</v>
      </c>
      <c r="H445" s="37">
        <v>33862</v>
      </c>
      <c r="I445" s="17" t="s">
        <v>138</v>
      </c>
      <c r="J445" s="17" t="s">
        <v>106</v>
      </c>
      <c r="K445" s="17" t="s">
        <v>46</v>
      </c>
      <c r="L445" s="17" t="s">
        <v>78</v>
      </c>
      <c r="M445" s="17">
        <v>4</v>
      </c>
      <c r="N445" s="26">
        <v>1200</v>
      </c>
      <c r="O445" s="17">
        <v>0</v>
      </c>
      <c r="P445" s="26">
        <v>4800</v>
      </c>
      <c r="Q445" s="17">
        <v>1</v>
      </c>
      <c r="R445" s="17" t="s">
        <v>48</v>
      </c>
      <c r="S445" s="17" t="s">
        <v>61</v>
      </c>
      <c r="T445" s="15" t="s">
        <v>175</v>
      </c>
      <c r="U445" s="17">
        <v>9810569252</v>
      </c>
      <c r="V445" s="17" t="s">
        <v>38</v>
      </c>
      <c r="W445" s="47">
        <f t="shared" ca="1" si="18"/>
        <v>34</v>
      </c>
      <c r="X445" s="42">
        <f t="shared" si="19"/>
        <v>1</v>
      </c>
      <c r="Y445" s="42" t="str">
        <f t="shared" si="20"/>
        <v xml:space="preserve">On Time </v>
      </c>
    </row>
    <row r="446" spans="1:25" x14ac:dyDescent="0.5">
      <c r="A446" s="15" t="s">
        <v>1901</v>
      </c>
      <c r="B446" s="15" t="s">
        <v>53</v>
      </c>
      <c r="C446" s="15" t="s">
        <v>54</v>
      </c>
      <c r="D446" s="32">
        <v>45691</v>
      </c>
      <c r="E446" s="32">
        <v>45701</v>
      </c>
      <c r="F446" s="15" t="s">
        <v>163</v>
      </c>
      <c r="G446" s="15" t="s">
        <v>28</v>
      </c>
      <c r="H446" s="36">
        <v>36381</v>
      </c>
      <c r="I446" s="15" t="s">
        <v>30</v>
      </c>
      <c r="J446" s="15" t="s">
        <v>31</v>
      </c>
      <c r="K446" s="15" t="s">
        <v>46</v>
      </c>
      <c r="L446" s="15" t="s">
        <v>60</v>
      </c>
      <c r="M446" s="15">
        <v>10</v>
      </c>
      <c r="N446" s="25">
        <v>55000</v>
      </c>
      <c r="O446" s="15">
        <v>5</v>
      </c>
      <c r="P446" s="25">
        <v>522500</v>
      </c>
      <c r="Q446" s="15">
        <v>5</v>
      </c>
      <c r="R446" s="15" t="s">
        <v>88</v>
      </c>
      <c r="S446" s="15" t="s">
        <v>115</v>
      </c>
      <c r="T446" s="15" t="s">
        <v>62</v>
      </c>
      <c r="U446" s="15">
        <v>9771745925</v>
      </c>
      <c r="V446" s="15" t="s">
        <v>38</v>
      </c>
      <c r="W446" s="46">
        <f t="shared" ca="1" si="18"/>
        <v>27</v>
      </c>
      <c r="X446" s="42">
        <f t="shared" si="19"/>
        <v>10</v>
      </c>
      <c r="Y446" s="42" t="str">
        <f t="shared" si="20"/>
        <v>Delayed</v>
      </c>
    </row>
    <row r="447" spans="1:25" x14ac:dyDescent="0.5">
      <c r="A447" s="17" t="s">
        <v>1904</v>
      </c>
      <c r="B447" s="17" t="s">
        <v>221</v>
      </c>
      <c r="C447" s="17" t="s">
        <v>259</v>
      </c>
      <c r="D447" s="33">
        <v>45837</v>
      </c>
      <c r="E447" s="33">
        <v>45844</v>
      </c>
      <c r="F447" s="15" t="s">
        <v>225</v>
      </c>
      <c r="G447" s="17" t="s">
        <v>76</v>
      </c>
      <c r="H447" s="37">
        <v>32931</v>
      </c>
      <c r="I447" s="17" t="s">
        <v>30</v>
      </c>
      <c r="J447" s="17" t="s">
        <v>31</v>
      </c>
      <c r="K447" s="17" t="s">
        <v>122</v>
      </c>
      <c r="L447" s="17" t="s">
        <v>263</v>
      </c>
      <c r="M447" s="17">
        <v>20</v>
      </c>
      <c r="N447" s="26">
        <v>45</v>
      </c>
      <c r="O447" s="17">
        <v>15</v>
      </c>
      <c r="P447" s="26">
        <v>765</v>
      </c>
      <c r="Q447" s="17">
        <v>2</v>
      </c>
      <c r="R447" s="17" t="s">
        <v>79</v>
      </c>
      <c r="S447" s="17" t="s">
        <v>35</v>
      </c>
      <c r="T447" s="15" t="s">
        <v>228</v>
      </c>
      <c r="U447" s="17">
        <v>9820683063</v>
      </c>
      <c r="V447" s="17" t="s">
        <v>69</v>
      </c>
      <c r="W447" s="47">
        <f t="shared" ca="1" si="18"/>
        <v>36</v>
      </c>
      <c r="X447" s="42">
        <f t="shared" si="19"/>
        <v>7</v>
      </c>
      <c r="Y447" s="42" t="str">
        <f t="shared" si="20"/>
        <v>Delayed</v>
      </c>
    </row>
    <row r="448" spans="1:25" x14ac:dyDescent="0.5">
      <c r="A448" s="15" t="s">
        <v>1908</v>
      </c>
      <c r="B448" s="15" t="s">
        <v>23</v>
      </c>
      <c r="C448" s="15" t="s">
        <v>222</v>
      </c>
      <c r="D448" s="32">
        <v>46065</v>
      </c>
      <c r="E448" s="32">
        <v>46075</v>
      </c>
      <c r="F448" s="15" t="s">
        <v>27</v>
      </c>
      <c r="G448" s="15" t="s">
        <v>28</v>
      </c>
      <c r="H448" s="36">
        <v>34420</v>
      </c>
      <c r="I448" s="15" t="s">
        <v>105</v>
      </c>
      <c r="J448" s="15" t="s">
        <v>106</v>
      </c>
      <c r="K448" s="15" t="s">
        <v>122</v>
      </c>
      <c r="L448" s="15" t="s">
        <v>227</v>
      </c>
      <c r="M448" s="15">
        <v>9</v>
      </c>
      <c r="N448" s="25">
        <v>20</v>
      </c>
      <c r="O448" s="15">
        <v>20</v>
      </c>
      <c r="P448" s="25">
        <v>144</v>
      </c>
      <c r="Q448" s="15">
        <v>3</v>
      </c>
      <c r="R448" s="15" t="s">
        <v>79</v>
      </c>
      <c r="S448" s="15" t="s">
        <v>61</v>
      </c>
      <c r="T448" s="15" t="s">
        <v>50</v>
      </c>
      <c r="U448" s="15">
        <v>9292891941</v>
      </c>
      <c r="V448" s="15" t="s">
        <v>38</v>
      </c>
      <c r="W448" s="46">
        <f t="shared" ca="1" si="18"/>
        <v>32</v>
      </c>
      <c r="X448" s="42">
        <f t="shared" si="19"/>
        <v>10</v>
      </c>
      <c r="Y448" s="42" t="str">
        <f t="shared" si="20"/>
        <v>Delayed</v>
      </c>
    </row>
    <row r="449" spans="1:25" x14ac:dyDescent="0.5">
      <c r="A449" s="17" t="s">
        <v>1911</v>
      </c>
      <c r="B449" s="17" t="s">
        <v>23</v>
      </c>
      <c r="C449" s="17" t="s">
        <v>54</v>
      </c>
      <c r="D449" s="33">
        <v>45719</v>
      </c>
      <c r="E449" s="33">
        <v>45730</v>
      </c>
      <c r="F449" s="15" t="s">
        <v>27</v>
      </c>
      <c r="G449" s="17" t="s">
        <v>28</v>
      </c>
      <c r="H449" s="37">
        <v>29383</v>
      </c>
      <c r="I449" s="17" t="s">
        <v>114</v>
      </c>
      <c r="J449" s="17" t="s">
        <v>106</v>
      </c>
      <c r="K449" s="17" t="s">
        <v>46</v>
      </c>
      <c r="L449" s="17" t="s">
        <v>60</v>
      </c>
      <c r="M449" s="17">
        <v>8</v>
      </c>
      <c r="N449" s="26">
        <v>55000</v>
      </c>
      <c r="O449" s="17">
        <v>0</v>
      </c>
      <c r="P449" s="26">
        <v>440000</v>
      </c>
      <c r="Q449" s="17">
        <v>4</v>
      </c>
      <c r="R449" s="17" t="s">
        <v>34</v>
      </c>
      <c r="S449" s="17" t="s">
        <v>115</v>
      </c>
      <c r="T449" s="15" t="s">
        <v>50</v>
      </c>
      <c r="U449" s="17">
        <v>9413789556</v>
      </c>
      <c r="V449" s="17" t="s">
        <v>38</v>
      </c>
      <c r="W449" s="47">
        <f t="shared" ca="1" si="18"/>
        <v>46</v>
      </c>
      <c r="X449" s="42">
        <f t="shared" si="19"/>
        <v>11</v>
      </c>
      <c r="Y449" s="42" t="str">
        <f t="shared" si="20"/>
        <v>Delayed</v>
      </c>
    </row>
    <row r="450" spans="1:25" x14ac:dyDescent="0.5">
      <c r="A450" s="15" t="s">
        <v>1915</v>
      </c>
      <c r="B450" s="15" t="s">
        <v>327</v>
      </c>
      <c r="C450" s="15" t="s">
        <v>72</v>
      </c>
      <c r="D450" s="32">
        <v>46136</v>
      </c>
      <c r="E450" s="32">
        <v>46140</v>
      </c>
      <c r="F450" s="15" t="s">
        <v>394</v>
      </c>
      <c r="G450" s="15" t="s">
        <v>76</v>
      </c>
      <c r="H450" s="36">
        <v>36687</v>
      </c>
      <c r="I450" s="15" t="s">
        <v>138</v>
      </c>
      <c r="J450" s="15" t="s">
        <v>106</v>
      </c>
      <c r="K450" s="15" t="s">
        <v>46</v>
      </c>
      <c r="L450" s="15" t="s">
        <v>78</v>
      </c>
      <c r="M450" s="15">
        <v>4</v>
      </c>
      <c r="N450" s="25">
        <v>1200</v>
      </c>
      <c r="O450" s="15">
        <v>10</v>
      </c>
      <c r="P450" s="25">
        <v>4320</v>
      </c>
      <c r="Q450" s="15">
        <v>4</v>
      </c>
      <c r="R450" s="15" t="s">
        <v>88</v>
      </c>
      <c r="S450" s="15" t="s">
        <v>35</v>
      </c>
      <c r="T450" s="15" t="s">
        <v>332</v>
      </c>
      <c r="U450" s="15">
        <v>98765</v>
      </c>
      <c r="V450" s="15" t="s">
        <v>69</v>
      </c>
      <c r="W450" s="46">
        <f t="shared" ca="1" si="18"/>
        <v>26</v>
      </c>
      <c r="X450" s="42">
        <f t="shared" si="19"/>
        <v>4</v>
      </c>
      <c r="Y450" s="42" t="str">
        <f t="shared" si="20"/>
        <v xml:space="preserve">On Time </v>
      </c>
    </row>
    <row r="451" spans="1:25" x14ac:dyDescent="0.5">
      <c r="A451" s="17" t="s">
        <v>1920</v>
      </c>
      <c r="B451" s="17" t="s">
        <v>327</v>
      </c>
      <c r="C451" s="17" t="s">
        <v>169</v>
      </c>
      <c r="D451" s="33">
        <v>46145</v>
      </c>
      <c r="E451" s="33">
        <v>46155</v>
      </c>
      <c r="F451" s="15" t="s">
        <v>394</v>
      </c>
      <c r="G451" s="17" t="s">
        <v>76</v>
      </c>
      <c r="H451" s="37">
        <v>35906</v>
      </c>
      <c r="I451" s="17" t="s">
        <v>294</v>
      </c>
      <c r="J451" s="17" t="s">
        <v>295</v>
      </c>
      <c r="K451" s="17" t="s">
        <v>32</v>
      </c>
      <c r="L451" s="17" t="s">
        <v>174</v>
      </c>
      <c r="M451" s="17">
        <v>14</v>
      </c>
      <c r="N451" s="26">
        <v>8500</v>
      </c>
      <c r="O451" s="17">
        <v>10</v>
      </c>
      <c r="P451" s="26">
        <v>107100</v>
      </c>
      <c r="Q451" s="17">
        <v>4</v>
      </c>
      <c r="R451" s="17" t="s">
        <v>34</v>
      </c>
      <c r="S451" s="17" t="s">
        <v>35</v>
      </c>
      <c r="T451" s="15" t="s">
        <v>332</v>
      </c>
      <c r="U451" s="17">
        <v>9211936331</v>
      </c>
      <c r="V451" s="17" t="s">
        <v>38</v>
      </c>
      <c r="W451" s="47">
        <f t="shared" ref="W451:W501" ca="1" si="21">DATEDIF(H451, TODAY(), "y")</f>
        <v>28</v>
      </c>
      <c r="X451" s="42">
        <f t="shared" ref="X451:X501" si="22">IF(OR(ISBLANK(D451), ISBLANK(E451)), "Not Available", E451-D451)</f>
        <v>10</v>
      </c>
      <c r="Y451" s="42" t="str">
        <f t="shared" ref="Y451:Y501" si="23">IF(ISBLANK(E451), "Pending", IF(E451-D451&lt;=5, "On Time ",  "Delayed"))</f>
        <v>Delayed</v>
      </c>
    </row>
    <row r="452" spans="1:25" x14ac:dyDescent="0.5">
      <c r="A452" s="15" t="s">
        <v>1923</v>
      </c>
      <c r="B452" s="15" t="s">
        <v>71</v>
      </c>
      <c r="C452" s="15" t="s">
        <v>259</v>
      </c>
      <c r="D452" s="32">
        <v>45807</v>
      </c>
      <c r="E452" s="32">
        <v>45815</v>
      </c>
      <c r="F452" s="15" t="s">
        <v>217</v>
      </c>
      <c r="G452" s="15" t="s">
        <v>76</v>
      </c>
      <c r="H452" s="36">
        <v>30812</v>
      </c>
      <c r="I452" s="15" t="s">
        <v>30</v>
      </c>
      <c r="J452" s="15" t="s">
        <v>31</v>
      </c>
      <c r="K452" s="15" t="s">
        <v>122</v>
      </c>
      <c r="L452" s="15" t="s">
        <v>263</v>
      </c>
      <c r="M452" s="15">
        <v>1</v>
      </c>
      <c r="N452" s="25">
        <v>45</v>
      </c>
      <c r="O452" s="15">
        <v>0</v>
      </c>
      <c r="P452" s="25">
        <v>45</v>
      </c>
      <c r="Q452" s="15">
        <v>3</v>
      </c>
      <c r="R452" s="15" t="s">
        <v>88</v>
      </c>
      <c r="S452" s="15" t="s">
        <v>151</v>
      </c>
      <c r="T452" s="15" t="s">
        <v>80</v>
      </c>
      <c r="U452" s="15">
        <v>9167291747</v>
      </c>
      <c r="V452" s="15" t="s">
        <v>69</v>
      </c>
      <c r="W452" s="46">
        <f t="shared" ca="1" si="21"/>
        <v>42</v>
      </c>
      <c r="X452" s="42">
        <f t="shared" si="22"/>
        <v>8</v>
      </c>
      <c r="Y452" s="42" t="str">
        <f t="shared" si="23"/>
        <v>Delayed</v>
      </c>
    </row>
    <row r="453" spans="1:25" x14ac:dyDescent="0.5">
      <c r="A453" s="17" t="s">
        <v>1927</v>
      </c>
      <c r="B453" s="17" t="s">
        <v>71</v>
      </c>
      <c r="C453" s="17" t="s">
        <v>54</v>
      </c>
      <c r="D453" s="33">
        <v>45705</v>
      </c>
      <c r="E453" s="33">
        <v>45716</v>
      </c>
      <c r="F453" s="15" t="s">
        <v>217</v>
      </c>
      <c r="G453" s="17" t="s">
        <v>76</v>
      </c>
      <c r="H453" s="37">
        <v>31692</v>
      </c>
      <c r="I453" s="17" t="s">
        <v>44</v>
      </c>
      <c r="J453" s="17" t="s">
        <v>45</v>
      </c>
      <c r="K453" s="17" t="s">
        <v>46</v>
      </c>
      <c r="L453" s="17" t="s">
        <v>60</v>
      </c>
      <c r="M453" s="17">
        <v>16</v>
      </c>
      <c r="N453" s="26">
        <v>55000</v>
      </c>
      <c r="O453" s="17">
        <v>15</v>
      </c>
      <c r="P453" s="26">
        <v>748000</v>
      </c>
      <c r="Q453" s="17">
        <v>1</v>
      </c>
      <c r="R453" s="17" t="s">
        <v>79</v>
      </c>
      <c r="S453" s="17" t="s">
        <v>151</v>
      </c>
      <c r="T453" s="15" t="s">
        <v>80</v>
      </c>
      <c r="U453" s="17">
        <v>9637283597</v>
      </c>
      <c r="V453" s="17" t="s">
        <v>69</v>
      </c>
      <c r="W453" s="47">
        <f t="shared" ca="1" si="21"/>
        <v>40</v>
      </c>
      <c r="X453" s="42">
        <f t="shared" si="22"/>
        <v>11</v>
      </c>
      <c r="Y453" s="42" t="str">
        <f t="shared" si="23"/>
        <v>Delayed</v>
      </c>
    </row>
    <row r="454" spans="1:25" x14ac:dyDescent="0.5">
      <c r="A454" s="15" t="s">
        <v>1930</v>
      </c>
      <c r="B454" s="15" t="s">
        <v>53</v>
      </c>
      <c r="C454" s="15" t="s">
        <v>184</v>
      </c>
      <c r="D454" s="32">
        <v>46103</v>
      </c>
      <c r="E454" s="32">
        <v>46110</v>
      </c>
      <c r="F454" s="15" t="s">
        <v>163</v>
      </c>
      <c r="G454" s="15" t="s">
        <v>28</v>
      </c>
      <c r="H454" s="36">
        <v>37926</v>
      </c>
      <c r="I454" s="15" t="s">
        <v>138</v>
      </c>
      <c r="J454" s="15" t="s">
        <v>106</v>
      </c>
      <c r="K454" s="15" t="s">
        <v>46</v>
      </c>
      <c r="L454" s="15" t="s">
        <v>189</v>
      </c>
      <c r="M454" s="15">
        <v>8</v>
      </c>
      <c r="N454" s="25">
        <v>700</v>
      </c>
      <c r="O454" s="15">
        <v>0</v>
      </c>
      <c r="P454" s="25">
        <v>5600</v>
      </c>
      <c r="Q454" s="15">
        <v>3</v>
      </c>
      <c r="R454" s="15" t="s">
        <v>34</v>
      </c>
      <c r="S454" s="15" t="s">
        <v>49</v>
      </c>
      <c r="T454" s="15" t="s">
        <v>62</v>
      </c>
      <c r="U454" s="15">
        <v>9514269002</v>
      </c>
      <c r="V454" s="15" t="s">
        <v>38</v>
      </c>
      <c r="W454" s="46">
        <f t="shared" ca="1" si="21"/>
        <v>22</v>
      </c>
      <c r="X454" s="42">
        <f t="shared" si="22"/>
        <v>7</v>
      </c>
      <c r="Y454" s="42" t="str">
        <f t="shared" si="23"/>
        <v>Delayed</v>
      </c>
    </row>
    <row r="455" spans="1:25" x14ac:dyDescent="0.5">
      <c r="A455" s="17" t="s">
        <v>1935</v>
      </c>
      <c r="B455" s="17" t="s">
        <v>251</v>
      </c>
      <c r="C455" s="17" t="s">
        <v>72</v>
      </c>
      <c r="D455" s="33">
        <v>46114</v>
      </c>
      <c r="E455" s="33">
        <v>46125</v>
      </c>
      <c r="F455" s="15" t="s">
        <v>254</v>
      </c>
      <c r="G455" s="17" t="s">
        <v>28</v>
      </c>
      <c r="H455" s="37">
        <v>37782</v>
      </c>
      <c r="I455" s="17" t="s">
        <v>138</v>
      </c>
      <c r="J455" s="17" t="s">
        <v>106</v>
      </c>
      <c r="K455" s="17" t="s">
        <v>46</v>
      </c>
      <c r="L455" s="17" t="s">
        <v>78</v>
      </c>
      <c r="M455" s="17">
        <v>3</v>
      </c>
      <c r="N455" s="26">
        <v>1200</v>
      </c>
      <c r="O455" s="17">
        <v>0</v>
      </c>
      <c r="P455" s="26">
        <v>3600</v>
      </c>
      <c r="Q455" s="17">
        <v>1</v>
      </c>
      <c r="R455" s="17" t="s">
        <v>79</v>
      </c>
      <c r="S455" s="17" t="s">
        <v>49</v>
      </c>
      <c r="T455" s="15" t="s">
        <v>256</v>
      </c>
      <c r="U455" s="17">
        <v>9778908233</v>
      </c>
      <c r="V455" s="17" t="s">
        <v>69</v>
      </c>
      <c r="W455" s="47">
        <f t="shared" ca="1" si="21"/>
        <v>23</v>
      </c>
      <c r="X455" s="42">
        <f t="shared" si="22"/>
        <v>11</v>
      </c>
      <c r="Y455" s="42" t="str">
        <f t="shared" si="23"/>
        <v>Delayed</v>
      </c>
    </row>
    <row r="456" spans="1:25" x14ac:dyDescent="0.5">
      <c r="A456" s="15" t="s">
        <v>1939</v>
      </c>
      <c r="B456" s="15" t="s">
        <v>71</v>
      </c>
      <c r="C456" s="15" t="s">
        <v>92</v>
      </c>
      <c r="D456" s="32">
        <v>45706</v>
      </c>
      <c r="E456" s="32">
        <v>45714</v>
      </c>
      <c r="F456" s="15" t="s">
        <v>217</v>
      </c>
      <c r="G456" s="15" t="s">
        <v>76</v>
      </c>
      <c r="H456" s="36">
        <v>32959</v>
      </c>
      <c r="I456" s="15" t="s">
        <v>294</v>
      </c>
      <c r="J456" s="15" t="s">
        <v>295</v>
      </c>
      <c r="K456" s="15" t="s">
        <v>32</v>
      </c>
      <c r="L456" s="15" t="s">
        <v>97</v>
      </c>
      <c r="M456" s="15">
        <v>7</v>
      </c>
      <c r="N456" s="25">
        <v>3500</v>
      </c>
      <c r="O456" s="15">
        <v>15</v>
      </c>
      <c r="P456" s="25">
        <v>20825</v>
      </c>
      <c r="Q456" s="15">
        <v>4</v>
      </c>
      <c r="R456" s="15" t="s">
        <v>79</v>
      </c>
      <c r="S456" s="15" t="s">
        <v>61</v>
      </c>
      <c r="T456" s="15" t="s">
        <v>80</v>
      </c>
      <c r="U456" s="15">
        <v>9981118755</v>
      </c>
      <c r="V456" s="15" t="s">
        <v>64</v>
      </c>
      <c r="W456" s="46">
        <f t="shared" ca="1" si="21"/>
        <v>36</v>
      </c>
      <c r="X456" s="42">
        <f t="shared" si="22"/>
        <v>8</v>
      </c>
      <c r="Y456" s="42" t="str">
        <f t="shared" si="23"/>
        <v>Delayed</v>
      </c>
    </row>
    <row r="457" spans="1:25" x14ac:dyDescent="0.5">
      <c r="A457" s="17" t="s">
        <v>1942</v>
      </c>
      <c r="B457" s="17" t="s">
        <v>53</v>
      </c>
      <c r="C457" s="17" t="s">
        <v>54</v>
      </c>
      <c r="D457" s="33">
        <v>46110</v>
      </c>
      <c r="E457" s="33">
        <v>46116</v>
      </c>
      <c r="F457" s="15" t="s">
        <v>163</v>
      </c>
      <c r="G457" s="17" t="s">
        <v>28</v>
      </c>
      <c r="H457" s="37">
        <v>37769</v>
      </c>
      <c r="I457" s="17" t="s">
        <v>114</v>
      </c>
      <c r="J457" s="17" t="s">
        <v>106</v>
      </c>
      <c r="K457" s="17" t="s">
        <v>46</v>
      </c>
      <c r="L457" s="17" t="s">
        <v>60</v>
      </c>
      <c r="M457" s="17">
        <v>9</v>
      </c>
      <c r="N457" s="26">
        <v>55000</v>
      </c>
      <c r="O457" s="17">
        <v>15</v>
      </c>
      <c r="P457" s="26">
        <v>420750</v>
      </c>
      <c r="Q457" s="17">
        <v>3</v>
      </c>
      <c r="R457" s="17" t="s">
        <v>88</v>
      </c>
      <c r="S457" s="17" t="s">
        <v>35</v>
      </c>
      <c r="T457" s="15" t="s">
        <v>62</v>
      </c>
      <c r="U457" s="17">
        <v>9887896743</v>
      </c>
      <c r="V457" s="17" t="s">
        <v>69</v>
      </c>
      <c r="W457" s="47">
        <f t="shared" ca="1" si="21"/>
        <v>23</v>
      </c>
      <c r="X457" s="42">
        <f t="shared" si="22"/>
        <v>6</v>
      </c>
      <c r="Y457" s="42" t="str">
        <f t="shared" si="23"/>
        <v>Delayed</v>
      </c>
    </row>
    <row r="458" spans="1:25" x14ac:dyDescent="0.5">
      <c r="A458" s="15" t="s">
        <v>1945</v>
      </c>
      <c r="B458" s="15" t="s">
        <v>327</v>
      </c>
      <c r="C458" s="15" t="s">
        <v>40</v>
      </c>
      <c r="D458" s="32">
        <v>45992</v>
      </c>
      <c r="E458" s="32">
        <v>45993</v>
      </c>
      <c r="F458" s="15" t="s">
        <v>394</v>
      </c>
      <c r="G458" s="15" t="s">
        <v>76</v>
      </c>
      <c r="H458" s="36">
        <v>34006</v>
      </c>
      <c r="I458" s="15" t="s">
        <v>59</v>
      </c>
      <c r="J458" s="15" t="s">
        <v>31</v>
      </c>
      <c r="K458" s="15" t="s">
        <v>46</v>
      </c>
      <c r="L458" s="15" t="s">
        <v>47</v>
      </c>
      <c r="M458" s="15">
        <v>12</v>
      </c>
      <c r="N458" s="25">
        <v>12000</v>
      </c>
      <c r="O458" s="15">
        <v>0</v>
      </c>
      <c r="P458" s="25">
        <v>144000</v>
      </c>
      <c r="Q458" s="15">
        <v>3</v>
      </c>
      <c r="R458" s="15" t="s">
        <v>79</v>
      </c>
      <c r="S458" s="15" t="s">
        <v>151</v>
      </c>
      <c r="T458" s="15" t="s">
        <v>332</v>
      </c>
      <c r="U458" s="15">
        <v>9585330043</v>
      </c>
      <c r="V458" s="15" t="s">
        <v>69</v>
      </c>
      <c r="W458" s="46">
        <f t="shared" ca="1" si="21"/>
        <v>33</v>
      </c>
      <c r="X458" s="42">
        <f t="shared" si="22"/>
        <v>1</v>
      </c>
      <c r="Y458" s="42" t="str">
        <f t="shared" si="23"/>
        <v xml:space="preserve">On Time </v>
      </c>
    </row>
    <row r="459" spans="1:25" x14ac:dyDescent="0.5">
      <c r="A459" s="17" t="s">
        <v>1948</v>
      </c>
      <c r="B459" s="17" t="s">
        <v>100</v>
      </c>
      <c r="C459" s="17" t="s">
        <v>118</v>
      </c>
      <c r="D459" s="33">
        <v>45781</v>
      </c>
      <c r="E459" s="33">
        <v>45788</v>
      </c>
      <c r="F459" s="15" t="s">
        <v>103</v>
      </c>
      <c r="G459" s="17" t="s">
        <v>28</v>
      </c>
      <c r="H459" s="37">
        <v>27639</v>
      </c>
      <c r="I459" s="17" t="s">
        <v>138</v>
      </c>
      <c r="J459" s="17" t="s">
        <v>106</v>
      </c>
      <c r="K459" s="17" t="s">
        <v>122</v>
      </c>
      <c r="L459" s="17" t="s">
        <v>123</v>
      </c>
      <c r="M459" s="17">
        <v>7</v>
      </c>
      <c r="N459" s="26">
        <v>60</v>
      </c>
      <c r="O459" s="17">
        <v>10</v>
      </c>
      <c r="P459" s="26">
        <v>378</v>
      </c>
      <c r="Q459" s="17">
        <v>4</v>
      </c>
      <c r="R459" s="17" t="s">
        <v>34</v>
      </c>
      <c r="S459" s="17" t="s">
        <v>49</v>
      </c>
      <c r="T459" s="15" t="s">
        <v>144</v>
      </c>
      <c r="U459" s="17">
        <v>9423719975</v>
      </c>
      <c r="V459" s="17" t="s">
        <v>69</v>
      </c>
      <c r="W459" s="47">
        <f t="shared" ca="1" si="21"/>
        <v>51</v>
      </c>
      <c r="X459" s="42">
        <f t="shared" si="22"/>
        <v>7</v>
      </c>
      <c r="Y459" s="42" t="str">
        <f t="shared" si="23"/>
        <v>Delayed</v>
      </c>
    </row>
    <row r="460" spans="1:25" x14ac:dyDescent="0.5">
      <c r="A460" s="15" t="s">
        <v>1951</v>
      </c>
      <c r="B460" s="15" t="s">
        <v>221</v>
      </c>
      <c r="C460" s="15" t="s">
        <v>24</v>
      </c>
      <c r="D460" s="32">
        <v>45892</v>
      </c>
      <c r="E460" s="32">
        <v>45900</v>
      </c>
      <c r="F460" s="15" t="s">
        <v>225</v>
      </c>
      <c r="G460" s="15" t="s">
        <v>76</v>
      </c>
      <c r="H460" s="36">
        <v>34586</v>
      </c>
      <c r="I460" s="15" t="s">
        <v>105</v>
      </c>
      <c r="J460" s="15" t="s">
        <v>106</v>
      </c>
      <c r="K460" s="15" t="s">
        <v>32</v>
      </c>
      <c r="L460" s="15" t="s">
        <v>33</v>
      </c>
      <c r="M460" s="15">
        <v>17</v>
      </c>
      <c r="N460" s="25">
        <v>2200</v>
      </c>
      <c r="O460" s="15">
        <v>15</v>
      </c>
      <c r="P460" s="25">
        <v>31790</v>
      </c>
      <c r="Q460" s="15">
        <v>3</v>
      </c>
      <c r="R460" s="15" t="s">
        <v>88</v>
      </c>
      <c r="S460" s="15" t="s">
        <v>151</v>
      </c>
      <c r="T460" s="15" t="s">
        <v>228</v>
      </c>
      <c r="U460" s="15">
        <v>9270746961</v>
      </c>
      <c r="V460" s="15" t="s">
        <v>64</v>
      </c>
      <c r="W460" s="46">
        <f t="shared" ca="1" si="21"/>
        <v>32</v>
      </c>
      <c r="X460" s="42">
        <f t="shared" si="22"/>
        <v>8</v>
      </c>
      <c r="Y460" s="42" t="str">
        <f t="shared" si="23"/>
        <v>Delayed</v>
      </c>
    </row>
    <row r="461" spans="1:25" x14ac:dyDescent="0.5">
      <c r="A461" s="17" t="s">
        <v>1954</v>
      </c>
      <c r="B461" s="17" t="s">
        <v>327</v>
      </c>
      <c r="C461" s="17" t="s">
        <v>184</v>
      </c>
      <c r="D461" s="33">
        <v>45988</v>
      </c>
      <c r="E461" s="33">
        <v>45997</v>
      </c>
      <c r="F461" s="15" t="s">
        <v>394</v>
      </c>
      <c r="G461" s="17" t="s">
        <v>76</v>
      </c>
      <c r="H461" s="37">
        <v>33884</v>
      </c>
      <c r="I461" s="17" t="s">
        <v>59</v>
      </c>
      <c r="J461" s="17" t="s">
        <v>31</v>
      </c>
      <c r="K461" s="17" t="s">
        <v>46</v>
      </c>
      <c r="L461" s="17" t="s">
        <v>189</v>
      </c>
      <c r="M461" s="17">
        <v>17</v>
      </c>
      <c r="N461" s="26">
        <v>700</v>
      </c>
      <c r="O461" s="17">
        <v>10</v>
      </c>
      <c r="P461" s="26">
        <v>10710</v>
      </c>
      <c r="Q461" s="17">
        <v>2</v>
      </c>
      <c r="R461" s="17" t="s">
        <v>34</v>
      </c>
      <c r="S461" s="17" t="s">
        <v>61</v>
      </c>
      <c r="T461" s="15" t="s">
        <v>332</v>
      </c>
      <c r="U461" s="17">
        <v>9333162025</v>
      </c>
      <c r="V461" s="17" t="s">
        <v>64</v>
      </c>
      <c r="W461" s="47">
        <f t="shared" ca="1" si="21"/>
        <v>34</v>
      </c>
      <c r="X461" s="42">
        <f t="shared" si="22"/>
        <v>9</v>
      </c>
      <c r="Y461" s="42" t="str">
        <f t="shared" si="23"/>
        <v>Delayed</v>
      </c>
    </row>
    <row r="462" spans="1:25" x14ac:dyDescent="0.5">
      <c r="A462" s="15" t="s">
        <v>1957</v>
      </c>
      <c r="B462" s="15" t="s">
        <v>327</v>
      </c>
      <c r="C462" s="15" t="s">
        <v>54</v>
      </c>
      <c r="D462" s="32">
        <v>45806</v>
      </c>
      <c r="E462" s="32">
        <v>45809</v>
      </c>
      <c r="F462" s="15" t="s">
        <v>394</v>
      </c>
      <c r="G462" s="15" t="s">
        <v>76</v>
      </c>
      <c r="H462" s="36">
        <v>37454</v>
      </c>
      <c r="I462" s="15" t="s">
        <v>44</v>
      </c>
      <c r="J462" s="15" t="s">
        <v>45</v>
      </c>
      <c r="K462" s="15" t="s">
        <v>46</v>
      </c>
      <c r="L462" s="15" t="s">
        <v>60</v>
      </c>
      <c r="M462" s="15">
        <v>19</v>
      </c>
      <c r="N462" s="25">
        <v>55000</v>
      </c>
      <c r="O462" s="15">
        <v>20</v>
      </c>
      <c r="P462" s="25">
        <v>836000</v>
      </c>
      <c r="Q462" s="15">
        <v>5</v>
      </c>
      <c r="R462" s="15" t="s">
        <v>48</v>
      </c>
      <c r="S462" s="15" t="s">
        <v>61</v>
      </c>
      <c r="T462" s="15" t="s">
        <v>332</v>
      </c>
      <c r="U462" s="15">
        <v>9247023285</v>
      </c>
      <c r="V462" s="15" t="s">
        <v>38</v>
      </c>
      <c r="W462" s="46">
        <f t="shared" ca="1" si="21"/>
        <v>24</v>
      </c>
      <c r="X462" s="42">
        <f t="shared" si="22"/>
        <v>3</v>
      </c>
      <c r="Y462" s="42" t="str">
        <f t="shared" si="23"/>
        <v xml:space="preserve">On Time </v>
      </c>
    </row>
    <row r="463" spans="1:25" x14ac:dyDescent="0.5">
      <c r="A463" s="17" t="s">
        <v>1961</v>
      </c>
      <c r="B463" s="17" t="s">
        <v>127</v>
      </c>
      <c r="C463" s="17" t="s">
        <v>118</v>
      </c>
      <c r="D463" s="33">
        <v>45912</v>
      </c>
      <c r="E463" s="33">
        <v>45919</v>
      </c>
      <c r="F463" s="15" t="s">
        <v>200</v>
      </c>
      <c r="G463" s="17" t="s">
        <v>76</v>
      </c>
      <c r="H463" s="37">
        <v>36925</v>
      </c>
      <c r="I463" s="17" t="s">
        <v>44</v>
      </c>
      <c r="J463" s="17" t="s">
        <v>45</v>
      </c>
      <c r="K463" s="17" t="s">
        <v>122</v>
      </c>
      <c r="L463" s="17" t="s">
        <v>123</v>
      </c>
      <c r="M463" s="17">
        <v>1</v>
      </c>
      <c r="N463" s="26">
        <v>60</v>
      </c>
      <c r="O463" s="17">
        <v>10</v>
      </c>
      <c r="P463" s="26">
        <v>54</v>
      </c>
      <c r="Q463" s="17">
        <v>4</v>
      </c>
      <c r="R463" s="17" t="s">
        <v>48</v>
      </c>
      <c r="S463" s="17"/>
      <c r="T463" s="15" t="s">
        <v>132</v>
      </c>
      <c r="U463" s="17">
        <v>9448658297</v>
      </c>
      <c r="V463" s="17" t="s">
        <v>69</v>
      </c>
      <c r="W463" s="47">
        <f t="shared" ca="1" si="21"/>
        <v>25</v>
      </c>
      <c r="X463" s="42">
        <f t="shared" si="22"/>
        <v>7</v>
      </c>
      <c r="Y463" s="42" t="str">
        <f t="shared" si="23"/>
        <v>Delayed</v>
      </c>
    </row>
    <row r="464" spans="1:25" x14ac:dyDescent="0.5">
      <c r="A464" s="15" t="s">
        <v>1965</v>
      </c>
      <c r="B464" s="15" t="s">
        <v>71</v>
      </c>
      <c r="C464" s="15" t="s">
        <v>92</v>
      </c>
      <c r="D464" s="32">
        <v>46085</v>
      </c>
      <c r="E464" s="32">
        <v>46092</v>
      </c>
      <c r="F464" s="15" t="s">
        <v>217</v>
      </c>
      <c r="G464" s="15" t="s">
        <v>76</v>
      </c>
      <c r="H464" s="36">
        <v>33047</v>
      </c>
      <c r="I464" s="15" t="s">
        <v>30</v>
      </c>
      <c r="J464" s="15" t="s">
        <v>31</v>
      </c>
      <c r="K464" s="15" t="s">
        <v>32</v>
      </c>
      <c r="L464" s="15" t="s">
        <v>97</v>
      </c>
      <c r="M464" s="15">
        <v>16</v>
      </c>
      <c r="N464" s="25">
        <v>3500</v>
      </c>
      <c r="O464" s="15">
        <v>0</v>
      </c>
      <c r="P464" s="25">
        <v>56000</v>
      </c>
      <c r="Q464" s="15">
        <v>4</v>
      </c>
      <c r="R464" s="15" t="s">
        <v>48</v>
      </c>
      <c r="S464" s="15" t="s">
        <v>35</v>
      </c>
      <c r="T464" s="15" t="s">
        <v>80</v>
      </c>
      <c r="U464" s="15">
        <v>9906748486</v>
      </c>
      <c r="V464" s="15" t="s">
        <v>64</v>
      </c>
      <c r="W464" s="46">
        <f t="shared" ca="1" si="21"/>
        <v>36</v>
      </c>
      <c r="X464" s="42">
        <f t="shared" si="22"/>
        <v>7</v>
      </c>
      <c r="Y464" s="42" t="str">
        <f t="shared" si="23"/>
        <v>Delayed</v>
      </c>
    </row>
    <row r="465" spans="1:25" x14ac:dyDescent="0.5">
      <c r="A465" s="17" t="s">
        <v>1968</v>
      </c>
      <c r="B465" s="17" t="s">
        <v>127</v>
      </c>
      <c r="C465" s="17" t="s">
        <v>222</v>
      </c>
      <c r="D465" s="33">
        <v>45681</v>
      </c>
      <c r="E465" s="33">
        <v>45693</v>
      </c>
      <c r="F465" s="15" t="s">
        <v>200</v>
      </c>
      <c r="G465" s="17" t="s">
        <v>76</v>
      </c>
      <c r="H465" s="37">
        <v>28623</v>
      </c>
      <c r="I465" s="17" t="s">
        <v>114</v>
      </c>
      <c r="J465" s="17" t="s">
        <v>106</v>
      </c>
      <c r="K465" s="17" t="s">
        <v>122</v>
      </c>
      <c r="L465" s="17" t="s">
        <v>227</v>
      </c>
      <c r="M465" s="17">
        <v>14</v>
      </c>
      <c r="N465" s="26">
        <v>20</v>
      </c>
      <c r="O465" s="17">
        <v>10</v>
      </c>
      <c r="P465" s="26">
        <v>252</v>
      </c>
      <c r="Q465" s="17">
        <v>1</v>
      </c>
      <c r="R465" s="17" t="s">
        <v>48</v>
      </c>
      <c r="S465" s="17" t="s">
        <v>61</v>
      </c>
      <c r="T465" s="15" t="s">
        <v>132</v>
      </c>
      <c r="U465" s="17">
        <v>9365182725</v>
      </c>
      <c r="V465" s="17" t="s">
        <v>64</v>
      </c>
      <c r="W465" s="47">
        <f t="shared" ca="1" si="21"/>
        <v>48</v>
      </c>
      <c r="X465" s="42">
        <f t="shared" si="22"/>
        <v>12</v>
      </c>
      <c r="Y465" s="42" t="str">
        <f t="shared" si="23"/>
        <v>Delayed</v>
      </c>
    </row>
    <row r="466" spans="1:25" x14ac:dyDescent="0.5">
      <c r="A466" s="15" t="s">
        <v>1970</v>
      </c>
      <c r="B466" s="15" t="s">
        <v>71</v>
      </c>
      <c r="C466" s="15" t="s">
        <v>24</v>
      </c>
      <c r="D466" s="32">
        <v>46004</v>
      </c>
      <c r="E466" s="32">
        <v>46005</v>
      </c>
      <c r="F466" s="15" t="s">
        <v>217</v>
      </c>
      <c r="G466" s="15" t="s">
        <v>76</v>
      </c>
      <c r="H466" s="36">
        <v>36729</v>
      </c>
      <c r="I466" s="15" t="s">
        <v>59</v>
      </c>
      <c r="J466" s="15" t="s">
        <v>31</v>
      </c>
      <c r="K466" s="15" t="s">
        <v>32</v>
      </c>
      <c r="L466" s="15" t="s">
        <v>33</v>
      </c>
      <c r="M466" s="15">
        <v>11</v>
      </c>
      <c r="N466" s="25">
        <v>2200</v>
      </c>
      <c r="O466" s="15">
        <v>15</v>
      </c>
      <c r="P466" s="25">
        <v>20570</v>
      </c>
      <c r="Q466" s="15">
        <v>4</v>
      </c>
      <c r="R466" s="15" t="s">
        <v>48</v>
      </c>
      <c r="S466" s="15" t="s">
        <v>49</v>
      </c>
      <c r="T466" s="15" t="s">
        <v>80</v>
      </c>
      <c r="U466" s="15">
        <v>9937119494</v>
      </c>
      <c r="V466" s="15" t="s">
        <v>69</v>
      </c>
      <c r="W466" s="46">
        <f t="shared" ca="1" si="21"/>
        <v>26</v>
      </c>
      <c r="X466" s="42">
        <f t="shared" si="22"/>
        <v>1</v>
      </c>
      <c r="Y466" s="42" t="str">
        <f t="shared" si="23"/>
        <v xml:space="preserve">On Time </v>
      </c>
    </row>
    <row r="467" spans="1:25" x14ac:dyDescent="0.5">
      <c r="A467" s="17" t="s">
        <v>1973</v>
      </c>
      <c r="B467" s="17" t="s">
        <v>83</v>
      </c>
      <c r="C467" s="17" t="s">
        <v>54</v>
      </c>
      <c r="D467" s="33">
        <v>45870</v>
      </c>
      <c r="E467" s="33">
        <v>45878</v>
      </c>
      <c r="F467" s="15" t="s">
        <v>180</v>
      </c>
      <c r="G467" s="17" t="s">
        <v>76</v>
      </c>
      <c r="H467" s="37">
        <v>31126</v>
      </c>
      <c r="I467" s="17" t="s">
        <v>212</v>
      </c>
      <c r="J467" s="17" t="s">
        <v>45</v>
      </c>
      <c r="K467" s="17" t="s">
        <v>46</v>
      </c>
      <c r="L467" s="17" t="s">
        <v>60</v>
      </c>
      <c r="M467" s="17">
        <v>2</v>
      </c>
      <c r="N467" s="26">
        <v>55000</v>
      </c>
      <c r="O467" s="17">
        <v>0</v>
      </c>
      <c r="P467" s="26">
        <v>110000</v>
      </c>
      <c r="Q467" s="17">
        <v>4</v>
      </c>
      <c r="R467" s="17" t="s">
        <v>48</v>
      </c>
      <c r="S467" s="17" t="s">
        <v>49</v>
      </c>
      <c r="T467" s="15" t="s">
        <v>89</v>
      </c>
      <c r="U467" s="17">
        <v>9828015293</v>
      </c>
      <c r="V467" s="17" t="s">
        <v>69</v>
      </c>
      <c r="W467" s="47">
        <f t="shared" ca="1" si="21"/>
        <v>41</v>
      </c>
      <c r="X467" s="42">
        <f t="shared" si="22"/>
        <v>8</v>
      </c>
      <c r="Y467" s="42" t="str">
        <f t="shared" si="23"/>
        <v>Delayed</v>
      </c>
    </row>
    <row r="468" spans="1:25" x14ac:dyDescent="0.5">
      <c r="A468" s="15" t="s">
        <v>1976</v>
      </c>
      <c r="B468" s="15" t="s">
        <v>53</v>
      </c>
      <c r="C468" s="15" t="s">
        <v>24</v>
      </c>
      <c r="D468" s="32">
        <v>45658</v>
      </c>
      <c r="E468" s="32">
        <v>45664</v>
      </c>
      <c r="F468" s="15" t="s">
        <v>163</v>
      </c>
      <c r="G468" s="15" t="s">
        <v>28</v>
      </c>
      <c r="H468" s="36">
        <v>32181</v>
      </c>
      <c r="I468" s="15" t="s">
        <v>114</v>
      </c>
      <c r="J468" s="15" t="s">
        <v>106</v>
      </c>
      <c r="K468" s="15" t="s">
        <v>32</v>
      </c>
      <c r="L468" s="15" t="s">
        <v>33</v>
      </c>
      <c r="M468" s="15">
        <v>7</v>
      </c>
      <c r="N468" s="25">
        <v>2200</v>
      </c>
      <c r="O468" s="15">
        <v>5</v>
      </c>
      <c r="P468" s="25">
        <v>14630</v>
      </c>
      <c r="Q468" s="15">
        <v>4</v>
      </c>
      <c r="R468" s="15" t="s">
        <v>79</v>
      </c>
      <c r="S468" s="15" t="s">
        <v>115</v>
      </c>
      <c r="T468" s="15" t="s">
        <v>62</v>
      </c>
      <c r="U468" s="15">
        <v>9864206250</v>
      </c>
      <c r="V468" s="15" t="s">
        <v>69</v>
      </c>
      <c r="W468" s="46">
        <f t="shared" ca="1" si="21"/>
        <v>38</v>
      </c>
      <c r="X468" s="42">
        <f t="shared" si="22"/>
        <v>6</v>
      </c>
      <c r="Y468" s="42" t="str">
        <f t="shared" si="23"/>
        <v>Delayed</v>
      </c>
    </row>
    <row r="469" spans="1:25" x14ac:dyDescent="0.5">
      <c r="A469" s="17" t="s">
        <v>1979</v>
      </c>
      <c r="B469" s="17" t="s">
        <v>23</v>
      </c>
      <c r="C469" s="17" t="s">
        <v>259</v>
      </c>
      <c r="D469" s="33">
        <v>45755</v>
      </c>
      <c r="E469" s="33">
        <v>45759</v>
      </c>
      <c r="F469" s="15" t="s">
        <v>27</v>
      </c>
      <c r="G469" s="17" t="s">
        <v>28</v>
      </c>
      <c r="H469" s="37">
        <v>35546</v>
      </c>
      <c r="I469" s="17" t="s">
        <v>138</v>
      </c>
      <c r="J469" s="17" t="s">
        <v>106</v>
      </c>
      <c r="K469" s="17" t="s">
        <v>122</v>
      </c>
      <c r="L469" s="17" t="s">
        <v>263</v>
      </c>
      <c r="M469" s="17">
        <v>11</v>
      </c>
      <c r="N469" s="26">
        <v>45</v>
      </c>
      <c r="O469" s="17">
        <v>15</v>
      </c>
      <c r="P469" s="26">
        <v>420.75</v>
      </c>
      <c r="Q469" s="17">
        <v>4</v>
      </c>
      <c r="R469" s="17" t="s">
        <v>79</v>
      </c>
      <c r="S469" s="17" t="s">
        <v>61</v>
      </c>
      <c r="T469" s="15" t="s">
        <v>50</v>
      </c>
      <c r="U469" s="17">
        <v>9519293104</v>
      </c>
      <c r="V469" s="17" t="s">
        <v>64</v>
      </c>
      <c r="W469" s="47">
        <f t="shared" ca="1" si="21"/>
        <v>29</v>
      </c>
      <c r="X469" s="42">
        <f t="shared" si="22"/>
        <v>4</v>
      </c>
      <c r="Y469" s="42" t="str">
        <f t="shared" si="23"/>
        <v xml:space="preserve">On Time </v>
      </c>
    </row>
    <row r="470" spans="1:25" x14ac:dyDescent="0.5">
      <c r="A470" s="15" t="s">
        <v>1982</v>
      </c>
      <c r="B470" s="15" t="s">
        <v>100</v>
      </c>
      <c r="C470" s="15" t="s">
        <v>118</v>
      </c>
      <c r="D470" s="32">
        <v>45767</v>
      </c>
      <c r="E470" s="32">
        <v>45777</v>
      </c>
      <c r="F470" s="15" t="s">
        <v>103</v>
      </c>
      <c r="G470" s="15" t="s">
        <v>28</v>
      </c>
      <c r="H470" s="36">
        <v>37033</v>
      </c>
      <c r="I470" s="15" t="s">
        <v>105</v>
      </c>
      <c r="J470" s="15" t="s">
        <v>106</v>
      </c>
      <c r="K470" s="15" t="s">
        <v>122</v>
      </c>
      <c r="L470" s="15" t="s">
        <v>123</v>
      </c>
      <c r="M470" s="15">
        <v>16</v>
      </c>
      <c r="N470" s="25">
        <v>60</v>
      </c>
      <c r="O470" s="15">
        <v>5</v>
      </c>
      <c r="P470" s="25">
        <v>912</v>
      </c>
      <c r="Q470" s="15">
        <v>2</v>
      </c>
      <c r="R470" s="15" t="s">
        <v>34</v>
      </c>
      <c r="S470" s="15" t="s">
        <v>115</v>
      </c>
      <c r="T470" s="15" t="s">
        <v>144</v>
      </c>
      <c r="U470" s="15">
        <v>9296075245</v>
      </c>
      <c r="V470" s="15" t="s">
        <v>69</v>
      </c>
      <c r="W470" s="46">
        <f t="shared" ca="1" si="21"/>
        <v>25</v>
      </c>
      <c r="X470" s="42">
        <f t="shared" si="22"/>
        <v>10</v>
      </c>
      <c r="Y470" s="42" t="str">
        <f t="shared" si="23"/>
        <v>Delayed</v>
      </c>
    </row>
    <row r="471" spans="1:25" x14ac:dyDescent="0.5">
      <c r="A471" s="17" t="s">
        <v>1985</v>
      </c>
      <c r="B471" s="17" t="s">
        <v>327</v>
      </c>
      <c r="C471" s="17" t="s">
        <v>54</v>
      </c>
      <c r="D471" s="33">
        <v>45963</v>
      </c>
      <c r="E471" s="33">
        <v>45965</v>
      </c>
      <c r="F471" s="15" t="s">
        <v>394</v>
      </c>
      <c r="G471" s="17" t="s">
        <v>76</v>
      </c>
      <c r="H471" s="37">
        <v>30121</v>
      </c>
      <c r="I471" s="17" t="s">
        <v>114</v>
      </c>
      <c r="J471" s="17" t="s">
        <v>106</v>
      </c>
      <c r="K471" s="17" t="s">
        <v>46</v>
      </c>
      <c r="L471" s="17" t="s">
        <v>60</v>
      </c>
      <c r="M471" s="17">
        <v>18</v>
      </c>
      <c r="N471" s="26">
        <v>55000</v>
      </c>
      <c r="O471" s="17">
        <v>0</v>
      </c>
      <c r="P471" s="26">
        <v>990000</v>
      </c>
      <c r="Q471" s="17">
        <v>5</v>
      </c>
      <c r="R471" s="17" t="s">
        <v>48</v>
      </c>
      <c r="S471" s="17" t="s">
        <v>49</v>
      </c>
      <c r="T471" s="15" t="s">
        <v>332</v>
      </c>
      <c r="U471" s="17">
        <v>9316770206</v>
      </c>
      <c r="V471" s="17" t="s">
        <v>64</v>
      </c>
      <c r="W471" s="47">
        <f t="shared" ca="1" si="21"/>
        <v>44</v>
      </c>
      <c r="X471" s="42">
        <f t="shared" si="22"/>
        <v>2</v>
      </c>
      <c r="Y471" s="42" t="str">
        <f t="shared" si="23"/>
        <v xml:space="preserve">On Time </v>
      </c>
    </row>
    <row r="472" spans="1:25" x14ac:dyDescent="0.5">
      <c r="A472" s="15" t="s">
        <v>1988</v>
      </c>
      <c r="B472" s="15" t="s">
        <v>23</v>
      </c>
      <c r="C472" s="15" t="s">
        <v>72</v>
      </c>
      <c r="D472" s="32">
        <v>45948</v>
      </c>
      <c r="E472" s="32">
        <v>45952</v>
      </c>
      <c r="F472" s="15" t="s">
        <v>27</v>
      </c>
      <c r="G472" s="15" t="s">
        <v>28</v>
      </c>
      <c r="H472" s="36">
        <v>36334</v>
      </c>
      <c r="I472" s="15" t="s">
        <v>59</v>
      </c>
      <c r="J472" s="15" t="s">
        <v>31</v>
      </c>
      <c r="K472" s="15" t="s">
        <v>46</v>
      </c>
      <c r="L472" s="15" t="s">
        <v>78</v>
      </c>
      <c r="M472" s="15">
        <v>17</v>
      </c>
      <c r="N472" s="25">
        <v>1200</v>
      </c>
      <c r="O472" s="15">
        <v>5</v>
      </c>
      <c r="P472" s="25">
        <v>19380</v>
      </c>
      <c r="Q472" s="15">
        <v>1</v>
      </c>
      <c r="R472" s="15" t="s">
        <v>48</v>
      </c>
      <c r="S472" s="15" t="s">
        <v>35</v>
      </c>
      <c r="T472" s="15" t="s">
        <v>50</v>
      </c>
      <c r="U472" s="15">
        <v>9706553861</v>
      </c>
      <c r="V472" s="15" t="s">
        <v>64</v>
      </c>
      <c r="W472" s="46">
        <f t="shared" ca="1" si="21"/>
        <v>27</v>
      </c>
      <c r="X472" s="42">
        <f t="shared" si="22"/>
        <v>4</v>
      </c>
      <c r="Y472" s="42" t="str">
        <f t="shared" si="23"/>
        <v xml:space="preserve">On Time </v>
      </c>
    </row>
    <row r="473" spans="1:25" x14ac:dyDescent="0.5">
      <c r="A473" s="17" t="s">
        <v>1992</v>
      </c>
      <c r="B473" s="17" t="s">
        <v>53</v>
      </c>
      <c r="C473" s="17" t="s">
        <v>54</v>
      </c>
      <c r="D473" s="33">
        <v>45774</v>
      </c>
      <c r="E473" s="33">
        <v>45782</v>
      </c>
      <c r="F473" s="15" t="s">
        <v>163</v>
      </c>
      <c r="G473" s="17" t="s">
        <v>28</v>
      </c>
      <c r="H473" s="37">
        <v>36924</v>
      </c>
      <c r="I473" s="17" t="s">
        <v>114</v>
      </c>
      <c r="J473" s="17" t="s">
        <v>106</v>
      </c>
      <c r="K473" s="17" t="s">
        <v>46</v>
      </c>
      <c r="L473" s="17" t="s">
        <v>60</v>
      </c>
      <c r="M473" s="17">
        <v>11</v>
      </c>
      <c r="N473" s="26">
        <v>55000</v>
      </c>
      <c r="O473" s="17">
        <v>0</v>
      </c>
      <c r="P473" s="26">
        <v>605000</v>
      </c>
      <c r="Q473" s="17">
        <v>2</v>
      </c>
      <c r="R473" s="17" t="s">
        <v>34</v>
      </c>
      <c r="S473" s="17" t="s">
        <v>61</v>
      </c>
      <c r="T473" s="15" t="s">
        <v>62</v>
      </c>
      <c r="U473" s="17">
        <v>9524904662</v>
      </c>
      <c r="V473" s="17" t="s">
        <v>64</v>
      </c>
      <c r="W473" s="47">
        <f t="shared" ca="1" si="21"/>
        <v>25</v>
      </c>
      <c r="X473" s="42">
        <f t="shared" si="22"/>
        <v>8</v>
      </c>
      <c r="Y473" s="42" t="str">
        <f t="shared" si="23"/>
        <v>Delayed</v>
      </c>
    </row>
    <row r="474" spans="1:25" x14ac:dyDescent="0.5">
      <c r="A474" s="15" t="s">
        <v>1995</v>
      </c>
      <c r="B474" s="15" t="s">
        <v>251</v>
      </c>
      <c r="C474" s="15" t="s">
        <v>184</v>
      </c>
      <c r="D474" s="32">
        <v>45799</v>
      </c>
      <c r="E474" s="32">
        <v>45808</v>
      </c>
      <c r="F474" s="15" t="s">
        <v>254</v>
      </c>
      <c r="G474" s="15" t="s">
        <v>28</v>
      </c>
      <c r="H474" s="36">
        <v>36200</v>
      </c>
      <c r="I474" s="15" t="s">
        <v>44</v>
      </c>
      <c r="J474" s="15" t="s">
        <v>45</v>
      </c>
      <c r="K474" s="15" t="s">
        <v>46</v>
      </c>
      <c r="L474" s="15" t="s">
        <v>189</v>
      </c>
      <c r="M474" s="15">
        <v>20</v>
      </c>
      <c r="N474" s="25">
        <v>700</v>
      </c>
      <c r="O474" s="15">
        <v>20</v>
      </c>
      <c r="P474" s="25">
        <v>11200</v>
      </c>
      <c r="Q474" s="15">
        <v>5</v>
      </c>
      <c r="R474" s="15" t="s">
        <v>48</v>
      </c>
      <c r="S474" s="15" t="s">
        <v>61</v>
      </c>
      <c r="T474" s="15" t="s">
        <v>256</v>
      </c>
      <c r="U474" s="15">
        <v>9577624596</v>
      </c>
      <c r="V474" s="15" t="s">
        <v>38</v>
      </c>
      <c r="W474" s="46">
        <f t="shared" ca="1" si="21"/>
        <v>27</v>
      </c>
      <c r="X474" s="42">
        <f t="shared" si="22"/>
        <v>9</v>
      </c>
      <c r="Y474" s="42" t="str">
        <f t="shared" si="23"/>
        <v>Delayed</v>
      </c>
    </row>
    <row r="475" spans="1:25" x14ac:dyDescent="0.5">
      <c r="A475" s="17" t="s">
        <v>1998</v>
      </c>
      <c r="B475" s="17" t="s">
        <v>71</v>
      </c>
      <c r="C475" s="17" t="s">
        <v>222</v>
      </c>
      <c r="D475" s="33">
        <v>46050</v>
      </c>
      <c r="E475" s="33">
        <v>46061</v>
      </c>
      <c r="F475" s="15" t="s">
        <v>217</v>
      </c>
      <c r="G475" s="17" t="s">
        <v>76</v>
      </c>
      <c r="H475" s="37">
        <v>32269</v>
      </c>
      <c r="I475" s="17" t="s">
        <v>44</v>
      </c>
      <c r="J475" s="17" t="s">
        <v>45</v>
      </c>
      <c r="K475" s="17" t="s">
        <v>122</v>
      </c>
      <c r="L475" s="17" t="s">
        <v>227</v>
      </c>
      <c r="M475" s="17">
        <v>5</v>
      </c>
      <c r="N475" s="26">
        <v>20</v>
      </c>
      <c r="O475" s="17">
        <v>5</v>
      </c>
      <c r="P475" s="26">
        <v>95</v>
      </c>
      <c r="Q475" s="17">
        <v>4</v>
      </c>
      <c r="R475" s="17" t="s">
        <v>34</v>
      </c>
      <c r="S475" s="17" t="s">
        <v>49</v>
      </c>
      <c r="T475" s="15" t="s">
        <v>80</v>
      </c>
      <c r="U475" s="17">
        <v>9898452436</v>
      </c>
      <c r="V475" s="17" t="s">
        <v>69</v>
      </c>
      <c r="W475" s="47">
        <f t="shared" ca="1" si="21"/>
        <v>38</v>
      </c>
      <c r="X475" s="42">
        <f t="shared" si="22"/>
        <v>11</v>
      </c>
      <c r="Y475" s="42" t="str">
        <f t="shared" si="23"/>
        <v>Delayed</v>
      </c>
    </row>
    <row r="476" spans="1:25" x14ac:dyDescent="0.5">
      <c r="A476" s="15" t="s">
        <v>2001</v>
      </c>
      <c r="B476" s="15" t="s">
        <v>327</v>
      </c>
      <c r="C476" s="15" t="s">
        <v>54</v>
      </c>
      <c r="D476" s="32">
        <v>45692</v>
      </c>
      <c r="E476" s="32">
        <v>45699</v>
      </c>
      <c r="F476" s="15" t="s">
        <v>394</v>
      </c>
      <c r="G476" s="15" t="s">
        <v>76</v>
      </c>
      <c r="H476" s="36">
        <v>27437</v>
      </c>
      <c r="I476" s="15" t="s">
        <v>105</v>
      </c>
      <c r="J476" s="15" t="s">
        <v>106</v>
      </c>
      <c r="K476" s="15" t="s">
        <v>46</v>
      </c>
      <c r="L476" s="15" t="s">
        <v>60</v>
      </c>
      <c r="M476" s="15">
        <v>13</v>
      </c>
      <c r="N476" s="25">
        <v>55000</v>
      </c>
      <c r="O476" s="15">
        <v>5</v>
      </c>
      <c r="P476" s="25">
        <v>679250</v>
      </c>
      <c r="Q476" s="15">
        <v>1</v>
      </c>
      <c r="R476" s="15" t="s">
        <v>48</v>
      </c>
      <c r="S476" s="15" t="s">
        <v>49</v>
      </c>
      <c r="T476" s="15" t="s">
        <v>332</v>
      </c>
      <c r="U476" s="15">
        <v>9960757012</v>
      </c>
      <c r="V476" s="15" t="s">
        <v>64</v>
      </c>
      <c r="W476" s="46">
        <f t="shared" ca="1" si="21"/>
        <v>51</v>
      </c>
      <c r="X476" s="42">
        <f t="shared" si="22"/>
        <v>7</v>
      </c>
      <c r="Y476" s="42" t="str">
        <f t="shared" si="23"/>
        <v>Delayed</v>
      </c>
    </row>
    <row r="477" spans="1:25" x14ac:dyDescent="0.5">
      <c r="A477" s="17" t="s">
        <v>2004</v>
      </c>
      <c r="B477" s="17" t="s">
        <v>127</v>
      </c>
      <c r="C477" s="17" t="s">
        <v>54</v>
      </c>
      <c r="D477" s="33">
        <v>45766</v>
      </c>
      <c r="E477" s="33">
        <v>45767</v>
      </c>
      <c r="F477" s="15" t="s">
        <v>200</v>
      </c>
      <c r="G477" s="17" t="s">
        <v>76</v>
      </c>
      <c r="H477" s="37">
        <v>37987</v>
      </c>
      <c r="I477" s="17" t="s">
        <v>294</v>
      </c>
      <c r="J477" s="17" t="s">
        <v>295</v>
      </c>
      <c r="K477" s="17" t="s">
        <v>46</v>
      </c>
      <c r="L477" s="17" t="s">
        <v>60</v>
      </c>
      <c r="M477" s="17">
        <v>12</v>
      </c>
      <c r="N477" s="26">
        <v>55000</v>
      </c>
      <c r="O477" s="17">
        <v>5</v>
      </c>
      <c r="P477" s="26">
        <v>627000</v>
      </c>
      <c r="Q477" s="17">
        <v>1</v>
      </c>
      <c r="R477" s="17" t="s">
        <v>48</v>
      </c>
      <c r="S477" s="17" t="s">
        <v>115</v>
      </c>
      <c r="T477" s="15" t="s">
        <v>132</v>
      </c>
      <c r="U477" s="17">
        <v>9331268182</v>
      </c>
      <c r="V477" s="17" t="s">
        <v>69</v>
      </c>
      <c r="W477" s="47">
        <f t="shared" ca="1" si="21"/>
        <v>22</v>
      </c>
      <c r="X477" s="42">
        <f t="shared" si="22"/>
        <v>1</v>
      </c>
      <c r="Y477" s="42" t="str">
        <f t="shared" si="23"/>
        <v xml:space="preserve">On Time </v>
      </c>
    </row>
    <row r="478" spans="1:25" x14ac:dyDescent="0.5">
      <c r="A478" s="15" t="s">
        <v>2007</v>
      </c>
      <c r="B478" s="15" t="s">
        <v>53</v>
      </c>
      <c r="C478" s="15" t="s">
        <v>259</v>
      </c>
      <c r="D478" s="32">
        <v>45678</v>
      </c>
      <c r="E478" s="32">
        <v>45685</v>
      </c>
      <c r="F478" s="15" t="s">
        <v>163</v>
      </c>
      <c r="G478" s="15" t="s">
        <v>28</v>
      </c>
      <c r="H478" s="36">
        <v>37126</v>
      </c>
      <c r="I478" s="15" t="s">
        <v>105</v>
      </c>
      <c r="J478" s="15" t="s">
        <v>106</v>
      </c>
      <c r="K478" s="15" t="s">
        <v>122</v>
      </c>
      <c r="L478" s="15" t="s">
        <v>263</v>
      </c>
      <c r="M478" s="15">
        <v>16</v>
      </c>
      <c r="N478" s="25">
        <v>45</v>
      </c>
      <c r="O478" s="15">
        <v>20</v>
      </c>
      <c r="P478" s="25">
        <v>576</v>
      </c>
      <c r="Q478" s="15">
        <v>2</v>
      </c>
      <c r="R478" s="15" t="s">
        <v>34</v>
      </c>
      <c r="S478" s="15" t="s">
        <v>49</v>
      </c>
      <c r="T478" s="15" t="s">
        <v>62</v>
      </c>
      <c r="U478" s="15">
        <v>9135996862</v>
      </c>
      <c r="V478" s="15" t="s">
        <v>64</v>
      </c>
      <c r="W478" s="46">
        <f t="shared" ca="1" si="21"/>
        <v>25</v>
      </c>
      <c r="X478" s="42">
        <f t="shared" si="22"/>
        <v>7</v>
      </c>
      <c r="Y478" s="42" t="str">
        <f t="shared" si="23"/>
        <v>Delayed</v>
      </c>
    </row>
    <row r="479" spans="1:25" x14ac:dyDescent="0.5">
      <c r="A479" s="17" t="s">
        <v>2010</v>
      </c>
      <c r="B479" s="17" t="s">
        <v>23</v>
      </c>
      <c r="C479" s="17" t="s">
        <v>72</v>
      </c>
      <c r="D479" s="33">
        <v>45918</v>
      </c>
      <c r="E479" s="33">
        <v>45927</v>
      </c>
      <c r="F479" s="15" t="s">
        <v>27</v>
      </c>
      <c r="G479" s="17" t="s">
        <v>28</v>
      </c>
      <c r="H479" s="37">
        <v>35818</v>
      </c>
      <c r="I479" s="17" t="s">
        <v>59</v>
      </c>
      <c r="J479" s="17" t="s">
        <v>31</v>
      </c>
      <c r="K479" s="17" t="s">
        <v>46</v>
      </c>
      <c r="L479" s="17" t="s">
        <v>78</v>
      </c>
      <c r="M479" s="17">
        <v>5</v>
      </c>
      <c r="N479" s="26">
        <v>1200</v>
      </c>
      <c r="O479" s="17">
        <v>10</v>
      </c>
      <c r="P479" s="26">
        <v>5400</v>
      </c>
      <c r="Q479" s="17">
        <v>1</v>
      </c>
      <c r="R479" s="17" t="s">
        <v>34</v>
      </c>
      <c r="S479" s="17"/>
      <c r="T479" s="15" t="s">
        <v>50</v>
      </c>
      <c r="U479" s="17">
        <v>9540813143</v>
      </c>
      <c r="V479" s="17" t="s">
        <v>38</v>
      </c>
      <c r="W479" s="47">
        <f t="shared" ca="1" si="21"/>
        <v>28</v>
      </c>
      <c r="X479" s="42">
        <f t="shared" si="22"/>
        <v>9</v>
      </c>
      <c r="Y479" s="42" t="str">
        <f t="shared" si="23"/>
        <v>Delayed</v>
      </c>
    </row>
    <row r="480" spans="1:25" x14ac:dyDescent="0.5">
      <c r="A480" s="15" t="s">
        <v>2014</v>
      </c>
      <c r="B480" s="15" t="s">
        <v>168</v>
      </c>
      <c r="C480" s="15" t="s">
        <v>259</v>
      </c>
      <c r="D480" s="32">
        <v>45949</v>
      </c>
      <c r="E480" s="32">
        <v>45950</v>
      </c>
      <c r="F480" s="15" t="s">
        <v>361</v>
      </c>
      <c r="G480" s="15" t="s">
        <v>28</v>
      </c>
      <c r="H480" s="36">
        <v>38135</v>
      </c>
      <c r="I480" s="15" t="s">
        <v>294</v>
      </c>
      <c r="J480" s="15" t="s">
        <v>295</v>
      </c>
      <c r="K480" s="15" t="s">
        <v>122</v>
      </c>
      <c r="L480" s="15" t="s">
        <v>263</v>
      </c>
      <c r="M480" s="15">
        <v>2</v>
      </c>
      <c r="N480" s="25">
        <v>45</v>
      </c>
      <c r="O480" s="15">
        <v>10</v>
      </c>
      <c r="P480" s="25">
        <v>81</v>
      </c>
      <c r="Q480" s="15">
        <v>4</v>
      </c>
      <c r="R480" s="15" t="s">
        <v>88</v>
      </c>
      <c r="S480" s="15" t="s">
        <v>49</v>
      </c>
      <c r="T480" s="15" t="s">
        <v>175</v>
      </c>
      <c r="U480" s="15">
        <v>9910913552</v>
      </c>
      <c r="V480" s="15" t="s">
        <v>64</v>
      </c>
      <c r="W480" s="46">
        <f t="shared" ca="1" si="21"/>
        <v>22</v>
      </c>
      <c r="X480" s="42">
        <f t="shared" si="22"/>
        <v>1</v>
      </c>
      <c r="Y480" s="42" t="str">
        <f t="shared" si="23"/>
        <v xml:space="preserve">On Time </v>
      </c>
    </row>
    <row r="481" spans="1:25" x14ac:dyDescent="0.5">
      <c r="A481" s="17" t="s">
        <v>2018</v>
      </c>
      <c r="B481" s="17" t="s">
        <v>127</v>
      </c>
      <c r="C481" s="17" t="s">
        <v>40</v>
      </c>
      <c r="D481" s="33">
        <v>46034</v>
      </c>
      <c r="E481" s="33">
        <v>46040</v>
      </c>
      <c r="F481" s="15" t="s">
        <v>200</v>
      </c>
      <c r="G481" s="17" t="s">
        <v>76</v>
      </c>
      <c r="H481" s="37">
        <v>31112</v>
      </c>
      <c r="I481" s="17" t="s">
        <v>138</v>
      </c>
      <c r="J481" s="17" t="s">
        <v>106</v>
      </c>
      <c r="K481" s="17" t="s">
        <v>46</v>
      </c>
      <c r="L481" s="17" t="s">
        <v>47</v>
      </c>
      <c r="M481" s="17">
        <v>3</v>
      </c>
      <c r="N481" s="26">
        <v>12000</v>
      </c>
      <c r="O481" s="17">
        <v>0</v>
      </c>
      <c r="P481" s="26">
        <v>36000</v>
      </c>
      <c r="Q481" s="17">
        <v>2</v>
      </c>
      <c r="R481" s="17" t="s">
        <v>88</v>
      </c>
      <c r="S481" s="17" t="s">
        <v>151</v>
      </c>
      <c r="T481" s="15" t="s">
        <v>132</v>
      </c>
      <c r="U481" s="17">
        <v>9282751683</v>
      </c>
      <c r="V481" s="17" t="s">
        <v>64</v>
      </c>
      <c r="W481" s="47">
        <f t="shared" ca="1" si="21"/>
        <v>41</v>
      </c>
      <c r="X481" s="42">
        <f t="shared" si="22"/>
        <v>6</v>
      </c>
      <c r="Y481" s="42" t="str">
        <f t="shared" si="23"/>
        <v>Delayed</v>
      </c>
    </row>
    <row r="482" spans="1:25" x14ac:dyDescent="0.5">
      <c r="A482" s="15" t="s">
        <v>2021</v>
      </c>
      <c r="B482" s="15" t="s">
        <v>23</v>
      </c>
      <c r="C482" s="15" t="s">
        <v>40</v>
      </c>
      <c r="D482" s="32">
        <v>45683</v>
      </c>
      <c r="E482" s="32">
        <v>45689</v>
      </c>
      <c r="F482" s="15" t="s">
        <v>27</v>
      </c>
      <c r="G482" s="15" t="s">
        <v>28</v>
      </c>
      <c r="H482" s="36">
        <v>31661</v>
      </c>
      <c r="I482" s="15" t="s">
        <v>59</v>
      </c>
      <c r="J482" s="15" t="s">
        <v>31</v>
      </c>
      <c r="K482" s="15" t="s">
        <v>46</v>
      </c>
      <c r="L482" s="15" t="s">
        <v>47</v>
      </c>
      <c r="M482" s="15">
        <v>3</v>
      </c>
      <c r="N482" s="25">
        <v>12000</v>
      </c>
      <c r="O482" s="15">
        <v>20</v>
      </c>
      <c r="P482" s="25">
        <v>28800</v>
      </c>
      <c r="Q482" s="15">
        <v>3</v>
      </c>
      <c r="R482" s="15" t="s">
        <v>88</v>
      </c>
      <c r="S482" s="15" t="s">
        <v>115</v>
      </c>
      <c r="T482" s="15" t="s">
        <v>50</v>
      </c>
      <c r="U482" s="15">
        <v>9939332058</v>
      </c>
      <c r="V482" s="15" t="s">
        <v>38</v>
      </c>
      <c r="W482" s="46">
        <f t="shared" ca="1" si="21"/>
        <v>40</v>
      </c>
      <c r="X482" s="42">
        <f t="shared" si="22"/>
        <v>6</v>
      </c>
      <c r="Y482" s="42" t="str">
        <f t="shared" si="23"/>
        <v>Delayed</v>
      </c>
    </row>
    <row r="483" spans="1:25" x14ac:dyDescent="0.5">
      <c r="A483" s="17" t="s">
        <v>2025</v>
      </c>
      <c r="B483" s="17" t="s">
        <v>127</v>
      </c>
      <c r="C483" s="17" t="s">
        <v>169</v>
      </c>
      <c r="D483" s="33">
        <v>46119</v>
      </c>
      <c r="E483" s="33">
        <v>46120</v>
      </c>
      <c r="F483" s="15" t="s">
        <v>200</v>
      </c>
      <c r="G483" s="17" t="s">
        <v>76</v>
      </c>
      <c r="H483" s="37">
        <v>29819</v>
      </c>
      <c r="I483" s="17" t="s">
        <v>294</v>
      </c>
      <c r="J483" s="17" t="s">
        <v>295</v>
      </c>
      <c r="K483" s="17" t="s">
        <v>32</v>
      </c>
      <c r="L483" s="17" t="s">
        <v>174</v>
      </c>
      <c r="M483" s="17">
        <v>9</v>
      </c>
      <c r="N483" s="26">
        <v>8500</v>
      </c>
      <c r="O483" s="17">
        <v>15</v>
      </c>
      <c r="P483" s="26">
        <v>65025</v>
      </c>
      <c r="Q483" s="17">
        <v>5</v>
      </c>
      <c r="R483" s="17" t="s">
        <v>34</v>
      </c>
      <c r="S483" s="17" t="s">
        <v>49</v>
      </c>
      <c r="T483" s="15" t="s">
        <v>132</v>
      </c>
      <c r="U483" s="17">
        <v>9780626473</v>
      </c>
      <c r="V483" s="17" t="s">
        <v>64</v>
      </c>
      <c r="W483" s="47">
        <f t="shared" ca="1" si="21"/>
        <v>45</v>
      </c>
      <c r="X483" s="42">
        <f t="shared" si="22"/>
        <v>1</v>
      </c>
      <c r="Y483" s="42" t="str">
        <f t="shared" si="23"/>
        <v xml:space="preserve">On Time </v>
      </c>
    </row>
    <row r="484" spans="1:25" x14ac:dyDescent="0.5">
      <c r="A484" s="15" t="s">
        <v>2028</v>
      </c>
      <c r="B484" s="15" t="s">
        <v>71</v>
      </c>
      <c r="C484" s="15" t="s">
        <v>184</v>
      </c>
      <c r="D484" s="32">
        <v>45834</v>
      </c>
      <c r="E484" s="32">
        <v>45844</v>
      </c>
      <c r="F484" s="15" t="s">
        <v>217</v>
      </c>
      <c r="G484" s="15" t="s">
        <v>76</v>
      </c>
      <c r="H484" s="36">
        <v>33717</v>
      </c>
      <c r="I484" s="15" t="s">
        <v>294</v>
      </c>
      <c r="J484" s="15" t="s">
        <v>295</v>
      </c>
      <c r="K484" s="15" t="s">
        <v>46</v>
      </c>
      <c r="L484" s="15" t="s">
        <v>189</v>
      </c>
      <c r="M484" s="15">
        <v>17</v>
      </c>
      <c r="N484" s="25">
        <v>700</v>
      </c>
      <c r="O484" s="15">
        <v>0</v>
      </c>
      <c r="P484" s="25">
        <v>11900</v>
      </c>
      <c r="Q484" s="15">
        <v>2</v>
      </c>
      <c r="R484" s="15" t="s">
        <v>34</v>
      </c>
      <c r="S484" s="15" t="s">
        <v>61</v>
      </c>
      <c r="T484" s="15" t="s">
        <v>80</v>
      </c>
      <c r="U484" s="15">
        <v>9347298020</v>
      </c>
      <c r="V484" s="15" t="s">
        <v>69</v>
      </c>
      <c r="W484" s="46">
        <f t="shared" ca="1" si="21"/>
        <v>34</v>
      </c>
      <c r="X484" s="42">
        <f t="shared" si="22"/>
        <v>10</v>
      </c>
      <c r="Y484" s="42" t="str">
        <f t="shared" si="23"/>
        <v>Delayed</v>
      </c>
    </row>
    <row r="485" spans="1:25" x14ac:dyDescent="0.5">
      <c r="A485" s="17" t="s">
        <v>2032</v>
      </c>
      <c r="B485" s="17" t="s">
        <v>23</v>
      </c>
      <c r="C485" s="17" t="s">
        <v>184</v>
      </c>
      <c r="D485" s="33">
        <v>45846</v>
      </c>
      <c r="E485" s="33">
        <v>45856</v>
      </c>
      <c r="F485" s="15" t="s">
        <v>27</v>
      </c>
      <c r="G485" s="17" t="s">
        <v>28</v>
      </c>
      <c r="H485" s="37">
        <v>33422</v>
      </c>
      <c r="I485" s="17" t="s">
        <v>30</v>
      </c>
      <c r="J485" s="17" t="s">
        <v>31</v>
      </c>
      <c r="K485" s="17" t="s">
        <v>46</v>
      </c>
      <c r="L485" s="17" t="s">
        <v>189</v>
      </c>
      <c r="M485" s="17">
        <v>20</v>
      </c>
      <c r="N485" s="26">
        <v>700</v>
      </c>
      <c r="O485" s="17">
        <v>5</v>
      </c>
      <c r="P485" s="26">
        <v>13300</v>
      </c>
      <c r="Q485" s="17">
        <v>2</v>
      </c>
      <c r="R485" s="17" t="s">
        <v>88</v>
      </c>
      <c r="S485" s="17" t="s">
        <v>35</v>
      </c>
      <c r="T485" s="15" t="s">
        <v>50</v>
      </c>
      <c r="U485" s="17">
        <v>9345328522</v>
      </c>
      <c r="V485" s="17" t="s">
        <v>38</v>
      </c>
      <c r="W485" s="47">
        <f t="shared" ca="1" si="21"/>
        <v>35</v>
      </c>
      <c r="X485" s="42">
        <f t="shared" si="22"/>
        <v>10</v>
      </c>
      <c r="Y485" s="42" t="str">
        <f t="shared" si="23"/>
        <v>Delayed</v>
      </c>
    </row>
    <row r="486" spans="1:25" x14ac:dyDescent="0.5">
      <c r="A486" s="15" t="s">
        <v>2035</v>
      </c>
      <c r="B486" s="15" t="s">
        <v>327</v>
      </c>
      <c r="C486" s="15" t="s">
        <v>72</v>
      </c>
      <c r="D486" s="32">
        <v>46092</v>
      </c>
      <c r="E486" s="32">
        <v>46102</v>
      </c>
      <c r="F486" s="15" t="s">
        <v>394</v>
      </c>
      <c r="G486" s="15" t="s">
        <v>76</v>
      </c>
      <c r="H486" s="36">
        <v>28526</v>
      </c>
      <c r="I486" s="15" t="s">
        <v>138</v>
      </c>
      <c r="J486" s="15" t="s">
        <v>106</v>
      </c>
      <c r="K486" s="15" t="s">
        <v>46</v>
      </c>
      <c r="L486" s="15" t="s">
        <v>78</v>
      </c>
      <c r="M486" s="15">
        <v>13</v>
      </c>
      <c r="N486" s="25">
        <v>1200</v>
      </c>
      <c r="O486" s="15">
        <v>20</v>
      </c>
      <c r="P486" s="25">
        <v>12480</v>
      </c>
      <c r="Q486" s="15">
        <v>5</v>
      </c>
      <c r="R486" s="15" t="s">
        <v>79</v>
      </c>
      <c r="S486" s="15" t="s">
        <v>115</v>
      </c>
      <c r="T486" s="15" t="s">
        <v>332</v>
      </c>
      <c r="U486" s="15">
        <v>9160310438</v>
      </c>
      <c r="V486" s="15" t="s">
        <v>38</v>
      </c>
      <c r="W486" s="46">
        <f t="shared" ca="1" si="21"/>
        <v>48</v>
      </c>
      <c r="X486" s="42">
        <f t="shared" si="22"/>
        <v>10</v>
      </c>
      <c r="Y486" s="42" t="str">
        <f t="shared" si="23"/>
        <v>Delayed</v>
      </c>
    </row>
    <row r="487" spans="1:25" x14ac:dyDescent="0.5">
      <c r="A487" s="17" t="s">
        <v>2039</v>
      </c>
      <c r="B487" s="17" t="s">
        <v>100</v>
      </c>
      <c r="C487" s="17" t="s">
        <v>54</v>
      </c>
      <c r="D487" s="33">
        <v>46104</v>
      </c>
      <c r="E487" s="33">
        <v>46110</v>
      </c>
      <c r="F487" s="15" t="s">
        <v>103</v>
      </c>
      <c r="G487" s="17" t="s">
        <v>28</v>
      </c>
      <c r="H487" s="37">
        <v>36359</v>
      </c>
      <c r="I487" s="17" t="s">
        <v>212</v>
      </c>
      <c r="J487" s="17" t="s">
        <v>45</v>
      </c>
      <c r="K487" s="17" t="s">
        <v>46</v>
      </c>
      <c r="L487" s="17" t="s">
        <v>60</v>
      </c>
      <c r="M487" s="17">
        <v>20</v>
      </c>
      <c r="N487" s="26">
        <v>55000</v>
      </c>
      <c r="O487" s="17">
        <v>10</v>
      </c>
      <c r="P487" s="26">
        <v>990000</v>
      </c>
      <c r="Q487" s="17">
        <v>1</v>
      </c>
      <c r="R487" s="17" t="s">
        <v>88</v>
      </c>
      <c r="S487" s="17" t="s">
        <v>35</v>
      </c>
      <c r="T487" s="15" t="s">
        <v>144</v>
      </c>
      <c r="U487" s="17">
        <v>9343776153</v>
      </c>
      <c r="V487" s="17" t="s">
        <v>64</v>
      </c>
      <c r="W487" s="47">
        <f t="shared" ca="1" si="21"/>
        <v>27</v>
      </c>
      <c r="X487" s="42">
        <f t="shared" si="22"/>
        <v>6</v>
      </c>
      <c r="Y487" s="42" t="str">
        <f t="shared" si="23"/>
        <v>Delayed</v>
      </c>
    </row>
    <row r="488" spans="1:25" x14ac:dyDescent="0.5">
      <c r="A488" s="15" t="s">
        <v>2042</v>
      </c>
      <c r="B488" s="15" t="s">
        <v>251</v>
      </c>
      <c r="C488" s="15" t="s">
        <v>72</v>
      </c>
      <c r="D488" s="32">
        <v>45961</v>
      </c>
      <c r="E488" s="32">
        <v>45966</v>
      </c>
      <c r="F488" s="15" t="s">
        <v>254</v>
      </c>
      <c r="G488" s="15" t="s">
        <v>28</v>
      </c>
      <c r="H488" s="36">
        <v>32236</v>
      </c>
      <c r="I488" s="15" t="s">
        <v>294</v>
      </c>
      <c r="J488" s="15" t="s">
        <v>295</v>
      </c>
      <c r="K488" s="15" t="s">
        <v>46</v>
      </c>
      <c r="L488" s="15" t="s">
        <v>78</v>
      </c>
      <c r="M488" s="15">
        <v>8</v>
      </c>
      <c r="N488" s="25">
        <v>1200</v>
      </c>
      <c r="O488" s="15">
        <v>0</v>
      </c>
      <c r="P488" s="25">
        <v>9600</v>
      </c>
      <c r="Q488" s="15">
        <v>2</v>
      </c>
      <c r="R488" s="15" t="s">
        <v>48</v>
      </c>
      <c r="S488" s="15" t="s">
        <v>151</v>
      </c>
      <c r="T488" s="15" t="s">
        <v>256</v>
      </c>
      <c r="U488" s="15">
        <v>9458599727</v>
      </c>
      <c r="V488" s="15" t="s">
        <v>38</v>
      </c>
      <c r="W488" s="46">
        <f t="shared" ca="1" si="21"/>
        <v>38</v>
      </c>
      <c r="X488" s="42">
        <f t="shared" si="22"/>
        <v>5</v>
      </c>
      <c r="Y488" s="42" t="str">
        <f t="shared" si="23"/>
        <v xml:space="preserve">On Time </v>
      </c>
    </row>
    <row r="489" spans="1:25" x14ac:dyDescent="0.5">
      <c r="A489" s="17" t="s">
        <v>2045</v>
      </c>
      <c r="B489" s="17" t="s">
        <v>53</v>
      </c>
      <c r="C489" s="17" t="s">
        <v>222</v>
      </c>
      <c r="D489" s="33">
        <v>46147</v>
      </c>
      <c r="E489" s="33">
        <v>46151</v>
      </c>
      <c r="F489" s="15" t="s">
        <v>163</v>
      </c>
      <c r="G489" s="17" t="s">
        <v>28</v>
      </c>
      <c r="H489" s="37">
        <v>28805</v>
      </c>
      <c r="I489" s="17" t="s">
        <v>294</v>
      </c>
      <c r="J489" s="17" t="s">
        <v>295</v>
      </c>
      <c r="K489" s="17" t="s">
        <v>122</v>
      </c>
      <c r="L489" s="17" t="s">
        <v>227</v>
      </c>
      <c r="M489" s="17">
        <v>18</v>
      </c>
      <c r="N489" s="26">
        <v>20</v>
      </c>
      <c r="O489" s="17">
        <v>10</v>
      </c>
      <c r="P489" s="26">
        <v>324</v>
      </c>
      <c r="Q489" s="17">
        <v>5</v>
      </c>
      <c r="R489" s="17" t="s">
        <v>79</v>
      </c>
      <c r="S489" s="17"/>
      <c r="T489" s="15" t="s">
        <v>62</v>
      </c>
      <c r="U489" s="17">
        <v>9218660140</v>
      </c>
      <c r="V489" s="17" t="s">
        <v>64</v>
      </c>
      <c r="W489" s="47">
        <f t="shared" ca="1" si="21"/>
        <v>47</v>
      </c>
      <c r="X489" s="42">
        <f t="shared" si="22"/>
        <v>4</v>
      </c>
      <c r="Y489" s="42" t="str">
        <f t="shared" si="23"/>
        <v xml:space="preserve">On Time </v>
      </c>
    </row>
    <row r="490" spans="1:25" x14ac:dyDescent="0.5">
      <c r="A490" s="15" t="s">
        <v>2050</v>
      </c>
      <c r="B490" s="15" t="s">
        <v>168</v>
      </c>
      <c r="C490" s="15" t="s">
        <v>40</v>
      </c>
      <c r="D490" s="32">
        <v>45711</v>
      </c>
      <c r="E490" s="32">
        <v>45723</v>
      </c>
      <c r="F490" s="15" t="s">
        <v>361</v>
      </c>
      <c r="G490" s="15" t="s">
        <v>28</v>
      </c>
      <c r="H490" s="36">
        <v>34426</v>
      </c>
      <c r="I490" s="15" t="s">
        <v>114</v>
      </c>
      <c r="J490" s="15" t="s">
        <v>106</v>
      </c>
      <c r="K490" s="15" t="s">
        <v>46</v>
      </c>
      <c r="L490" s="15" t="s">
        <v>47</v>
      </c>
      <c r="M490" s="15">
        <v>11</v>
      </c>
      <c r="N490" s="25">
        <v>12000</v>
      </c>
      <c r="O490" s="15">
        <v>10</v>
      </c>
      <c r="P490" s="25">
        <v>118800</v>
      </c>
      <c r="Q490" s="15">
        <v>1</v>
      </c>
      <c r="R490" s="15" t="s">
        <v>79</v>
      </c>
      <c r="S490" s="15" t="s">
        <v>49</v>
      </c>
      <c r="T490" s="15" t="s">
        <v>175</v>
      </c>
      <c r="U490" s="15">
        <v>9341979199</v>
      </c>
      <c r="V490" s="15" t="s">
        <v>69</v>
      </c>
      <c r="W490" s="46">
        <f t="shared" ca="1" si="21"/>
        <v>32</v>
      </c>
      <c r="X490" s="42">
        <f t="shared" si="22"/>
        <v>12</v>
      </c>
      <c r="Y490" s="42" t="str">
        <f t="shared" si="23"/>
        <v>Delayed</v>
      </c>
    </row>
    <row r="491" spans="1:25" x14ac:dyDescent="0.5">
      <c r="A491" s="17" t="s">
        <v>2054</v>
      </c>
      <c r="B491" s="17" t="s">
        <v>327</v>
      </c>
      <c r="C491" s="17" t="s">
        <v>169</v>
      </c>
      <c r="D491" s="33">
        <v>45672</v>
      </c>
      <c r="E491" s="33">
        <v>45674</v>
      </c>
      <c r="F491" s="15" t="s">
        <v>394</v>
      </c>
      <c r="G491" s="17" t="s">
        <v>76</v>
      </c>
      <c r="H491" s="37">
        <v>34098</v>
      </c>
      <c r="I491" s="17" t="s">
        <v>30</v>
      </c>
      <c r="J491" s="17" t="s">
        <v>31</v>
      </c>
      <c r="K491" s="17" t="s">
        <v>32</v>
      </c>
      <c r="L491" s="17" t="s">
        <v>174</v>
      </c>
      <c r="M491" s="17">
        <v>2</v>
      </c>
      <c r="N491" s="26">
        <v>8500</v>
      </c>
      <c r="O491" s="17">
        <v>5</v>
      </c>
      <c r="P491" s="26">
        <v>16150</v>
      </c>
      <c r="Q491" s="17">
        <v>1</v>
      </c>
      <c r="R491" s="17" t="s">
        <v>79</v>
      </c>
      <c r="S491" s="17" t="s">
        <v>61</v>
      </c>
      <c r="T491" s="15" t="s">
        <v>332</v>
      </c>
      <c r="U491" s="17">
        <v>9823080381</v>
      </c>
      <c r="V491" s="17" t="s">
        <v>38</v>
      </c>
      <c r="W491" s="47">
        <f t="shared" ca="1" si="21"/>
        <v>33</v>
      </c>
      <c r="X491" s="42">
        <f t="shared" si="22"/>
        <v>2</v>
      </c>
      <c r="Y491" s="42" t="str">
        <f t="shared" si="23"/>
        <v xml:space="preserve">On Time </v>
      </c>
    </row>
    <row r="492" spans="1:25" x14ac:dyDescent="0.5">
      <c r="A492" s="15" t="s">
        <v>2057</v>
      </c>
      <c r="B492" s="15" t="s">
        <v>100</v>
      </c>
      <c r="C492" s="15" t="s">
        <v>24</v>
      </c>
      <c r="D492" s="32">
        <v>45746</v>
      </c>
      <c r="E492" s="32">
        <v>45755</v>
      </c>
      <c r="F492" s="15" t="s">
        <v>103</v>
      </c>
      <c r="G492" s="15" t="s">
        <v>28</v>
      </c>
      <c r="H492" s="36">
        <v>34526</v>
      </c>
      <c r="I492" s="15" t="s">
        <v>114</v>
      </c>
      <c r="J492" s="15" t="s">
        <v>106</v>
      </c>
      <c r="K492" s="15" t="s">
        <v>32</v>
      </c>
      <c r="L492" s="15" t="s">
        <v>33</v>
      </c>
      <c r="M492" s="15">
        <v>7</v>
      </c>
      <c r="N492" s="25">
        <v>2200</v>
      </c>
      <c r="O492" s="15">
        <v>0</v>
      </c>
      <c r="P492" s="25">
        <v>15400</v>
      </c>
      <c r="Q492" s="15">
        <v>5</v>
      </c>
      <c r="R492" s="15" t="s">
        <v>48</v>
      </c>
      <c r="S492" s="15" t="s">
        <v>35</v>
      </c>
      <c r="T492" s="15" t="s">
        <v>144</v>
      </c>
      <c r="U492" s="15">
        <v>9981183477</v>
      </c>
      <c r="V492" s="15" t="s">
        <v>64</v>
      </c>
      <c r="W492" s="46">
        <f t="shared" ca="1" si="21"/>
        <v>32</v>
      </c>
      <c r="X492" s="42">
        <f t="shared" si="22"/>
        <v>9</v>
      </c>
      <c r="Y492" s="42" t="str">
        <f t="shared" si="23"/>
        <v>Delayed</v>
      </c>
    </row>
    <row r="493" spans="1:25" x14ac:dyDescent="0.5">
      <c r="A493" s="17" t="s">
        <v>2061</v>
      </c>
      <c r="B493" s="17" t="s">
        <v>83</v>
      </c>
      <c r="C493" s="17" t="s">
        <v>169</v>
      </c>
      <c r="D493" s="33">
        <v>46136</v>
      </c>
      <c r="E493" s="33">
        <v>46144</v>
      </c>
      <c r="F493" s="15" t="s">
        <v>180</v>
      </c>
      <c r="G493" s="17" t="s">
        <v>76</v>
      </c>
      <c r="H493" s="37">
        <v>30304</v>
      </c>
      <c r="I493" s="17" t="s">
        <v>44</v>
      </c>
      <c r="J493" s="17" t="s">
        <v>45</v>
      </c>
      <c r="K493" s="17" t="s">
        <v>32</v>
      </c>
      <c r="L493" s="17" t="s">
        <v>174</v>
      </c>
      <c r="M493" s="17">
        <v>20</v>
      </c>
      <c r="N493" s="26">
        <v>8500</v>
      </c>
      <c r="O493" s="17">
        <v>0</v>
      </c>
      <c r="P493" s="26">
        <v>170000</v>
      </c>
      <c r="Q493" s="17">
        <v>3</v>
      </c>
      <c r="R493" s="17" t="s">
        <v>48</v>
      </c>
      <c r="S493" s="17" t="s">
        <v>49</v>
      </c>
      <c r="T493" s="15" t="s">
        <v>89</v>
      </c>
      <c r="U493" s="17">
        <v>9281596011</v>
      </c>
      <c r="V493" s="17" t="s">
        <v>38</v>
      </c>
      <c r="W493" s="47">
        <f t="shared" ca="1" si="21"/>
        <v>43</v>
      </c>
      <c r="X493" s="42">
        <f t="shared" si="22"/>
        <v>8</v>
      </c>
      <c r="Y493" s="42" t="str">
        <f t="shared" si="23"/>
        <v>Delayed</v>
      </c>
    </row>
    <row r="494" spans="1:25" x14ac:dyDescent="0.5">
      <c r="A494" s="15" t="s">
        <v>2064</v>
      </c>
      <c r="B494" s="15" t="s">
        <v>127</v>
      </c>
      <c r="C494" s="15" t="s">
        <v>72</v>
      </c>
      <c r="D494" s="32">
        <v>45858</v>
      </c>
      <c r="E494" s="32">
        <v>45867</v>
      </c>
      <c r="F494" s="15" t="s">
        <v>200</v>
      </c>
      <c r="G494" s="15" t="s">
        <v>76</v>
      </c>
      <c r="H494" s="36">
        <v>37197</v>
      </c>
      <c r="I494" s="15" t="s">
        <v>30</v>
      </c>
      <c r="J494" s="15" t="s">
        <v>31</v>
      </c>
      <c r="K494" s="15" t="s">
        <v>46</v>
      </c>
      <c r="L494" s="15" t="s">
        <v>78</v>
      </c>
      <c r="M494" s="15">
        <v>11</v>
      </c>
      <c r="N494" s="25">
        <v>1200</v>
      </c>
      <c r="O494" s="15">
        <v>5</v>
      </c>
      <c r="P494" s="25">
        <v>12540</v>
      </c>
      <c r="Q494" s="15">
        <v>2</v>
      </c>
      <c r="R494" s="15" t="s">
        <v>34</v>
      </c>
      <c r="S494" s="15" t="s">
        <v>35</v>
      </c>
      <c r="T494" s="15" t="s">
        <v>132</v>
      </c>
      <c r="U494" s="15">
        <v>9211734022</v>
      </c>
      <c r="V494" s="15" t="s">
        <v>64</v>
      </c>
      <c r="W494" s="46">
        <f t="shared" ca="1" si="21"/>
        <v>24</v>
      </c>
      <c r="X494" s="42">
        <f t="shared" si="22"/>
        <v>9</v>
      </c>
      <c r="Y494" s="42" t="str">
        <f t="shared" si="23"/>
        <v>Delayed</v>
      </c>
    </row>
    <row r="495" spans="1:25" x14ac:dyDescent="0.5">
      <c r="A495" s="17" t="s">
        <v>2068</v>
      </c>
      <c r="B495" s="17" t="s">
        <v>83</v>
      </c>
      <c r="C495" s="17" t="s">
        <v>184</v>
      </c>
      <c r="D495" s="33">
        <v>45867</v>
      </c>
      <c r="E495" s="33">
        <v>45870</v>
      </c>
      <c r="F495" s="15" t="s">
        <v>180</v>
      </c>
      <c r="G495" s="17" t="s">
        <v>76</v>
      </c>
      <c r="H495" s="37">
        <v>37182</v>
      </c>
      <c r="I495" s="17" t="s">
        <v>138</v>
      </c>
      <c r="J495" s="17" t="s">
        <v>106</v>
      </c>
      <c r="K495" s="17" t="s">
        <v>46</v>
      </c>
      <c r="L495" s="17" t="s">
        <v>189</v>
      </c>
      <c r="M495" s="17">
        <v>14</v>
      </c>
      <c r="N495" s="26">
        <v>700</v>
      </c>
      <c r="O495" s="17">
        <v>0</v>
      </c>
      <c r="P495" s="26">
        <v>9800</v>
      </c>
      <c r="Q495" s="17">
        <v>2</v>
      </c>
      <c r="R495" s="17" t="s">
        <v>79</v>
      </c>
      <c r="S495" s="17" t="s">
        <v>151</v>
      </c>
      <c r="T495" s="15" t="s">
        <v>89</v>
      </c>
      <c r="U495" s="17">
        <v>9447151666</v>
      </c>
      <c r="V495" s="17" t="s">
        <v>69</v>
      </c>
      <c r="W495" s="47">
        <f t="shared" ca="1" si="21"/>
        <v>24</v>
      </c>
      <c r="X495" s="42">
        <f t="shared" si="22"/>
        <v>3</v>
      </c>
      <c r="Y495" s="42" t="str">
        <f t="shared" si="23"/>
        <v xml:space="preserve">On Time </v>
      </c>
    </row>
    <row r="496" spans="1:25" x14ac:dyDescent="0.5">
      <c r="A496" s="15" t="s">
        <v>2071</v>
      </c>
      <c r="B496" s="15" t="s">
        <v>71</v>
      </c>
      <c r="C496" s="15" t="s">
        <v>72</v>
      </c>
      <c r="D496" s="32">
        <v>45951</v>
      </c>
      <c r="E496" s="32">
        <v>45962</v>
      </c>
      <c r="F496" s="15" t="s">
        <v>217</v>
      </c>
      <c r="G496" s="15" t="s">
        <v>76</v>
      </c>
      <c r="H496" s="36">
        <v>36881</v>
      </c>
      <c r="I496" s="15" t="s">
        <v>114</v>
      </c>
      <c r="J496" s="15" t="s">
        <v>106</v>
      </c>
      <c r="K496" s="15" t="s">
        <v>46</v>
      </c>
      <c r="L496" s="15" t="s">
        <v>78</v>
      </c>
      <c r="M496" s="15">
        <v>16</v>
      </c>
      <c r="N496" s="25">
        <v>1200</v>
      </c>
      <c r="O496" s="15">
        <v>15</v>
      </c>
      <c r="P496" s="25">
        <v>16320</v>
      </c>
      <c r="Q496" s="15">
        <v>4</v>
      </c>
      <c r="R496" s="15" t="s">
        <v>34</v>
      </c>
      <c r="S496" s="15" t="s">
        <v>151</v>
      </c>
      <c r="T496" s="15" t="s">
        <v>80</v>
      </c>
      <c r="U496" s="15">
        <v>9345342793</v>
      </c>
      <c r="V496" s="15" t="s">
        <v>64</v>
      </c>
      <c r="W496" s="46">
        <f t="shared" ca="1" si="21"/>
        <v>25</v>
      </c>
      <c r="X496" s="42">
        <f t="shared" si="22"/>
        <v>11</v>
      </c>
      <c r="Y496" s="42" t="str">
        <f t="shared" si="23"/>
        <v>Delayed</v>
      </c>
    </row>
    <row r="497" spans="1:25" x14ac:dyDescent="0.5">
      <c r="A497" s="17" t="s">
        <v>2074</v>
      </c>
      <c r="B497" s="17" t="s">
        <v>168</v>
      </c>
      <c r="C497" s="17" t="s">
        <v>24</v>
      </c>
      <c r="D497" s="33">
        <v>46098</v>
      </c>
      <c r="E497" s="33">
        <v>46110</v>
      </c>
      <c r="F497" s="15" t="s">
        <v>361</v>
      </c>
      <c r="G497" s="17" t="s">
        <v>28</v>
      </c>
      <c r="H497" s="37">
        <v>30367</v>
      </c>
      <c r="I497" s="17" t="s">
        <v>212</v>
      </c>
      <c r="J497" s="17" t="s">
        <v>45</v>
      </c>
      <c r="K497" s="17" t="s">
        <v>32</v>
      </c>
      <c r="L497" s="17" t="s">
        <v>33</v>
      </c>
      <c r="M497" s="17">
        <v>20</v>
      </c>
      <c r="N497" s="26">
        <v>2200</v>
      </c>
      <c r="O497" s="17">
        <v>0</v>
      </c>
      <c r="P497" s="26">
        <v>44000</v>
      </c>
      <c r="Q497" s="17">
        <v>5</v>
      </c>
      <c r="R497" s="17" t="s">
        <v>34</v>
      </c>
      <c r="S497" s="17" t="s">
        <v>35</v>
      </c>
      <c r="T497" s="15" t="s">
        <v>175</v>
      </c>
      <c r="U497" s="17">
        <v>9329668173</v>
      </c>
      <c r="V497" s="17" t="s">
        <v>69</v>
      </c>
      <c r="W497" s="47">
        <f t="shared" ca="1" si="21"/>
        <v>43</v>
      </c>
      <c r="X497" s="42">
        <f t="shared" si="22"/>
        <v>12</v>
      </c>
      <c r="Y497" s="42" t="str">
        <f t="shared" si="23"/>
        <v>Delayed</v>
      </c>
    </row>
    <row r="498" spans="1:25" x14ac:dyDescent="0.5">
      <c r="A498" s="15" t="s">
        <v>2078</v>
      </c>
      <c r="B498" s="15" t="s">
        <v>83</v>
      </c>
      <c r="C498" s="15" t="s">
        <v>40</v>
      </c>
      <c r="D498" s="32">
        <v>45711</v>
      </c>
      <c r="E498" s="32">
        <v>45723</v>
      </c>
      <c r="F498" s="15" t="s">
        <v>180</v>
      </c>
      <c r="G498" s="15" t="s">
        <v>76</v>
      </c>
      <c r="H498" s="36">
        <v>32307</v>
      </c>
      <c r="I498" s="15" t="s">
        <v>212</v>
      </c>
      <c r="J498" s="15" t="s">
        <v>45</v>
      </c>
      <c r="K498" s="15" t="s">
        <v>46</v>
      </c>
      <c r="L498" s="15" t="s">
        <v>47</v>
      </c>
      <c r="M498" s="15">
        <v>12</v>
      </c>
      <c r="N498" s="25">
        <v>12000</v>
      </c>
      <c r="O498" s="15">
        <v>15</v>
      </c>
      <c r="P498" s="25">
        <v>122400</v>
      </c>
      <c r="Q498" s="15">
        <v>5</v>
      </c>
      <c r="R498" s="15" t="s">
        <v>34</v>
      </c>
      <c r="S498" s="15" t="s">
        <v>151</v>
      </c>
      <c r="T498" s="15" t="s">
        <v>89</v>
      </c>
      <c r="U498" s="15">
        <v>9294740227</v>
      </c>
      <c r="V498" s="15" t="s">
        <v>38</v>
      </c>
      <c r="W498" s="46">
        <f t="shared" ca="1" si="21"/>
        <v>38</v>
      </c>
      <c r="X498" s="42">
        <f t="shared" si="22"/>
        <v>12</v>
      </c>
      <c r="Y498" s="42" t="str">
        <f t="shared" si="23"/>
        <v>Delayed</v>
      </c>
    </row>
    <row r="499" spans="1:25" x14ac:dyDescent="0.5">
      <c r="A499" s="17" t="s">
        <v>2081</v>
      </c>
      <c r="B499" s="17" t="s">
        <v>221</v>
      </c>
      <c r="C499" s="17" t="s">
        <v>72</v>
      </c>
      <c r="D499" s="33">
        <v>46002</v>
      </c>
      <c r="E499" s="33">
        <v>46011</v>
      </c>
      <c r="F499" s="15" t="s">
        <v>225</v>
      </c>
      <c r="G499" s="17" t="s">
        <v>76</v>
      </c>
      <c r="H499" s="37">
        <v>33807</v>
      </c>
      <c r="I499" s="17" t="s">
        <v>44</v>
      </c>
      <c r="J499" s="17" t="s">
        <v>45</v>
      </c>
      <c r="K499" s="17" t="s">
        <v>46</v>
      </c>
      <c r="L499" s="17" t="s">
        <v>78</v>
      </c>
      <c r="M499" s="17">
        <v>3</v>
      </c>
      <c r="N499" s="26">
        <v>1200</v>
      </c>
      <c r="O499" s="17">
        <v>20</v>
      </c>
      <c r="P499" s="26">
        <v>2880</v>
      </c>
      <c r="Q499" s="17">
        <v>2</v>
      </c>
      <c r="R499" s="17" t="s">
        <v>48</v>
      </c>
      <c r="S499" s="17" t="s">
        <v>115</v>
      </c>
      <c r="T499" s="15" t="s">
        <v>2112</v>
      </c>
      <c r="U499" s="17">
        <v>9549426303</v>
      </c>
      <c r="V499" s="17" t="s">
        <v>64</v>
      </c>
      <c r="W499" s="47">
        <f t="shared" ca="1" si="21"/>
        <v>34</v>
      </c>
      <c r="X499" s="42">
        <f t="shared" si="22"/>
        <v>9</v>
      </c>
      <c r="Y499" s="42" t="str">
        <f t="shared" si="23"/>
        <v>Delayed</v>
      </c>
    </row>
    <row r="500" spans="1:25" x14ac:dyDescent="0.5">
      <c r="A500" s="15" t="s">
        <v>2084</v>
      </c>
      <c r="B500" s="15" t="s">
        <v>100</v>
      </c>
      <c r="C500" s="15" t="s">
        <v>54</v>
      </c>
      <c r="D500" s="32">
        <v>45842</v>
      </c>
      <c r="E500" s="32">
        <v>45843</v>
      </c>
      <c r="F500" s="15" t="s">
        <v>103</v>
      </c>
      <c r="G500" s="15" t="s">
        <v>28</v>
      </c>
      <c r="H500" s="36">
        <v>29079</v>
      </c>
      <c r="I500" s="15" t="s">
        <v>105</v>
      </c>
      <c r="J500" s="15" t="s">
        <v>106</v>
      </c>
      <c r="K500" s="15" t="s">
        <v>46</v>
      </c>
      <c r="L500" s="15" t="s">
        <v>2087</v>
      </c>
      <c r="M500" s="15">
        <v>6</v>
      </c>
      <c r="N500" s="25">
        <v>55000</v>
      </c>
      <c r="O500" s="15">
        <v>20</v>
      </c>
      <c r="P500" s="25">
        <v>264000</v>
      </c>
      <c r="Q500" s="15">
        <v>3</v>
      </c>
      <c r="R500" s="15" t="s">
        <v>34</v>
      </c>
      <c r="S500" s="15" t="s">
        <v>151</v>
      </c>
      <c r="T500" s="15" t="s">
        <v>144</v>
      </c>
      <c r="U500" s="15">
        <v>9374249303</v>
      </c>
      <c r="V500" s="15" t="s">
        <v>38</v>
      </c>
      <c r="W500" s="46">
        <f t="shared" ca="1" si="21"/>
        <v>47</v>
      </c>
      <c r="X500" s="42">
        <f t="shared" si="22"/>
        <v>1</v>
      </c>
      <c r="Y500" s="42" t="str">
        <f t="shared" si="23"/>
        <v xml:space="preserve">On Time </v>
      </c>
    </row>
    <row r="501" spans="1:25" x14ac:dyDescent="0.5">
      <c r="A501" s="17" t="s">
        <v>2089</v>
      </c>
      <c r="B501" s="17" t="s">
        <v>100</v>
      </c>
      <c r="C501" s="17" t="s">
        <v>92</v>
      </c>
      <c r="D501" s="33">
        <v>45916</v>
      </c>
      <c r="E501" s="33">
        <v>45923</v>
      </c>
      <c r="F501" s="15" t="s">
        <v>103</v>
      </c>
      <c r="G501" s="17" t="s">
        <v>28</v>
      </c>
      <c r="H501" s="37">
        <v>28088</v>
      </c>
      <c r="I501" s="17" t="s">
        <v>59</v>
      </c>
      <c r="J501" s="17" t="s">
        <v>31</v>
      </c>
      <c r="K501" s="17" t="s">
        <v>32</v>
      </c>
      <c r="L501" s="17" t="s">
        <v>97</v>
      </c>
      <c r="M501" s="17">
        <v>20</v>
      </c>
      <c r="N501" s="26">
        <v>3500</v>
      </c>
      <c r="O501" s="17">
        <v>0</v>
      </c>
      <c r="P501" s="26">
        <v>70000</v>
      </c>
      <c r="Q501" s="17">
        <v>1</v>
      </c>
      <c r="R501" s="17" t="s">
        <v>48</v>
      </c>
      <c r="S501" s="17" t="s">
        <v>151</v>
      </c>
      <c r="T501" s="15" t="s">
        <v>144</v>
      </c>
      <c r="U501" s="17">
        <v>9810334941</v>
      </c>
      <c r="V501" s="17" t="s">
        <v>64</v>
      </c>
      <c r="W501" s="47">
        <f t="shared" ca="1" si="21"/>
        <v>49</v>
      </c>
      <c r="X501" s="42">
        <f t="shared" si="22"/>
        <v>7</v>
      </c>
      <c r="Y501" s="42" t="str">
        <f t="shared" si="23"/>
        <v>Delayed</v>
      </c>
    </row>
  </sheetData>
  <conditionalFormatting sqref="A1:V501">
    <cfRule type="containsText" dxfId="7" priority="13" operator="containsText" text="Not Available">
      <formula>NOT(ISERROR(SEARCH("Not Available",A1)))</formula>
    </cfRule>
  </conditionalFormatting>
  <conditionalFormatting sqref="L409">
    <cfRule type="containsText" dxfId="6" priority="14" operator="containsText" text="Not Available">
      <formula>NOT(ISERROR(SEARCH("Not Available",L409)))</formula>
    </cfRule>
  </conditionalFormatting>
  <conditionalFormatting sqref="T1:T1048576">
    <cfRule type="containsText" dxfId="5" priority="12" operator="containsText" text="invalid Email">
      <formula>NOT(ISERROR(SEARCH("invalid Email",T1)))</formula>
    </cfRule>
  </conditionalFormatting>
  <conditionalFormatting sqref="W1:Y501">
    <cfRule type="containsText" dxfId="4" priority="1" operator="containsText" text="Not Available">
      <formula>NOT(ISERROR(SEARCH("Not Available",W1)))</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9CC98-2B79-4032-A744-8F62763B0BC5}">
  <dimension ref="A2:H12"/>
  <sheetViews>
    <sheetView workbookViewId="0">
      <selection activeCell="H11" sqref="H11"/>
    </sheetView>
  </sheetViews>
  <sheetFormatPr defaultRowHeight="16.5" x14ac:dyDescent="0.5"/>
  <cols>
    <col min="2" max="6" width="12" customWidth="1"/>
  </cols>
  <sheetData>
    <row r="2" spans="1:8" ht="18" x14ac:dyDescent="0.5">
      <c r="B2" s="106" t="s">
        <v>2122</v>
      </c>
      <c r="C2" s="106"/>
      <c r="D2" s="106"/>
      <c r="E2" s="106"/>
    </row>
    <row r="3" spans="1:8" ht="17" thickBot="1" x14ac:dyDescent="0.55000000000000004">
      <c r="B3" s="54"/>
      <c r="C3" s="54"/>
      <c r="D3" s="54"/>
      <c r="E3" s="54"/>
    </row>
    <row r="4" spans="1:8" ht="16.5" customHeight="1" thickTop="1" x14ac:dyDescent="0.5">
      <c r="A4" s="49"/>
      <c r="B4" s="123" t="s">
        <v>2116</v>
      </c>
      <c r="C4" s="124"/>
      <c r="D4" s="124"/>
      <c r="E4" s="107" t="s">
        <v>54</v>
      </c>
      <c r="F4" s="49"/>
      <c r="G4" s="49"/>
      <c r="H4" s="49"/>
    </row>
    <row r="5" spans="1:8" ht="17" customHeight="1" thickBot="1" x14ac:dyDescent="0.55000000000000004">
      <c r="A5" s="49"/>
      <c r="B5" s="125"/>
      <c r="C5" s="126"/>
      <c r="D5" s="126"/>
      <c r="E5" s="108"/>
      <c r="F5" s="49"/>
    </row>
    <row r="6" spans="1:8" x14ac:dyDescent="0.5">
      <c r="A6" s="49"/>
      <c r="B6" s="109"/>
      <c r="C6" s="110"/>
      <c r="D6" s="110"/>
      <c r="E6" s="111"/>
      <c r="F6" s="49"/>
    </row>
    <row r="7" spans="1:8" ht="17" thickBot="1" x14ac:dyDescent="0.55000000000000004">
      <c r="A7" s="49"/>
      <c r="B7" s="127" t="s">
        <v>2121</v>
      </c>
      <c r="C7" s="114"/>
      <c r="D7" s="114" t="s">
        <v>2120</v>
      </c>
      <c r="E7" s="115"/>
      <c r="F7" s="49"/>
    </row>
    <row r="8" spans="1:8" ht="17" thickTop="1" x14ac:dyDescent="0.5">
      <c r="A8" s="49"/>
      <c r="B8" s="128" t="s">
        <v>2117</v>
      </c>
      <c r="C8" s="116"/>
      <c r="D8" s="116" t="str">
        <f>IFERROR(_xlfn.XLOOKUP($E$4,Sales_data!C:C,Sales_data!L:L), "Product Not Found")</f>
        <v>Laptop</v>
      </c>
      <c r="E8" s="117"/>
      <c r="F8" s="49"/>
    </row>
    <row r="9" spans="1:8" x14ac:dyDescent="0.5">
      <c r="A9" s="49"/>
      <c r="B9" s="129" t="s">
        <v>10</v>
      </c>
      <c r="C9" s="118"/>
      <c r="D9" s="118" t="str">
        <f>IFERROR(_xlfn.XLOOKUP($E$4,Product_master!A:A,Product_master!C:C),"Product Not Found")</f>
        <v>Electronics</v>
      </c>
      <c r="E9" s="119"/>
      <c r="F9" s="49"/>
    </row>
    <row r="10" spans="1:8" x14ac:dyDescent="0.5">
      <c r="A10" s="49"/>
      <c r="B10" s="129" t="s">
        <v>2093</v>
      </c>
      <c r="C10" s="118"/>
      <c r="D10" s="118" t="str">
        <f>IFERROR(VLOOKUP($E$4,Product_master!$A$1:$F$11, 4, FALSE), "Product Not Found" )</f>
        <v>TechHub</v>
      </c>
      <c r="E10" s="119"/>
      <c r="F10" s="49"/>
    </row>
    <row r="11" spans="1:8" x14ac:dyDescent="0.5">
      <c r="A11" s="49"/>
      <c r="B11" s="129" t="s">
        <v>2118</v>
      </c>
      <c r="C11" s="118"/>
      <c r="D11" s="120">
        <f>IFERROR(VLOOKUP($E$4,Product_master!A1:F11,5,FALSE), "Product Not Found")</f>
        <v>41250</v>
      </c>
      <c r="E11" s="121"/>
      <c r="F11" s="49"/>
    </row>
    <row r="12" spans="1:8" ht="17" thickBot="1" x14ac:dyDescent="0.55000000000000004">
      <c r="A12" s="49"/>
      <c r="B12" s="112" t="s">
        <v>2119</v>
      </c>
      <c r="C12" s="113"/>
      <c r="D12" s="113">
        <f>IFERROR(_xlfn.XLOOKUP($E$4,Product_master!A:A,Product_master!F:F), "Product Not Found")</f>
        <v>12</v>
      </c>
      <c r="E12" s="122"/>
      <c r="F12" s="49"/>
    </row>
  </sheetData>
  <mergeCells count="16">
    <mergeCell ref="B2:E2"/>
    <mergeCell ref="E4:E5"/>
    <mergeCell ref="B6:E6"/>
    <mergeCell ref="B12:C12"/>
    <mergeCell ref="D7:E7"/>
    <mergeCell ref="D8:E8"/>
    <mergeCell ref="D9:E9"/>
    <mergeCell ref="D10:E10"/>
    <mergeCell ref="D11:E11"/>
    <mergeCell ref="D12:E12"/>
    <mergeCell ref="B4:D5"/>
    <mergeCell ref="B7:C7"/>
    <mergeCell ref="B8:C8"/>
    <mergeCell ref="B9:C9"/>
    <mergeCell ref="B10:C10"/>
    <mergeCell ref="B11:C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86B2C-BF84-491F-9575-73BFAD015AD1}">
  <dimension ref="B1:F9"/>
  <sheetViews>
    <sheetView workbookViewId="0">
      <selection activeCell="E13" sqref="E13"/>
    </sheetView>
  </sheetViews>
  <sheetFormatPr defaultRowHeight="16.5" x14ac:dyDescent="0.5"/>
  <cols>
    <col min="2" max="6" width="13.1796875" customWidth="1"/>
  </cols>
  <sheetData>
    <row r="1" spans="2:6" x14ac:dyDescent="0.5">
      <c r="B1" s="141" t="s">
        <v>2123</v>
      </c>
      <c r="C1" s="141"/>
      <c r="D1" s="141"/>
      <c r="E1" s="141"/>
      <c r="F1" s="141"/>
    </row>
    <row r="3" spans="2:6" ht="17" thickBot="1" x14ac:dyDescent="0.55000000000000004">
      <c r="B3" s="140" t="s">
        <v>2124</v>
      </c>
      <c r="C3" s="140"/>
      <c r="D3" s="140"/>
      <c r="E3" s="140" t="s">
        <v>2125</v>
      </c>
      <c r="F3" s="140"/>
    </row>
    <row r="4" spans="2:6" ht="17" thickTop="1" x14ac:dyDescent="0.5">
      <c r="B4" s="130" t="s">
        <v>2126</v>
      </c>
      <c r="C4" s="131"/>
      <c r="D4" s="131"/>
      <c r="E4" s="134">
        <f>SUMIFS(Sales_data!P:P,Sales_data!K:K,"Electronics",Sales_data!V:V,"Completed")</f>
        <v>7222090</v>
      </c>
      <c r="F4" s="135"/>
    </row>
    <row r="5" spans="2:6" x14ac:dyDescent="0.5">
      <c r="B5" s="130" t="s">
        <v>2127</v>
      </c>
      <c r="C5" s="131"/>
      <c r="D5" s="131"/>
      <c r="E5" s="134">
        <f>SUMIFS(Sales_data!P:P,Sales_data!S:S, "Neha",Sales_data!J:J,"North")</f>
        <v>1550369.25</v>
      </c>
      <c r="F5" s="135"/>
    </row>
    <row r="6" spans="2:6" x14ac:dyDescent="0.5">
      <c r="B6" s="130" t="s">
        <v>2128</v>
      </c>
      <c r="C6" s="131"/>
      <c r="D6" s="131"/>
      <c r="E6" s="136">
        <f>COUNTIFS(Sales_data!O:O,"&gt;=15",Sales_data!R:R, "UPI")</f>
        <v>45</v>
      </c>
      <c r="F6" s="137"/>
    </row>
    <row r="7" spans="2:6" x14ac:dyDescent="0.5">
      <c r="B7" s="130" t="s">
        <v>2129</v>
      </c>
      <c r="C7" s="131"/>
      <c r="D7" s="131"/>
      <c r="E7" s="136">
        <f>COUNTIFS(Sales_data!Q:Q,"=5",Sales_data!V:V,"Completed")</f>
        <v>27</v>
      </c>
      <c r="F7" s="137"/>
    </row>
    <row r="8" spans="2:6" ht="17" thickBot="1" x14ac:dyDescent="0.55000000000000004">
      <c r="B8" s="132" t="s">
        <v>2130</v>
      </c>
      <c r="C8" s="133"/>
      <c r="D8" s="133"/>
      <c r="E8" s="138">
        <f>AVERAGEIFS(Sales_data!P:P,Sales_data!J:J,"West",Sales_data!M:M, "&gt;5")</f>
        <v>82824.450657894733</v>
      </c>
      <c r="F8" s="139"/>
    </row>
    <row r="9" spans="2:6" ht="17" thickTop="1" x14ac:dyDescent="0.5"/>
  </sheetData>
  <mergeCells count="13">
    <mergeCell ref="B3:D3"/>
    <mergeCell ref="E3:F3"/>
    <mergeCell ref="B1:F1"/>
    <mergeCell ref="B4:D4"/>
    <mergeCell ref="B5:D5"/>
    <mergeCell ref="B6:D6"/>
    <mergeCell ref="B7:D7"/>
    <mergeCell ref="B8:D8"/>
    <mergeCell ref="E4:F4"/>
    <mergeCell ref="E5:F5"/>
    <mergeCell ref="E6:F6"/>
    <mergeCell ref="E7:F7"/>
    <mergeCell ref="E8:F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A2553-1CCC-4086-932E-FF27E00F5A0B}">
  <dimension ref="B2:L12"/>
  <sheetViews>
    <sheetView workbookViewId="0">
      <selection activeCell="L11" sqref="L11"/>
    </sheetView>
  </sheetViews>
  <sheetFormatPr defaultRowHeight="16.5" x14ac:dyDescent="0.5"/>
  <cols>
    <col min="2" max="2" width="11.90625" customWidth="1"/>
    <col min="3" max="3" width="11.54296875" customWidth="1"/>
    <col min="4" max="4" width="12.54296875" customWidth="1"/>
    <col min="5" max="5" width="11.08984375" customWidth="1"/>
    <col min="7" max="7" width="11.36328125" customWidth="1"/>
  </cols>
  <sheetData>
    <row r="2" spans="2:12" ht="19.5" thickBot="1" x14ac:dyDescent="0.55000000000000004">
      <c r="C2" s="142" t="s">
        <v>2135</v>
      </c>
      <c r="D2" s="143"/>
      <c r="E2" s="143"/>
      <c r="F2" s="143"/>
      <c r="G2" s="144"/>
    </row>
    <row r="3" spans="2:12" ht="17" thickBot="1" x14ac:dyDescent="0.55000000000000004">
      <c r="B3" s="145" t="s">
        <v>2136</v>
      </c>
      <c r="C3" s="146"/>
      <c r="D3" s="146"/>
      <c r="E3" s="146"/>
      <c r="F3" s="146" t="s">
        <v>2137</v>
      </c>
      <c r="G3" s="146"/>
      <c r="H3" s="151"/>
    </row>
    <row r="4" spans="2:12" ht="17" thickTop="1" x14ac:dyDescent="0.5">
      <c r="B4" s="147" t="s">
        <v>2131</v>
      </c>
      <c r="C4" s="148"/>
      <c r="D4" s="148"/>
      <c r="E4" s="148"/>
      <c r="F4" s="152">
        <f>AVERAGE(Sales_data!P:P)</f>
        <v>69531.875</v>
      </c>
      <c r="G4" s="153"/>
      <c r="H4" s="154"/>
      <c r="L4" s="55"/>
    </row>
    <row r="5" spans="2:12" x14ac:dyDescent="0.5">
      <c r="B5" s="149" t="s">
        <v>2132</v>
      </c>
      <c r="C5" s="150"/>
      <c r="D5" s="150"/>
      <c r="E5" s="150"/>
      <c r="F5" s="155">
        <f>MEDIAN(Sales_data!P:P)</f>
        <v>10475</v>
      </c>
      <c r="G5" s="156"/>
      <c r="H5" s="157"/>
    </row>
    <row r="6" spans="2:12" x14ac:dyDescent="0.5">
      <c r="B6" s="147" t="s">
        <v>2138</v>
      </c>
      <c r="C6" s="148"/>
      <c r="D6" s="148"/>
      <c r="E6" s="148"/>
      <c r="F6" s="155">
        <f>MAX(Sales_data!P2:P501)</f>
        <v>1045000</v>
      </c>
      <c r="G6" s="158"/>
      <c r="H6" s="159"/>
    </row>
    <row r="7" spans="2:12" x14ac:dyDescent="0.5">
      <c r="B7" s="147" t="s">
        <v>2139</v>
      </c>
      <c r="C7" s="148"/>
      <c r="D7" s="148"/>
      <c r="E7" s="148"/>
      <c r="F7" s="169">
        <f>MIN(Sales_data!P2:P501)</f>
        <v>19</v>
      </c>
      <c r="G7" s="158"/>
      <c r="H7" s="159"/>
    </row>
    <row r="8" spans="2:12" x14ac:dyDescent="0.5">
      <c r="B8" s="147" t="s">
        <v>2133</v>
      </c>
      <c r="C8" s="148"/>
      <c r="D8" s="148"/>
      <c r="E8" s="148"/>
      <c r="F8" s="169">
        <f>_xlfn.STDEV.S(Sales_data!P2:P501)</f>
        <v>167151.44592393315</v>
      </c>
      <c r="G8" s="158"/>
      <c r="H8" s="159"/>
    </row>
    <row r="9" spans="2:12" ht="17" thickBot="1" x14ac:dyDescent="0.55000000000000004">
      <c r="B9" s="170" t="s">
        <v>2134</v>
      </c>
      <c r="C9" s="171"/>
      <c r="D9" s="171"/>
      <c r="E9" s="172"/>
      <c r="F9" s="173">
        <f>_xlfn.PERCENTILE.INC(Sales_data!P:P, 0.9)</f>
        <v>163880.00000000015</v>
      </c>
      <c r="G9" s="174"/>
      <c r="H9" s="175"/>
    </row>
    <row r="10" spans="2:12" ht="17" thickBot="1" x14ac:dyDescent="0.55000000000000004">
      <c r="B10" s="166"/>
      <c r="C10" s="167"/>
      <c r="D10" s="167"/>
      <c r="E10" s="167"/>
      <c r="F10" s="167"/>
      <c r="G10" s="167"/>
      <c r="H10" s="168"/>
    </row>
    <row r="11" spans="2:12" x14ac:dyDescent="0.5">
      <c r="B11" s="160" t="s">
        <v>2141</v>
      </c>
      <c r="C11" s="161"/>
      <c r="D11" s="161"/>
      <c r="E11" s="161"/>
      <c r="F11" s="161"/>
      <c r="G11" s="161"/>
      <c r="H11" s="162"/>
    </row>
    <row r="12" spans="2:12" ht="17" thickBot="1" x14ac:dyDescent="0.55000000000000004">
      <c r="B12" s="163" t="s">
        <v>2140</v>
      </c>
      <c r="C12" s="164"/>
      <c r="D12" s="164"/>
      <c r="E12" s="164"/>
      <c r="F12" s="164"/>
      <c r="G12" s="164"/>
      <c r="H12" s="165"/>
    </row>
  </sheetData>
  <mergeCells count="18">
    <mergeCell ref="B11:H11"/>
    <mergeCell ref="B12:H12"/>
    <mergeCell ref="B10:H10"/>
    <mergeCell ref="F7:H7"/>
    <mergeCell ref="B8:E8"/>
    <mergeCell ref="F8:H8"/>
    <mergeCell ref="B9:E9"/>
    <mergeCell ref="F9:H9"/>
    <mergeCell ref="B7:E7"/>
    <mergeCell ref="C2:G2"/>
    <mergeCell ref="B3:E3"/>
    <mergeCell ref="B4:E4"/>
    <mergeCell ref="B5:E5"/>
    <mergeCell ref="B6:E6"/>
    <mergeCell ref="F3:H3"/>
    <mergeCell ref="F4:H4"/>
    <mergeCell ref="F5:H5"/>
    <mergeCell ref="F6:H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9316B-026D-4188-9CE1-4BCFA541C877}">
  <dimension ref="B1:G6"/>
  <sheetViews>
    <sheetView workbookViewId="0">
      <selection activeCell="E12" sqref="E12"/>
    </sheetView>
  </sheetViews>
  <sheetFormatPr defaultRowHeight="16.5" x14ac:dyDescent="0.5"/>
  <cols>
    <col min="1" max="1" width="8.6328125" customWidth="1"/>
    <col min="6" max="6" width="9.90625" customWidth="1"/>
  </cols>
  <sheetData>
    <row r="1" spans="2:7" ht="22" customHeight="1" thickBot="1" x14ac:dyDescent="0.55000000000000004">
      <c r="B1" s="180" t="s">
        <v>2146</v>
      </c>
      <c r="C1" s="181"/>
      <c r="D1" s="181"/>
      <c r="E1" s="182"/>
    </row>
    <row r="2" spans="2:7" ht="17.5" thickTop="1" thickBot="1" x14ac:dyDescent="0.55000000000000004">
      <c r="B2" s="183" t="s">
        <v>2124</v>
      </c>
      <c r="C2" s="184"/>
      <c r="D2" s="184"/>
      <c r="E2" s="184"/>
      <c r="F2" s="185" t="s">
        <v>2147</v>
      </c>
      <c r="G2" s="186"/>
    </row>
    <row r="3" spans="2:7" ht="21" customHeight="1" x14ac:dyDescent="0.5">
      <c r="B3" s="187" t="s">
        <v>2142</v>
      </c>
      <c r="C3" s="188"/>
      <c r="D3" s="188"/>
      <c r="E3" s="188"/>
      <c r="F3" s="189">
        <f>SUMPRODUCT(Sales_data!M:M, Sales_data!N:N)</f>
        <v>36604875</v>
      </c>
      <c r="G3" s="190"/>
    </row>
    <row r="4" spans="2:7" ht="21" customHeight="1" x14ac:dyDescent="0.5">
      <c r="B4" s="193" t="s">
        <v>2143</v>
      </c>
      <c r="C4" s="194"/>
      <c r="D4" s="194"/>
      <c r="E4" s="194"/>
      <c r="F4" s="191">
        <f>SUMPRODUCT(Sales_data!N:N, Sales_data!M:M) / SUM(Sales_data!M:M)</f>
        <v>6989.6648844758447</v>
      </c>
      <c r="G4" s="192"/>
    </row>
    <row r="5" spans="2:7" ht="21" customHeight="1" x14ac:dyDescent="0.5">
      <c r="B5" s="193" t="s">
        <v>2144</v>
      </c>
      <c r="C5" s="194"/>
      <c r="D5" s="194"/>
      <c r="E5" s="194"/>
      <c r="F5" s="191">
        <f>SUM(Sales_data!P:P)- F3</f>
        <v>-1838937.5</v>
      </c>
      <c r="G5" s="192"/>
    </row>
    <row r="6" spans="2:7" ht="20.5" customHeight="1" thickBot="1" x14ac:dyDescent="0.55000000000000004">
      <c r="B6" s="176" t="s">
        <v>2145</v>
      </c>
      <c r="C6" s="177"/>
      <c r="D6" s="177"/>
      <c r="E6" s="177"/>
      <c r="F6" s="178">
        <f>SUMPRODUCT('Q1'!M:M,'Q1'!N:N,'Q1'!O:O)/100</f>
        <v>2919951.5</v>
      </c>
      <c r="G6" s="179"/>
    </row>
  </sheetData>
  <mergeCells count="11">
    <mergeCell ref="B6:E6"/>
    <mergeCell ref="F6:G6"/>
    <mergeCell ref="B1:E1"/>
    <mergeCell ref="B2:E2"/>
    <mergeCell ref="F2:G2"/>
    <mergeCell ref="B3:E3"/>
    <mergeCell ref="F3:G3"/>
    <mergeCell ref="F4:G4"/>
    <mergeCell ref="B4:E4"/>
    <mergeCell ref="B5:E5"/>
    <mergeCell ref="F5:G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476C-A0EE-4255-ACD7-27471CF9B464}">
  <dimension ref="A1:E13"/>
  <sheetViews>
    <sheetView workbookViewId="0">
      <selection activeCell="F10" sqref="F10"/>
    </sheetView>
  </sheetViews>
  <sheetFormatPr defaultRowHeight="16.5" x14ac:dyDescent="0.5"/>
  <cols>
    <col min="1" max="1" width="14.1796875" customWidth="1"/>
    <col min="2" max="2" width="13.1796875" customWidth="1"/>
    <col min="3" max="3" width="12.08984375" customWidth="1"/>
    <col min="5" max="5" width="13.6328125" bestFit="1" customWidth="1"/>
    <col min="6" max="6" width="14" bestFit="1" customWidth="1"/>
  </cols>
  <sheetData>
    <row r="1" spans="1:5" x14ac:dyDescent="0.5">
      <c r="A1" s="198" t="s">
        <v>2151</v>
      </c>
      <c r="B1" s="199"/>
      <c r="C1" s="199"/>
      <c r="D1" s="199"/>
      <c r="E1" s="200"/>
    </row>
    <row r="2" spans="1:5" ht="17" thickBot="1" x14ac:dyDescent="0.55000000000000004">
      <c r="A2" s="201"/>
      <c r="B2" s="202"/>
      <c r="C2" s="202"/>
      <c r="D2" s="202"/>
      <c r="E2" s="203"/>
    </row>
    <row r="3" spans="1:5" ht="17.5" thickTop="1" thickBot="1" x14ac:dyDescent="0.55000000000000004">
      <c r="A3" s="195"/>
      <c r="B3" s="196"/>
      <c r="C3" s="196"/>
      <c r="D3" s="196"/>
      <c r="E3" s="197"/>
    </row>
    <row r="4" spans="1:5" ht="17" thickBot="1" x14ac:dyDescent="0.55000000000000004">
      <c r="A4" s="209" t="s">
        <v>2152</v>
      </c>
      <c r="B4" s="210"/>
      <c r="C4" s="210"/>
      <c r="D4" s="210" t="s">
        <v>2153</v>
      </c>
      <c r="E4" s="211"/>
    </row>
    <row r="5" spans="1:5" x14ac:dyDescent="0.5">
      <c r="A5" s="204" t="s">
        <v>2148</v>
      </c>
      <c r="B5" s="167"/>
      <c r="C5" s="167"/>
      <c r="D5" s="205">
        <f>ROUND(FV(10%/12, 5*12, -50000, 0), 2)</f>
        <v>3871853.61</v>
      </c>
      <c r="E5" s="206"/>
    </row>
    <row r="6" spans="1:5" x14ac:dyDescent="0.5">
      <c r="A6" s="204" t="s">
        <v>2149</v>
      </c>
      <c r="B6" s="167"/>
      <c r="C6" s="167"/>
      <c r="D6" s="205">
        <f>ROUND(PMT(10%/12, 5*12, 0, -5000000), 2)</f>
        <v>64568.56</v>
      </c>
      <c r="E6" s="206"/>
    </row>
    <row r="7" spans="1:5" ht="17" thickBot="1" x14ac:dyDescent="0.55000000000000004">
      <c r="A7" s="195" t="s">
        <v>2150</v>
      </c>
      <c r="B7" s="196"/>
      <c r="C7" s="196"/>
      <c r="D7" s="207">
        <f>ROUND(PMT(9%/12, 12*5, -1000000 ), 0)</f>
        <v>20758</v>
      </c>
      <c r="E7" s="208"/>
    </row>
    <row r="11" spans="1:5" ht="9.5" customHeight="1" x14ac:dyDescent="0.5"/>
    <row r="12" spans="1:5" hidden="1" x14ac:dyDescent="0.5"/>
    <row r="13" spans="1:5" hidden="1" x14ac:dyDescent="0.5"/>
  </sheetData>
  <mergeCells count="10">
    <mergeCell ref="A3:E3"/>
    <mergeCell ref="A1:E2"/>
    <mergeCell ref="A5:C5"/>
    <mergeCell ref="A6:C6"/>
    <mergeCell ref="A7:C7"/>
    <mergeCell ref="D5:E5"/>
    <mergeCell ref="D6:E6"/>
    <mergeCell ref="D7:E7"/>
    <mergeCell ref="A4:C4"/>
    <mergeCell ref="D4:E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CBD38-3A27-489B-BF3F-1EC83C6DE62B}">
  <dimension ref="A1:AQ501"/>
  <sheetViews>
    <sheetView zoomScale="76" zoomScaleNormal="85" workbookViewId="0">
      <selection activeCell="AQ2" sqref="AQ2"/>
    </sheetView>
  </sheetViews>
  <sheetFormatPr defaultRowHeight="16.5" x14ac:dyDescent="0.5"/>
  <cols>
    <col min="1" max="3" width="16.1796875" customWidth="1"/>
    <col min="4" max="4" width="16.1796875" style="89" customWidth="1"/>
    <col min="5" max="5" width="16.1796875" customWidth="1"/>
    <col min="6" max="6" width="19.1796875" customWidth="1"/>
    <col min="7" max="19" width="16.1796875" customWidth="1"/>
    <col min="20" max="20" width="26.1796875" customWidth="1"/>
    <col min="21" max="21" width="16.1796875" style="62" customWidth="1"/>
    <col min="22" max="22" width="16.1796875" customWidth="1"/>
    <col min="43" max="43" width="16.1796875" style="89" customWidth="1"/>
  </cols>
  <sheetData>
    <row r="1" spans="1:43" ht="17" thickBot="1" x14ac:dyDescent="0.55000000000000004">
      <c r="A1" s="66" t="s">
        <v>0</v>
      </c>
      <c r="B1" s="67" t="s">
        <v>1</v>
      </c>
      <c r="C1" s="67" t="s">
        <v>2</v>
      </c>
      <c r="D1" s="85" t="s">
        <v>3</v>
      </c>
      <c r="E1" s="67" t="s">
        <v>4</v>
      </c>
      <c r="F1" s="67" t="s">
        <v>5</v>
      </c>
      <c r="G1" s="67" t="s">
        <v>6</v>
      </c>
      <c r="H1" s="67" t="s">
        <v>7</v>
      </c>
      <c r="I1" s="67" t="s">
        <v>8</v>
      </c>
      <c r="J1" s="67" t="s">
        <v>9</v>
      </c>
      <c r="K1" s="67" t="s">
        <v>10</v>
      </c>
      <c r="L1" s="67" t="s">
        <v>11</v>
      </c>
      <c r="M1" s="67" t="s">
        <v>12</v>
      </c>
      <c r="N1" s="67" t="s">
        <v>13</v>
      </c>
      <c r="O1" s="67" t="s">
        <v>14</v>
      </c>
      <c r="P1" s="67" t="s">
        <v>15</v>
      </c>
      <c r="Q1" s="67" t="s">
        <v>16</v>
      </c>
      <c r="R1" s="67" t="s">
        <v>34</v>
      </c>
      <c r="S1" s="67" t="s">
        <v>18</v>
      </c>
      <c r="T1" s="67" t="s">
        <v>2155</v>
      </c>
      <c r="U1" s="68" t="s">
        <v>20</v>
      </c>
      <c r="V1" s="67" t="s">
        <v>21</v>
      </c>
      <c r="AQ1" s="85" t="s">
        <v>2181</v>
      </c>
    </row>
    <row r="2" spans="1:43" ht="17" thickTop="1" x14ac:dyDescent="0.5">
      <c r="A2" s="69" t="s">
        <v>22</v>
      </c>
      <c r="B2" s="70" t="s">
        <v>23</v>
      </c>
      <c r="C2" s="70" t="s">
        <v>24</v>
      </c>
      <c r="D2" s="86">
        <v>45918</v>
      </c>
      <c r="E2" s="70" t="s">
        <v>26</v>
      </c>
      <c r="F2" s="70" t="s">
        <v>27</v>
      </c>
      <c r="G2" s="70" t="s">
        <v>28</v>
      </c>
      <c r="H2" s="70" t="s">
        <v>29</v>
      </c>
      <c r="I2" s="70" t="s">
        <v>30</v>
      </c>
      <c r="J2" s="70" t="s">
        <v>31</v>
      </c>
      <c r="K2" s="70" t="s">
        <v>32</v>
      </c>
      <c r="L2" s="70" t="s">
        <v>33</v>
      </c>
      <c r="M2" s="70">
        <v>4</v>
      </c>
      <c r="N2" s="70">
        <v>2200</v>
      </c>
      <c r="O2" s="71">
        <v>0.1</v>
      </c>
      <c r="P2" s="70">
        <v>7920</v>
      </c>
      <c r="Q2" s="70">
        <v>4</v>
      </c>
      <c r="R2" s="70" t="s">
        <v>34</v>
      </c>
      <c r="S2" s="70" t="s">
        <v>35</v>
      </c>
      <c r="T2" s="70" t="s">
        <v>50</v>
      </c>
      <c r="U2" s="70">
        <v>9431429797</v>
      </c>
      <c r="V2" s="70" t="s">
        <v>38</v>
      </c>
      <c r="AQ2" s="86">
        <v>45918</v>
      </c>
    </row>
    <row r="3" spans="1:43" x14ac:dyDescent="0.5">
      <c r="A3" s="72" t="s">
        <v>39</v>
      </c>
      <c r="B3" s="73" t="s">
        <v>23</v>
      </c>
      <c r="C3" s="73" t="s">
        <v>40</v>
      </c>
      <c r="D3" s="87">
        <v>45774</v>
      </c>
      <c r="E3" s="73" t="s">
        <v>42</v>
      </c>
      <c r="F3" s="70" t="s">
        <v>27</v>
      </c>
      <c r="G3" s="73" t="s">
        <v>28</v>
      </c>
      <c r="H3" s="73" t="s">
        <v>43</v>
      </c>
      <c r="I3" s="73" t="s">
        <v>44</v>
      </c>
      <c r="J3" s="73" t="s">
        <v>45</v>
      </c>
      <c r="K3" s="73" t="s">
        <v>46</v>
      </c>
      <c r="L3" s="73" t="s">
        <v>47</v>
      </c>
      <c r="M3" s="73">
        <v>17</v>
      </c>
      <c r="N3" s="73">
        <v>12000</v>
      </c>
      <c r="O3" s="71">
        <v>0.1</v>
      </c>
      <c r="P3" s="73">
        <v>183600</v>
      </c>
      <c r="Q3" s="73">
        <v>1</v>
      </c>
      <c r="R3" s="73" t="s">
        <v>48</v>
      </c>
      <c r="S3" s="73" t="s">
        <v>49</v>
      </c>
      <c r="T3" s="70" t="s">
        <v>50</v>
      </c>
      <c r="U3" s="73">
        <v>9129865339</v>
      </c>
      <c r="V3" s="73" t="s">
        <v>38</v>
      </c>
      <c r="AQ3" s="87">
        <v>45774</v>
      </c>
    </row>
    <row r="4" spans="1:43" x14ac:dyDescent="0.5">
      <c r="A4" s="69" t="s">
        <v>52</v>
      </c>
      <c r="B4" s="70" t="s">
        <v>53</v>
      </c>
      <c r="C4" s="70" t="s">
        <v>54</v>
      </c>
      <c r="D4" s="86">
        <v>45903</v>
      </c>
      <c r="E4" s="70" t="s">
        <v>56</v>
      </c>
      <c r="F4" s="70" t="s">
        <v>163</v>
      </c>
      <c r="G4" s="70" t="s">
        <v>28</v>
      </c>
      <c r="H4" s="70" t="s">
        <v>58</v>
      </c>
      <c r="I4" s="70" t="s">
        <v>59</v>
      </c>
      <c r="J4" s="70" t="s">
        <v>31</v>
      </c>
      <c r="K4" s="70" t="s">
        <v>46</v>
      </c>
      <c r="L4" s="70" t="s">
        <v>60</v>
      </c>
      <c r="M4" s="70">
        <v>5</v>
      </c>
      <c r="N4" s="70">
        <v>55000</v>
      </c>
      <c r="O4" s="71">
        <v>0.05</v>
      </c>
      <c r="P4" s="70">
        <v>261250</v>
      </c>
      <c r="Q4" s="70">
        <v>3</v>
      </c>
      <c r="R4" s="70" t="s">
        <v>48</v>
      </c>
      <c r="S4" s="70" t="s">
        <v>61</v>
      </c>
      <c r="T4" s="70" t="s">
        <v>62</v>
      </c>
      <c r="U4" s="70">
        <v>9380975626</v>
      </c>
      <c r="V4" s="70" t="s">
        <v>64</v>
      </c>
      <c r="AQ4" s="86">
        <v>45725</v>
      </c>
    </row>
    <row r="5" spans="1:43" x14ac:dyDescent="0.5">
      <c r="A5" s="72" t="s">
        <v>39</v>
      </c>
      <c r="B5" s="73" t="s">
        <v>23</v>
      </c>
      <c r="C5" s="73" t="s">
        <v>24</v>
      </c>
      <c r="D5" s="87">
        <v>46102</v>
      </c>
      <c r="E5" s="73" t="s">
        <v>66</v>
      </c>
      <c r="F5" s="70" t="s">
        <v>27</v>
      </c>
      <c r="G5" s="73" t="s">
        <v>28</v>
      </c>
      <c r="H5" s="73" t="s">
        <v>67</v>
      </c>
      <c r="I5" s="73" t="s">
        <v>59</v>
      </c>
      <c r="J5" s="73" t="s">
        <v>31</v>
      </c>
      <c r="K5" s="73" t="s">
        <v>32</v>
      </c>
      <c r="L5" s="73" t="s">
        <v>33</v>
      </c>
      <c r="M5" s="73">
        <v>5</v>
      </c>
      <c r="N5" s="73">
        <v>2200</v>
      </c>
      <c r="O5" s="71">
        <v>0.05</v>
      </c>
      <c r="P5" s="73">
        <v>10450</v>
      </c>
      <c r="Q5" s="73">
        <v>5</v>
      </c>
      <c r="R5" s="73" t="s">
        <v>48</v>
      </c>
      <c r="S5" s="73" t="s">
        <v>61</v>
      </c>
      <c r="T5" s="70" t="s">
        <v>50</v>
      </c>
      <c r="U5" s="73">
        <v>9600261125</v>
      </c>
      <c r="V5" s="73" t="s">
        <v>69</v>
      </c>
      <c r="AQ5" s="87">
        <v>46102</v>
      </c>
    </row>
    <row r="6" spans="1:43" x14ac:dyDescent="0.5">
      <c r="A6" s="69" t="s">
        <v>70</v>
      </c>
      <c r="B6" s="70" t="s">
        <v>71</v>
      </c>
      <c r="C6" s="70" t="s">
        <v>72</v>
      </c>
      <c r="D6" s="86">
        <v>45927</v>
      </c>
      <c r="E6" s="70" t="s">
        <v>74</v>
      </c>
      <c r="F6" s="70" t="s">
        <v>217</v>
      </c>
      <c r="G6" s="70" t="s">
        <v>76</v>
      </c>
      <c r="H6" s="70" t="s">
        <v>77</v>
      </c>
      <c r="I6" s="70" t="s">
        <v>44</v>
      </c>
      <c r="J6" s="70" t="s">
        <v>45</v>
      </c>
      <c r="K6" s="70" t="s">
        <v>46</v>
      </c>
      <c r="L6" s="70" t="s">
        <v>78</v>
      </c>
      <c r="M6" s="70">
        <v>8</v>
      </c>
      <c r="N6" s="70">
        <v>1200</v>
      </c>
      <c r="O6" s="71">
        <v>0.05</v>
      </c>
      <c r="P6" s="70">
        <v>9120</v>
      </c>
      <c r="Q6" s="70">
        <v>2</v>
      </c>
      <c r="R6" s="70" t="s">
        <v>79</v>
      </c>
      <c r="S6" s="70" t="s">
        <v>61</v>
      </c>
      <c r="T6" s="70" t="s">
        <v>80</v>
      </c>
      <c r="U6" s="74">
        <v>9724635978</v>
      </c>
      <c r="V6" s="70" t="s">
        <v>64</v>
      </c>
      <c r="AQ6" s="86">
        <v>45927</v>
      </c>
    </row>
    <row r="7" spans="1:43" x14ac:dyDescent="0.5">
      <c r="A7" s="72" t="s">
        <v>82</v>
      </c>
      <c r="B7" s="73" t="s">
        <v>83</v>
      </c>
      <c r="C7" s="73" t="s">
        <v>24</v>
      </c>
      <c r="D7" s="87">
        <v>46026</v>
      </c>
      <c r="E7" s="73" t="s">
        <v>85</v>
      </c>
      <c r="F7" s="70" t="s">
        <v>180</v>
      </c>
      <c r="G7" s="73" t="s">
        <v>76</v>
      </c>
      <c r="H7" s="73" t="s">
        <v>87</v>
      </c>
      <c r="I7" s="73" t="s">
        <v>30</v>
      </c>
      <c r="J7" s="73" t="s">
        <v>31</v>
      </c>
      <c r="K7" s="73" t="s">
        <v>32</v>
      </c>
      <c r="L7" s="73" t="s">
        <v>33</v>
      </c>
      <c r="M7" s="73">
        <v>4</v>
      </c>
      <c r="N7" s="73">
        <v>2200</v>
      </c>
      <c r="O7" s="71">
        <v>0</v>
      </c>
      <c r="P7" s="73">
        <v>8800</v>
      </c>
      <c r="Q7" s="73">
        <v>1</v>
      </c>
      <c r="R7" s="73" t="s">
        <v>88</v>
      </c>
      <c r="S7" s="73" t="s">
        <v>35</v>
      </c>
      <c r="T7" s="70" t="s">
        <v>89</v>
      </c>
      <c r="U7" s="73">
        <v>9780584905</v>
      </c>
      <c r="V7" s="73" t="s">
        <v>38</v>
      </c>
      <c r="AQ7" s="87">
        <v>46113</v>
      </c>
    </row>
    <row r="8" spans="1:43" x14ac:dyDescent="0.5">
      <c r="A8" s="69" t="s">
        <v>91</v>
      </c>
      <c r="B8" s="70" t="s">
        <v>23</v>
      </c>
      <c r="C8" s="70" t="s">
        <v>92</v>
      </c>
      <c r="D8" s="86" t="s">
        <v>1069</v>
      </c>
      <c r="E8" s="86">
        <v>46078</v>
      </c>
      <c r="F8" s="70" t="s">
        <v>27</v>
      </c>
      <c r="G8" s="70" t="s">
        <v>28</v>
      </c>
      <c r="H8" s="70" t="s">
        <v>96</v>
      </c>
      <c r="I8" s="70" t="s">
        <v>30</v>
      </c>
      <c r="J8" s="70" t="s">
        <v>31</v>
      </c>
      <c r="K8" s="70" t="s">
        <v>32</v>
      </c>
      <c r="L8" s="70" t="s">
        <v>97</v>
      </c>
      <c r="M8" s="70">
        <v>2</v>
      </c>
      <c r="N8" s="70">
        <v>3500</v>
      </c>
      <c r="O8" s="71">
        <v>0.05</v>
      </c>
      <c r="P8" s="70">
        <v>6650</v>
      </c>
      <c r="Q8" s="70">
        <v>1</v>
      </c>
      <c r="R8" s="70" t="s">
        <v>88</v>
      </c>
      <c r="S8" s="70" t="s">
        <v>35</v>
      </c>
      <c r="T8" s="70" t="s">
        <v>50</v>
      </c>
      <c r="U8" s="70">
        <v>9958252176</v>
      </c>
      <c r="V8" s="70" t="s">
        <v>38</v>
      </c>
      <c r="AQ8" s="86">
        <v>45716</v>
      </c>
    </row>
    <row r="9" spans="1:43" x14ac:dyDescent="0.5">
      <c r="A9" s="72" t="s">
        <v>99</v>
      </c>
      <c r="B9" s="73" t="s">
        <v>100</v>
      </c>
      <c r="C9" s="73" t="s">
        <v>40</v>
      </c>
      <c r="D9" s="87">
        <v>45760</v>
      </c>
      <c r="E9" s="73" t="s">
        <v>102</v>
      </c>
      <c r="F9" s="70" t="s">
        <v>103</v>
      </c>
      <c r="G9" s="73" t="s">
        <v>28</v>
      </c>
      <c r="H9" s="73" t="s">
        <v>104</v>
      </c>
      <c r="I9" s="73" t="s">
        <v>105</v>
      </c>
      <c r="J9" s="73" t="s">
        <v>106</v>
      </c>
      <c r="K9" s="73" t="s">
        <v>46</v>
      </c>
      <c r="L9" s="73" t="s">
        <v>47</v>
      </c>
      <c r="M9" s="73">
        <v>14</v>
      </c>
      <c r="N9" s="73">
        <v>12000</v>
      </c>
      <c r="O9" s="71">
        <v>0.15</v>
      </c>
      <c r="P9" s="73">
        <v>142800</v>
      </c>
      <c r="Q9" s="73">
        <v>4</v>
      </c>
      <c r="R9" s="73" t="s">
        <v>48</v>
      </c>
      <c r="S9" s="73" t="s">
        <v>35</v>
      </c>
      <c r="T9" s="70" t="s">
        <v>144</v>
      </c>
      <c r="U9" s="73">
        <v>9705521654</v>
      </c>
      <c r="V9" s="73" t="s">
        <v>38</v>
      </c>
      <c r="AQ9" s="87">
        <v>45760</v>
      </c>
    </row>
    <row r="10" spans="1:43" x14ac:dyDescent="0.5">
      <c r="A10" s="69" t="s">
        <v>109</v>
      </c>
      <c r="B10" s="70" t="s">
        <v>23</v>
      </c>
      <c r="C10" s="70" t="s">
        <v>40</v>
      </c>
      <c r="D10" s="86">
        <v>46053</v>
      </c>
      <c r="E10" s="70" t="s">
        <v>111</v>
      </c>
      <c r="F10" s="70" t="s">
        <v>27</v>
      </c>
      <c r="G10" s="70" t="s">
        <v>28</v>
      </c>
      <c r="H10" s="70" t="s">
        <v>113</v>
      </c>
      <c r="I10" s="70" t="s">
        <v>114</v>
      </c>
      <c r="J10" s="70" t="s">
        <v>106</v>
      </c>
      <c r="K10" s="70" t="s">
        <v>46</v>
      </c>
      <c r="L10" s="70" t="s">
        <v>47</v>
      </c>
      <c r="M10" s="70">
        <v>4</v>
      </c>
      <c r="N10" s="70">
        <v>12000</v>
      </c>
      <c r="O10" s="71">
        <v>0.15</v>
      </c>
      <c r="P10" s="70">
        <v>40800</v>
      </c>
      <c r="Q10" s="70">
        <v>4</v>
      </c>
      <c r="R10" s="70" t="s">
        <v>88</v>
      </c>
      <c r="S10" s="70" t="s">
        <v>115</v>
      </c>
      <c r="T10" s="70" t="s">
        <v>50</v>
      </c>
      <c r="U10" s="70">
        <v>9588041011</v>
      </c>
      <c r="V10" s="70" t="s">
        <v>38</v>
      </c>
      <c r="AQ10" s="86">
        <v>46053</v>
      </c>
    </row>
    <row r="11" spans="1:43" x14ac:dyDescent="0.5">
      <c r="A11" s="72" t="s">
        <v>117</v>
      </c>
      <c r="B11" s="73" t="s">
        <v>100</v>
      </c>
      <c r="C11" s="73" t="s">
        <v>118</v>
      </c>
      <c r="D11" s="87">
        <v>45741</v>
      </c>
      <c r="E11" s="73" t="s">
        <v>120</v>
      </c>
      <c r="F11" s="70" t="s">
        <v>103</v>
      </c>
      <c r="G11" s="73" t="s">
        <v>28</v>
      </c>
      <c r="H11" s="73" t="s">
        <v>121</v>
      </c>
      <c r="I11" s="73" t="s">
        <v>105</v>
      </c>
      <c r="J11" s="73" t="s">
        <v>106</v>
      </c>
      <c r="K11" s="73" t="s">
        <v>122</v>
      </c>
      <c r="L11" s="73" t="s">
        <v>123</v>
      </c>
      <c r="M11" s="73">
        <v>6</v>
      </c>
      <c r="N11" s="73">
        <v>60</v>
      </c>
      <c r="O11" s="71">
        <v>0</v>
      </c>
      <c r="P11" s="73">
        <v>360</v>
      </c>
      <c r="Q11" s="73">
        <v>4</v>
      </c>
      <c r="R11" s="73" t="s">
        <v>79</v>
      </c>
      <c r="S11" s="73" t="s">
        <v>115</v>
      </c>
      <c r="T11" s="70" t="s">
        <v>144</v>
      </c>
      <c r="U11" s="73">
        <v>9340540608</v>
      </c>
      <c r="V11" s="73" t="s">
        <v>38</v>
      </c>
      <c r="AQ11" s="87">
        <v>45741</v>
      </c>
    </row>
    <row r="12" spans="1:43" x14ac:dyDescent="0.5">
      <c r="A12" s="69" t="s">
        <v>126</v>
      </c>
      <c r="B12" s="70" t="s">
        <v>127</v>
      </c>
      <c r="C12" s="70" t="s">
        <v>24</v>
      </c>
      <c r="D12" s="86">
        <v>45919</v>
      </c>
      <c r="E12" s="70" t="s">
        <v>129</v>
      </c>
      <c r="F12" s="70" t="s">
        <v>200</v>
      </c>
      <c r="G12" s="70" t="s">
        <v>76</v>
      </c>
      <c r="H12" s="70" t="s">
        <v>131</v>
      </c>
      <c r="I12" s="70" t="s">
        <v>44</v>
      </c>
      <c r="J12" s="70" t="s">
        <v>45</v>
      </c>
      <c r="K12" s="70" t="s">
        <v>32</v>
      </c>
      <c r="L12" s="70" t="s">
        <v>33</v>
      </c>
      <c r="M12" s="70">
        <v>3</v>
      </c>
      <c r="N12" s="70">
        <v>2200</v>
      </c>
      <c r="O12" s="71">
        <v>0</v>
      </c>
      <c r="P12" s="70">
        <v>35200</v>
      </c>
      <c r="Q12" s="70">
        <v>2</v>
      </c>
      <c r="R12" s="70" t="s">
        <v>79</v>
      </c>
      <c r="S12" s="70" t="s">
        <v>49</v>
      </c>
      <c r="T12" s="70" t="s">
        <v>132</v>
      </c>
      <c r="U12" s="70">
        <v>9521710321</v>
      </c>
      <c r="V12" s="70" t="s">
        <v>64</v>
      </c>
      <c r="AQ12" s="86">
        <v>45919</v>
      </c>
    </row>
    <row r="13" spans="1:43" x14ac:dyDescent="0.5">
      <c r="A13" s="72" t="s">
        <v>134</v>
      </c>
      <c r="B13" s="73" t="s">
        <v>23</v>
      </c>
      <c r="C13" s="73" t="s">
        <v>92</v>
      </c>
      <c r="D13" s="87">
        <v>45724</v>
      </c>
      <c r="E13" s="73" t="s">
        <v>136</v>
      </c>
      <c r="F13" s="70" t="s">
        <v>27</v>
      </c>
      <c r="G13" s="73" t="s">
        <v>28</v>
      </c>
      <c r="H13" s="73" t="s">
        <v>137</v>
      </c>
      <c r="I13" s="73" t="s">
        <v>138</v>
      </c>
      <c r="J13" s="73" t="s">
        <v>106</v>
      </c>
      <c r="K13" s="73" t="s">
        <v>32</v>
      </c>
      <c r="L13" s="73" t="s">
        <v>97</v>
      </c>
      <c r="M13" s="73">
        <v>10</v>
      </c>
      <c r="N13" s="73">
        <v>3500</v>
      </c>
      <c r="O13" s="71">
        <v>0.05</v>
      </c>
      <c r="P13" s="73">
        <v>33250</v>
      </c>
      <c r="Q13" s="73">
        <v>5</v>
      </c>
      <c r="R13" s="73" t="s">
        <v>79</v>
      </c>
      <c r="S13" s="73" t="s">
        <v>61</v>
      </c>
      <c r="T13" s="70" t="s">
        <v>50</v>
      </c>
      <c r="U13" s="73">
        <v>9123535241</v>
      </c>
      <c r="V13" s="73" t="s">
        <v>69</v>
      </c>
      <c r="AQ13" s="87">
        <v>45872</v>
      </c>
    </row>
    <row r="14" spans="1:43" x14ac:dyDescent="0.5">
      <c r="A14" s="69" t="s">
        <v>140</v>
      </c>
      <c r="B14" s="70" t="s">
        <v>100</v>
      </c>
      <c r="C14" s="70" t="s">
        <v>24</v>
      </c>
      <c r="D14" s="86">
        <v>45667</v>
      </c>
      <c r="E14" s="70" t="s">
        <v>142</v>
      </c>
      <c r="F14" s="70" t="s">
        <v>103</v>
      </c>
      <c r="G14" s="70" t="s">
        <v>28</v>
      </c>
      <c r="H14" s="70" t="s">
        <v>143</v>
      </c>
      <c r="I14" s="70" t="s">
        <v>114</v>
      </c>
      <c r="J14" s="70" t="s">
        <v>106</v>
      </c>
      <c r="K14" s="70" t="s">
        <v>32</v>
      </c>
      <c r="L14" s="70" t="s">
        <v>33</v>
      </c>
      <c r="M14" s="70">
        <v>15</v>
      </c>
      <c r="N14" s="70">
        <v>2200</v>
      </c>
      <c r="O14" s="71">
        <v>0.1</v>
      </c>
      <c r="P14" s="70">
        <v>29700</v>
      </c>
      <c r="Q14" s="70">
        <v>1</v>
      </c>
      <c r="R14" s="70" t="s">
        <v>88</v>
      </c>
      <c r="S14" s="70" t="s">
        <v>115</v>
      </c>
      <c r="T14" s="70" t="s">
        <v>144</v>
      </c>
      <c r="U14" s="70">
        <v>9367316892</v>
      </c>
      <c r="V14" s="70" t="s">
        <v>64</v>
      </c>
      <c r="AQ14" s="86">
        <v>45931</v>
      </c>
    </row>
    <row r="15" spans="1:43" x14ac:dyDescent="0.5">
      <c r="A15" s="72" t="s">
        <v>146</v>
      </c>
      <c r="B15" s="73" t="s">
        <v>127</v>
      </c>
      <c r="C15" s="73" t="s">
        <v>24</v>
      </c>
      <c r="D15" s="87">
        <v>45725</v>
      </c>
      <c r="E15" s="73" t="s">
        <v>148</v>
      </c>
      <c r="F15" s="70" t="s">
        <v>200</v>
      </c>
      <c r="G15" s="73" t="s">
        <v>76</v>
      </c>
      <c r="H15" s="73" t="s">
        <v>150</v>
      </c>
      <c r="I15" s="73" t="s">
        <v>105</v>
      </c>
      <c r="J15" s="73" t="s">
        <v>106</v>
      </c>
      <c r="K15" s="73" t="s">
        <v>32</v>
      </c>
      <c r="L15" s="73" t="s">
        <v>33</v>
      </c>
      <c r="M15" s="73">
        <v>17</v>
      </c>
      <c r="N15" s="73">
        <v>2200</v>
      </c>
      <c r="O15" s="71">
        <v>0.05</v>
      </c>
      <c r="P15" s="73">
        <v>35530</v>
      </c>
      <c r="Q15" s="73">
        <v>1</v>
      </c>
      <c r="R15" s="73" t="s">
        <v>34</v>
      </c>
      <c r="S15" s="73" t="s">
        <v>151</v>
      </c>
      <c r="T15" s="70" t="s">
        <v>132</v>
      </c>
      <c r="U15" s="73">
        <v>9778489803</v>
      </c>
      <c r="V15" s="73" t="s">
        <v>38</v>
      </c>
      <c r="AQ15" s="87">
        <v>45903</v>
      </c>
    </row>
    <row r="16" spans="1:43" x14ac:dyDescent="0.5">
      <c r="A16" s="69" t="s">
        <v>154</v>
      </c>
      <c r="B16" s="70" t="s">
        <v>23</v>
      </c>
      <c r="C16" s="70" t="s">
        <v>92</v>
      </c>
      <c r="D16" s="86">
        <v>45864</v>
      </c>
      <c r="E16" s="70" t="s">
        <v>156</v>
      </c>
      <c r="F16" s="70" t="s">
        <v>27</v>
      </c>
      <c r="G16" s="70" t="s">
        <v>28</v>
      </c>
      <c r="H16" s="70" t="s">
        <v>158</v>
      </c>
      <c r="I16" s="70" t="s">
        <v>105</v>
      </c>
      <c r="J16" s="70" t="s">
        <v>106</v>
      </c>
      <c r="K16" s="70" t="s">
        <v>32</v>
      </c>
      <c r="L16" s="70" t="s">
        <v>97</v>
      </c>
      <c r="M16" s="70">
        <v>15</v>
      </c>
      <c r="N16" s="70">
        <v>3500</v>
      </c>
      <c r="O16" s="71">
        <v>0.15</v>
      </c>
      <c r="P16" s="70">
        <v>44625</v>
      </c>
      <c r="Q16" s="70">
        <v>2</v>
      </c>
      <c r="R16" s="70" t="s">
        <v>34</v>
      </c>
      <c r="S16" s="70" t="s">
        <v>115</v>
      </c>
      <c r="T16" s="70" t="s">
        <v>50</v>
      </c>
      <c r="U16" s="70">
        <v>9582960180</v>
      </c>
      <c r="V16" s="70" t="s">
        <v>69</v>
      </c>
      <c r="AQ16" s="86">
        <v>45864</v>
      </c>
    </row>
    <row r="17" spans="1:43" x14ac:dyDescent="0.5">
      <c r="A17" s="72" t="s">
        <v>160</v>
      </c>
      <c r="B17" s="73" t="s">
        <v>53</v>
      </c>
      <c r="C17" s="73" t="s">
        <v>72</v>
      </c>
      <c r="D17" s="87">
        <v>46120</v>
      </c>
      <c r="E17" s="73" t="s">
        <v>162</v>
      </c>
      <c r="F17" s="70" t="s">
        <v>163</v>
      </c>
      <c r="G17" s="73" t="s">
        <v>28</v>
      </c>
      <c r="H17" s="73" t="s">
        <v>164</v>
      </c>
      <c r="I17" s="73" t="s">
        <v>30</v>
      </c>
      <c r="J17" s="73" t="s">
        <v>31</v>
      </c>
      <c r="K17" s="73" t="s">
        <v>46</v>
      </c>
      <c r="L17" s="73" t="s">
        <v>78</v>
      </c>
      <c r="M17" s="73">
        <v>3</v>
      </c>
      <c r="N17" s="73">
        <v>1200</v>
      </c>
      <c r="O17" s="71">
        <v>0.05</v>
      </c>
      <c r="P17" s="73">
        <v>3420</v>
      </c>
      <c r="Q17" s="73">
        <v>5</v>
      </c>
      <c r="R17" s="73" t="s">
        <v>88</v>
      </c>
      <c r="S17" s="73" t="s">
        <v>35</v>
      </c>
      <c r="T17" s="70" t="s">
        <v>165</v>
      </c>
      <c r="U17" s="73">
        <v>9611394005</v>
      </c>
      <c r="V17" s="73" t="s">
        <v>38</v>
      </c>
      <c r="AQ17" s="87">
        <v>46238</v>
      </c>
    </row>
    <row r="18" spans="1:43" x14ac:dyDescent="0.5">
      <c r="A18" s="69" t="s">
        <v>167</v>
      </c>
      <c r="B18" s="70" t="s">
        <v>168</v>
      </c>
      <c r="C18" s="70" t="s">
        <v>169</v>
      </c>
      <c r="D18" s="86">
        <v>46075</v>
      </c>
      <c r="E18" s="70" t="s">
        <v>171</v>
      </c>
      <c r="F18" s="70" t="s">
        <v>394</v>
      </c>
      <c r="G18" s="70" t="s">
        <v>28</v>
      </c>
      <c r="H18" s="70" t="s">
        <v>173</v>
      </c>
      <c r="I18" s="70" t="s">
        <v>114</v>
      </c>
      <c r="J18" s="70" t="s">
        <v>106</v>
      </c>
      <c r="K18" s="70" t="s">
        <v>32</v>
      </c>
      <c r="L18" s="70" t="s">
        <v>174</v>
      </c>
      <c r="M18" s="70">
        <v>13</v>
      </c>
      <c r="N18" s="70">
        <v>8500</v>
      </c>
      <c r="O18" s="71">
        <v>0.2</v>
      </c>
      <c r="P18" s="70">
        <v>88400</v>
      </c>
      <c r="Q18" s="70">
        <v>4</v>
      </c>
      <c r="R18" s="70" t="s">
        <v>79</v>
      </c>
      <c r="S18" s="70" t="s">
        <v>49</v>
      </c>
      <c r="T18" s="70" t="s">
        <v>175</v>
      </c>
      <c r="U18" s="70">
        <v>9692599404</v>
      </c>
      <c r="V18" s="70" t="s">
        <v>64</v>
      </c>
      <c r="AQ18" s="86">
        <v>46075</v>
      </c>
    </row>
    <row r="19" spans="1:43" x14ac:dyDescent="0.5">
      <c r="A19" s="72" t="s">
        <v>177</v>
      </c>
      <c r="B19" s="73" t="s">
        <v>83</v>
      </c>
      <c r="C19" s="73" t="s">
        <v>169</v>
      </c>
      <c r="D19" s="87">
        <v>46081</v>
      </c>
      <c r="E19" s="73" t="s">
        <v>179</v>
      </c>
      <c r="F19" s="70" t="s">
        <v>180</v>
      </c>
      <c r="G19" s="73" t="s">
        <v>76</v>
      </c>
      <c r="H19" s="73" t="s">
        <v>181</v>
      </c>
      <c r="I19" s="73" t="s">
        <v>138</v>
      </c>
      <c r="J19" s="73" t="s">
        <v>106</v>
      </c>
      <c r="K19" s="73" t="s">
        <v>32</v>
      </c>
      <c r="L19" s="73" t="s">
        <v>174</v>
      </c>
      <c r="M19" s="73">
        <v>4</v>
      </c>
      <c r="N19" s="73">
        <v>8500</v>
      </c>
      <c r="O19" s="71">
        <v>0.2</v>
      </c>
      <c r="P19" s="73">
        <v>27200</v>
      </c>
      <c r="Q19" s="73">
        <v>5</v>
      </c>
      <c r="R19" s="73" t="s">
        <v>79</v>
      </c>
      <c r="S19" s="73" t="s">
        <v>61</v>
      </c>
      <c r="T19" s="70" t="s">
        <v>89</v>
      </c>
      <c r="U19" s="73">
        <v>9426119622</v>
      </c>
      <c r="V19" s="73" t="s">
        <v>64</v>
      </c>
      <c r="AQ19" s="87">
        <v>46081</v>
      </c>
    </row>
    <row r="20" spans="1:43" x14ac:dyDescent="0.5">
      <c r="A20" s="69" t="s">
        <v>183</v>
      </c>
      <c r="B20" s="70" t="s">
        <v>83</v>
      </c>
      <c r="C20" s="70" t="s">
        <v>184</v>
      </c>
      <c r="D20" s="86">
        <v>45992</v>
      </c>
      <c r="E20" s="70" t="s">
        <v>186</v>
      </c>
      <c r="F20" s="70" t="s">
        <v>180</v>
      </c>
      <c r="G20" s="70" t="s">
        <v>76</v>
      </c>
      <c r="H20" s="70" t="s">
        <v>188</v>
      </c>
      <c r="I20" s="70" t="s">
        <v>105</v>
      </c>
      <c r="J20" s="70" t="s">
        <v>106</v>
      </c>
      <c r="K20" s="70" t="s">
        <v>46</v>
      </c>
      <c r="L20" s="70" t="s">
        <v>189</v>
      </c>
      <c r="M20" s="70">
        <v>9</v>
      </c>
      <c r="N20" s="70">
        <v>700</v>
      </c>
      <c r="O20" s="71">
        <v>0.05</v>
      </c>
      <c r="P20" s="70">
        <v>5985</v>
      </c>
      <c r="Q20" s="70">
        <v>3</v>
      </c>
      <c r="R20" s="70" t="s">
        <v>88</v>
      </c>
      <c r="S20" s="70" t="s">
        <v>35</v>
      </c>
      <c r="T20" s="70" t="s">
        <v>89</v>
      </c>
      <c r="U20" s="70">
        <v>9184436009</v>
      </c>
      <c r="V20" s="70" t="s">
        <v>64</v>
      </c>
      <c r="AQ20" s="86">
        <v>45669</v>
      </c>
    </row>
    <row r="21" spans="1:43" x14ac:dyDescent="0.5">
      <c r="A21" s="72" t="s">
        <v>192</v>
      </c>
      <c r="B21" s="73" t="s">
        <v>23</v>
      </c>
      <c r="C21" s="73" t="s">
        <v>54</v>
      </c>
      <c r="D21" s="87">
        <v>45833</v>
      </c>
      <c r="E21" s="73" t="s">
        <v>194</v>
      </c>
      <c r="F21" s="70" t="s">
        <v>27</v>
      </c>
      <c r="G21" s="73" t="s">
        <v>28</v>
      </c>
      <c r="H21" s="73" t="s">
        <v>195</v>
      </c>
      <c r="I21" s="73" t="s">
        <v>138</v>
      </c>
      <c r="J21" s="73" t="s">
        <v>106</v>
      </c>
      <c r="K21" s="73" t="s">
        <v>46</v>
      </c>
      <c r="L21" s="73" t="s">
        <v>60</v>
      </c>
      <c r="M21" s="73">
        <v>8</v>
      </c>
      <c r="N21" s="73">
        <v>55000</v>
      </c>
      <c r="O21" s="71">
        <v>0.2</v>
      </c>
      <c r="P21" s="73">
        <v>352000</v>
      </c>
      <c r="Q21" s="73">
        <v>1</v>
      </c>
      <c r="R21" s="73" t="s">
        <v>34</v>
      </c>
      <c r="S21" s="73" t="s">
        <v>151</v>
      </c>
      <c r="T21" s="70" t="s">
        <v>50</v>
      </c>
      <c r="U21" s="73">
        <v>9263774934</v>
      </c>
      <c r="V21" s="73" t="s">
        <v>38</v>
      </c>
      <c r="AQ21" s="87">
        <v>45833</v>
      </c>
    </row>
    <row r="22" spans="1:43" x14ac:dyDescent="0.5">
      <c r="A22" s="69" t="s">
        <v>197</v>
      </c>
      <c r="B22" s="70" t="s">
        <v>127</v>
      </c>
      <c r="C22" s="70" t="s">
        <v>184</v>
      </c>
      <c r="D22" s="86">
        <v>45773</v>
      </c>
      <c r="E22" s="70" t="s">
        <v>199</v>
      </c>
      <c r="F22" s="70" t="s">
        <v>200</v>
      </c>
      <c r="G22" s="70" t="s">
        <v>76</v>
      </c>
      <c r="H22" s="70" t="s">
        <v>201</v>
      </c>
      <c r="I22" s="70" t="s">
        <v>44</v>
      </c>
      <c r="J22" s="70" t="s">
        <v>45</v>
      </c>
      <c r="K22" s="70" t="s">
        <v>202</v>
      </c>
      <c r="L22" s="70" t="s">
        <v>189</v>
      </c>
      <c r="M22" s="70">
        <v>10</v>
      </c>
      <c r="N22" s="70">
        <v>700</v>
      </c>
      <c r="O22" s="71">
        <v>0.2</v>
      </c>
      <c r="P22" s="70">
        <v>5600</v>
      </c>
      <c r="Q22" s="70">
        <v>4</v>
      </c>
      <c r="R22" s="70" t="s">
        <v>79</v>
      </c>
      <c r="S22" s="70" t="s">
        <v>61</v>
      </c>
      <c r="T22" s="70" t="s">
        <v>132</v>
      </c>
      <c r="U22" s="70">
        <v>9473159572</v>
      </c>
      <c r="V22" s="70" t="s">
        <v>69</v>
      </c>
      <c r="AQ22" s="86">
        <v>45773</v>
      </c>
    </row>
    <row r="23" spans="1:43" x14ac:dyDescent="0.5">
      <c r="A23" s="72" t="s">
        <v>204</v>
      </c>
      <c r="B23" s="73" t="s">
        <v>23</v>
      </c>
      <c r="C23" s="73" t="s">
        <v>92</v>
      </c>
      <c r="D23" s="87">
        <v>45660</v>
      </c>
      <c r="E23" s="73" t="s">
        <v>206</v>
      </c>
      <c r="F23" s="70" t="s">
        <v>27</v>
      </c>
      <c r="G23" s="73" t="s">
        <v>28</v>
      </c>
      <c r="H23" s="73" t="s">
        <v>207</v>
      </c>
      <c r="I23" s="73" t="s">
        <v>59</v>
      </c>
      <c r="J23" s="73" t="s">
        <v>31</v>
      </c>
      <c r="K23" s="73" t="s">
        <v>32</v>
      </c>
      <c r="L23" s="73" t="s">
        <v>97</v>
      </c>
      <c r="M23" s="73">
        <v>1</v>
      </c>
      <c r="N23" s="73">
        <v>3500</v>
      </c>
      <c r="O23" s="71">
        <v>0.05</v>
      </c>
      <c r="P23" s="73">
        <v>3325</v>
      </c>
      <c r="Q23" s="73">
        <v>3</v>
      </c>
      <c r="R23" s="73" t="s">
        <v>88</v>
      </c>
      <c r="S23" s="73" t="s">
        <v>115</v>
      </c>
      <c r="T23" s="70" t="s">
        <v>50</v>
      </c>
      <c r="U23" s="73">
        <v>9660493688</v>
      </c>
      <c r="V23" s="73" t="s">
        <v>69</v>
      </c>
      <c r="AQ23" s="87">
        <v>45717</v>
      </c>
    </row>
    <row r="24" spans="1:43" x14ac:dyDescent="0.5">
      <c r="A24" s="69" t="s">
        <v>209</v>
      </c>
      <c r="B24" s="70" t="s">
        <v>100</v>
      </c>
      <c r="C24" s="70" t="s">
        <v>184</v>
      </c>
      <c r="D24" s="86">
        <v>45766</v>
      </c>
      <c r="E24" s="70" t="s">
        <v>210</v>
      </c>
      <c r="F24" s="70" t="s">
        <v>103</v>
      </c>
      <c r="G24" s="70" t="s">
        <v>28</v>
      </c>
      <c r="H24" s="70" t="s">
        <v>211</v>
      </c>
      <c r="I24" s="70" t="s">
        <v>212</v>
      </c>
      <c r="J24" s="70" t="s">
        <v>45</v>
      </c>
      <c r="K24" s="70" t="s">
        <v>46</v>
      </c>
      <c r="L24" s="70" t="s">
        <v>189</v>
      </c>
      <c r="M24" s="70">
        <v>19</v>
      </c>
      <c r="N24" s="70">
        <v>700</v>
      </c>
      <c r="O24" s="71">
        <v>0.15</v>
      </c>
      <c r="P24" s="70">
        <v>11305</v>
      </c>
      <c r="Q24" s="70">
        <v>3</v>
      </c>
      <c r="R24" s="70" t="s">
        <v>48</v>
      </c>
      <c r="S24" s="70" t="s">
        <v>151</v>
      </c>
      <c r="T24" s="70" t="s">
        <v>144</v>
      </c>
      <c r="U24" s="70">
        <v>9513325819</v>
      </c>
      <c r="V24" s="70" t="s">
        <v>64</v>
      </c>
      <c r="AQ24" s="86">
        <v>45766</v>
      </c>
    </row>
    <row r="25" spans="1:43" x14ac:dyDescent="0.5">
      <c r="A25" s="72" t="s">
        <v>214</v>
      </c>
      <c r="B25" s="73" t="s">
        <v>71</v>
      </c>
      <c r="C25" s="73" t="s">
        <v>54</v>
      </c>
      <c r="D25" s="87">
        <v>46013</v>
      </c>
      <c r="E25" s="73" t="s">
        <v>216</v>
      </c>
      <c r="F25" s="70" t="s">
        <v>217</v>
      </c>
      <c r="G25" s="73" t="s">
        <v>76</v>
      </c>
      <c r="H25" s="73" t="s">
        <v>218</v>
      </c>
      <c r="I25" s="73" t="s">
        <v>59</v>
      </c>
      <c r="J25" s="73" t="s">
        <v>31</v>
      </c>
      <c r="K25" s="73" t="s">
        <v>46</v>
      </c>
      <c r="L25" s="73" t="s">
        <v>60</v>
      </c>
      <c r="M25" s="73">
        <v>12</v>
      </c>
      <c r="N25" s="73">
        <v>55000</v>
      </c>
      <c r="O25" s="71">
        <v>0</v>
      </c>
      <c r="P25" s="73">
        <v>660000</v>
      </c>
      <c r="Q25" s="73">
        <v>1</v>
      </c>
      <c r="R25" s="73" t="s">
        <v>79</v>
      </c>
      <c r="S25" s="73" t="s">
        <v>49</v>
      </c>
      <c r="T25" s="70" t="s">
        <v>80</v>
      </c>
      <c r="U25" s="73">
        <v>9641063242</v>
      </c>
      <c r="V25" s="73" t="s">
        <v>64</v>
      </c>
      <c r="AQ25" s="87">
        <v>46013</v>
      </c>
    </row>
    <row r="26" spans="1:43" x14ac:dyDescent="0.5">
      <c r="A26" s="69" t="s">
        <v>220</v>
      </c>
      <c r="B26" s="70" t="s">
        <v>221</v>
      </c>
      <c r="C26" s="70" t="s">
        <v>222</v>
      </c>
      <c r="D26" s="86">
        <v>46121</v>
      </c>
      <c r="E26" s="70" t="s">
        <v>224</v>
      </c>
      <c r="F26" s="70" t="s">
        <v>225</v>
      </c>
      <c r="G26" s="70" t="s">
        <v>76</v>
      </c>
      <c r="H26" s="70" t="s">
        <v>226</v>
      </c>
      <c r="I26" s="70" t="s">
        <v>105</v>
      </c>
      <c r="J26" s="70" t="s">
        <v>106</v>
      </c>
      <c r="K26" s="70" t="s">
        <v>122</v>
      </c>
      <c r="L26" s="70" t="s">
        <v>227</v>
      </c>
      <c r="M26" s="70">
        <v>1</v>
      </c>
      <c r="N26" s="70">
        <v>20</v>
      </c>
      <c r="O26" s="71">
        <v>0.05</v>
      </c>
      <c r="P26" s="70">
        <v>19</v>
      </c>
      <c r="Q26" s="70">
        <v>5</v>
      </c>
      <c r="R26" s="70" t="s">
        <v>79</v>
      </c>
      <c r="S26" s="70" t="s">
        <v>35</v>
      </c>
      <c r="T26" s="70" t="s">
        <v>228</v>
      </c>
      <c r="U26" s="70">
        <v>9277372518</v>
      </c>
      <c r="V26" s="70" t="s">
        <v>69</v>
      </c>
      <c r="AQ26" s="86">
        <v>46269</v>
      </c>
    </row>
    <row r="27" spans="1:43" x14ac:dyDescent="0.5">
      <c r="A27" s="72" t="s">
        <v>230</v>
      </c>
      <c r="B27" s="73" t="s">
        <v>83</v>
      </c>
      <c r="C27" s="73" t="s">
        <v>222</v>
      </c>
      <c r="D27" s="87">
        <v>45832</v>
      </c>
      <c r="E27" s="73" t="s">
        <v>232</v>
      </c>
      <c r="F27" s="70" t="s">
        <v>180</v>
      </c>
      <c r="G27" s="73" t="s">
        <v>76</v>
      </c>
      <c r="H27" s="73" t="s">
        <v>233</v>
      </c>
      <c r="I27" s="73" t="s">
        <v>105</v>
      </c>
      <c r="J27" s="73" t="s">
        <v>106</v>
      </c>
      <c r="K27" s="73" t="s">
        <v>122</v>
      </c>
      <c r="L27" s="73" t="s">
        <v>227</v>
      </c>
      <c r="M27" s="73">
        <v>2</v>
      </c>
      <c r="N27" s="73">
        <v>20</v>
      </c>
      <c r="O27" s="71">
        <v>0.15</v>
      </c>
      <c r="P27" s="73">
        <v>34</v>
      </c>
      <c r="Q27" s="73">
        <v>1</v>
      </c>
      <c r="R27" s="73" t="s">
        <v>88</v>
      </c>
      <c r="S27" s="73" t="s">
        <v>35</v>
      </c>
      <c r="T27" s="70" t="s">
        <v>89</v>
      </c>
      <c r="U27" s="73">
        <v>9193154372</v>
      </c>
      <c r="V27" s="73" t="s">
        <v>64</v>
      </c>
      <c r="AQ27" s="87">
        <v>45832</v>
      </c>
    </row>
    <row r="28" spans="1:43" x14ac:dyDescent="0.5">
      <c r="A28" s="69" t="s">
        <v>235</v>
      </c>
      <c r="B28" s="70" t="s">
        <v>71</v>
      </c>
      <c r="C28" s="70" t="s">
        <v>92</v>
      </c>
      <c r="D28" s="86">
        <v>45799</v>
      </c>
      <c r="E28" s="70" t="s">
        <v>237</v>
      </c>
      <c r="F28" s="70" t="s">
        <v>217</v>
      </c>
      <c r="G28" s="70" t="s">
        <v>76</v>
      </c>
      <c r="H28" s="70" t="s">
        <v>238</v>
      </c>
      <c r="I28" s="70" t="s">
        <v>138</v>
      </c>
      <c r="J28" s="70" t="s">
        <v>106</v>
      </c>
      <c r="K28" s="70" t="s">
        <v>32</v>
      </c>
      <c r="L28" s="70" t="s">
        <v>97</v>
      </c>
      <c r="M28" s="70">
        <v>12</v>
      </c>
      <c r="N28" s="70">
        <v>3500</v>
      </c>
      <c r="O28" s="71">
        <v>0.15</v>
      </c>
      <c r="P28" s="70">
        <v>35700</v>
      </c>
      <c r="Q28" s="70">
        <v>4</v>
      </c>
      <c r="R28" s="70" t="s">
        <v>34</v>
      </c>
      <c r="S28" s="70" t="s">
        <v>49</v>
      </c>
      <c r="T28" s="70" t="s">
        <v>80</v>
      </c>
      <c r="U28" s="70">
        <v>9400073244</v>
      </c>
      <c r="V28" s="70" t="s">
        <v>69</v>
      </c>
      <c r="AQ28" s="86">
        <v>45799</v>
      </c>
    </row>
    <row r="29" spans="1:43" x14ac:dyDescent="0.5">
      <c r="A29" s="72" t="s">
        <v>240</v>
      </c>
      <c r="B29" s="73" t="s">
        <v>23</v>
      </c>
      <c r="C29" s="73" t="s">
        <v>72</v>
      </c>
      <c r="D29" s="87">
        <v>46094</v>
      </c>
      <c r="E29" s="73" t="s">
        <v>242</v>
      </c>
      <c r="F29" s="70" t="s">
        <v>27</v>
      </c>
      <c r="G29" s="73" t="s">
        <v>28</v>
      </c>
      <c r="H29" s="73" t="s">
        <v>243</v>
      </c>
      <c r="I29" s="73" t="s">
        <v>138</v>
      </c>
      <c r="J29" s="73" t="s">
        <v>106</v>
      </c>
      <c r="K29" s="73" t="s">
        <v>46</v>
      </c>
      <c r="L29" s="73" t="s">
        <v>78</v>
      </c>
      <c r="M29" s="73">
        <v>11</v>
      </c>
      <c r="N29" s="73">
        <v>1200</v>
      </c>
      <c r="O29" s="71">
        <v>0</v>
      </c>
      <c r="P29" s="73">
        <v>13200</v>
      </c>
      <c r="Q29" s="73">
        <v>2</v>
      </c>
      <c r="R29" s="73" t="s">
        <v>88</v>
      </c>
      <c r="S29" s="73" t="s">
        <v>151</v>
      </c>
      <c r="T29" s="70" t="s">
        <v>50</v>
      </c>
      <c r="U29" s="73">
        <v>9771556720</v>
      </c>
      <c r="V29" s="73" t="s">
        <v>38</v>
      </c>
      <c r="AQ29" s="87">
        <v>46094</v>
      </c>
    </row>
    <row r="30" spans="1:43" x14ac:dyDescent="0.5">
      <c r="A30" s="69" t="s">
        <v>245</v>
      </c>
      <c r="B30" s="70" t="s">
        <v>127</v>
      </c>
      <c r="C30" s="70" t="s">
        <v>169</v>
      </c>
      <c r="D30" s="86">
        <v>45908</v>
      </c>
      <c r="E30" s="70" t="s">
        <v>247</v>
      </c>
      <c r="F30" s="70" t="s">
        <v>200</v>
      </c>
      <c r="G30" s="70" t="s">
        <v>76</v>
      </c>
      <c r="H30" s="70" t="s">
        <v>248</v>
      </c>
      <c r="I30" s="70" t="s">
        <v>114</v>
      </c>
      <c r="J30" s="70" t="s">
        <v>106</v>
      </c>
      <c r="K30" s="70" t="s">
        <v>32</v>
      </c>
      <c r="L30" s="70" t="s">
        <v>174</v>
      </c>
      <c r="M30" s="70">
        <v>6</v>
      </c>
      <c r="N30" s="70">
        <v>8500</v>
      </c>
      <c r="O30" s="71">
        <v>0.65</v>
      </c>
      <c r="P30" s="70">
        <v>51000</v>
      </c>
      <c r="Q30" s="70">
        <v>1</v>
      </c>
      <c r="R30" s="70" t="s">
        <v>79</v>
      </c>
      <c r="S30" s="70" t="s">
        <v>61</v>
      </c>
      <c r="T30" s="70" t="s">
        <v>132</v>
      </c>
      <c r="U30" s="70">
        <v>9127480734</v>
      </c>
      <c r="V30" s="70" t="s">
        <v>38</v>
      </c>
      <c r="AQ30" s="86">
        <v>45878</v>
      </c>
    </row>
    <row r="31" spans="1:43" x14ac:dyDescent="0.5">
      <c r="A31" s="72" t="s">
        <v>250</v>
      </c>
      <c r="B31" s="73" t="s">
        <v>251</v>
      </c>
      <c r="C31" s="73" t="s">
        <v>118</v>
      </c>
      <c r="D31" s="87">
        <v>46033</v>
      </c>
      <c r="E31" s="73" t="s">
        <v>253</v>
      </c>
      <c r="F31" s="70" t="s">
        <v>254</v>
      </c>
      <c r="G31" s="73" t="s">
        <v>28</v>
      </c>
      <c r="H31" s="73" t="s">
        <v>255</v>
      </c>
      <c r="I31" s="73" t="s">
        <v>114</v>
      </c>
      <c r="J31" s="73" t="s">
        <v>106</v>
      </c>
      <c r="K31" s="73" t="s">
        <v>122</v>
      </c>
      <c r="L31" s="73" t="s">
        <v>123</v>
      </c>
      <c r="M31" s="73">
        <v>2</v>
      </c>
      <c r="N31" s="73">
        <v>60</v>
      </c>
      <c r="O31" s="71">
        <v>0.05</v>
      </c>
      <c r="P31" s="73">
        <v>114</v>
      </c>
      <c r="Q31" s="73">
        <v>3</v>
      </c>
      <c r="R31" s="73" t="s">
        <v>34</v>
      </c>
      <c r="S31" s="73" t="s">
        <v>151</v>
      </c>
      <c r="T31" s="70" t="s">
        <v>256</v>
      </c>
      <c r="U31" s="73">
        <v>9512997042</v>
      </c>
      <c r="V31" s="73" t="s">
        <v>69</v>
      </c>
      <c r="AQ31" s="87">
        <v>46327</v>
      </c>
    </row>
    <row r="32" spans="1:43" x14ac:dyDescent="0.5">
      <c r="A32" s="69" t="s">
        <v>258</v>
      </c>
      <c r="B32" s="70" t="s">
        <v>23</v>
      </c>
      <c r="C32" s="70" t="s">
        <v>259</v>
      </c>
      <c r="D32" s="86">
        <v>45824</v>
      </c>
      <c r="E32" s="70" t="s">
        <v>261</v>
      </c>
      <c r="F32" s="70" t="s">
        <v>27</v>
      </c>
      <c r="G32" s="70" t="s">
        <v>28</v>
      </c>
      <c r="H32" s="70" t="s">
        <v>262</v>
      </c>
      <c r="I32" s="70" t="s">
        <v>59</v>
      </c>
      <c r="J32" s="70" t="s">
        <v>31</v>
      </c>
      <c r="K32" s="70" t="s">
        <v>122</v>
      </c>
      <c r="L32" s="70" t="s">
        <v>263</v>
      </c>
      <c r="M32" s="70">
        <v>19</v>
      </c>
      <c r="N32" s="70">
        <v>45</v>
      </c>
      <c r="O32" s="71">
        <v>0.2</v>
      </c>
      <c r="P32" s="70">
        <v>684</v>
      </c>
      <c r="Q32" s="70">
        <v>4</v>
      </c>
      <c r="R32" s="70" t="s">
        <v>48</v>
      </c>
      <c r="S32" s="70" t="s">
        <v>61</v>
      </c>
      <c r="T32" s="70" t="s">
        <v>50</v>
      </c>
      <c r="U32" s="70">
        <v>9372748661</v>
      </c>
      <c r="V32" s="70" t="s">
        <v>69</v>
      </c>
      <c r="AQ32" s="86">
        <v>45824</v>
      </c>
    </row>
    <row r="33" spans="1:43" x14ac:dyDescent="0.5">
      <c r="A33" s="72" t="s">
        <v>265</v>
      </c>
      <c r="B33" s="73" t="s">
        <v>100</v>
      </c>
      <c r="C33" s="73" t="s">
        <v>40</v>
      </c>
      <c r="D33" s="87">
        <v>45839</v>
      </c>
      <c r="E33" s="73" t="s">
        <v>267</v>
      </c>
      <c r="F33" s="70" t="s">
        <v>103</v>
      </c>
      <c r="G33" s="73" t="s">
        <v>28</v>
      </c>
      <c r="H33" s="73" t="s">
        <v>269</v>
      </c>
      <c r="I33" s="73" t="s">
        <v>138</v>
      </c>
      <c r="J33" s="73" t="s">
        <v>106</v>
      </c>
      <c r="K33" s="73" t="s">
        <v>46</v>
      </c>
      <c r="L33" s="73" t="s">
        <v>47</v>
      </c>
      <c r="M33" s="73">
        <v>11</v>
      </c>
      <c r="N33" s="73">
        <v>12000</v>
      </c>
      <c r="O33" s="71">
        <v>0</v>
      </c>
      <c r="P33" s="73">
        <v>132000</v>
      </c>
      <c r="Q33" s="73">
        <v>3</v>
      </c>
      <c r="R33" s="73" t="s">
        <v>88</v>
      </c>
      <c r="S33" s="73" t="s">
        <v>35</v>
      </c>
      <c r="T33" s="70" t="s">
        <v>144</v>
      </c>
      <c r="U33" s="73">
        <v>9570437805</v>
      </c>
      <c r="V33" s="73" t="s">
        <v>64</v>
      </c>
      <c r="AQ33" s="87">
        <v>45664</v>
      </c>
    </row>
    <row r="34" spans="1:43" x14ac:dyDescent="0.5">
      <c r="A34" s="69" t="s">
        <v>271</v>
      </c>
      <c r="B34" s="70" t="s">
        <v>251</v>
      </c>
      <c r="C34" s="70" t="s">
        <v>24</v>
      </c>
      <c r="D34" s="86">
        <v>45723</v>
      </c>
      <c r="E34" s="70" t="s">
        <v>136</v>
      </c>
      <c r="F34" s="70" t="s">
        <v>254</v>
      </c>
      <c r="G34" s="70" t="s">
        <v>28</v>
      </c>
      <c r="H34" s="70" t="s">
        <v>273</v>
      </c>
      <c r="I34" s="70" t="s">
        <v>59</v>
      </c>
      <c r="J34" s="70" t="s">
        <v>31</v>
      </c>
      <c r="K34" s="70" t="s">
        <v>32</v>
      </c>
      <c r="L34" s="70" t="s">
        <v>33</v>
      </c>
      <c r="M34" s="70">
        <v>20</v>
      </c>
      <c r="N34" s="70">
        <v>2200</v>
      </c>
      <c r="O34" s="71">
        <v>0.05</v>
      </c>
      <c r="P34" s="70">
        <v>41800</v>
      </c>
      <c r="Q34" s="70">
        <v>1</v>
      </c>
      <c r="R34" s="70" t="s">
        <v>34</v>
      </c>
      <c r="S34" s="70" t="s">
        <v>49</v>
      </c>
      <c r="T34" s="70" t="s">
        <v>256</v>
      </c>
      <c r="U34" s="70">
        <v>9310669113</v>
      </c>
      <c r="V34" s="70" t="s">
        <v>64</v>
      </c>
      <c r="AQ34" s="86">
        <v>45841</v>
      </c>
    </row>
    <row r="35" spans="1:43" x14ac:dyDescent="0.5">
      <c r="A35" s="72" t="s">
        <v>275</v>
      </c>
      <c r="B35" s="73" t="s">
        <v>83</v>
      </c>
      <c r="C35" s="73" t="s">
        <v>222</v>
      </c>
      <c r="D35" s="87">
        <v>45832</v>
      </c>
      <c r="E35" s="73" t="s">
        <v>276</v>
      </c>
      <c r="F35" s="70" t="s">
        <v>180</v>
      </c>
      <c r="G35" s="73" t="s">
        <v>76</v>
      </c>
      <c r="H35" s="73" t="s">
        <v>277</v>
      </c>
      <c r="I35" s="73" t="s">
        <v>138</v>
      </c>
      <c r="J35" s="73" t="s">
        <v>106</v>
      </c>
      <c r="K35" s="73" t="s">
        <v>122</v>
      </c>
      <c r="L35" s="73" t="s">
        <v>227</v>
      </c>
      <c r="M35" s="73">
        <v>3</v>
      </c>
      <c r="N35" s="73">
        <v>20</v>
      </c>
      <c r="O35" s="71">
        <v>0</v>
      </c>
      <c r="P35" s="73">
        <v>60</v>
      </c>
      <c r="Q35" s="73">
        <v>2</v>
      </c>
      <c r="R35" s="73" t="s">
        <v>79</v>
      </c>
      <c r="S35" s="73" t="s">
        <v>35</v>
      </c>
      <c r="T35" s="70" t="s">
        <v>2156</v>
      </c>
      <c r="U35" s="73">
        <v>9437132894</v>
      </c>
      <c r="V35" s="73" t="s">
        <v>69</v>
      </c>
      <c r="AQ35" s="87">
        <v>45832</v>
      </c>
    </row>
    <row r="36" spans="1:43" x14ac:dyDescent="0.5">
      <c r="A36" s="69" t="s">
        <v>280</v>
      </c>
      <c r="B36" s="70" t="s">
        <v>127</v>
      </c>
      <c r="C36" s="70" t="s">
        <v>259</v>
      </c>
      <c r="D36" s="86">
        <v>45939</v>
      </c>
      <c r="E36" s="70" t="s">
        <v>282</v>
      </c>
      <c r="F36" s="70" t="s">
        <v>200</v>
      </c>
      <c r="G36" s="70" t="s">
        <v>76</v>
      </c>
      <c r="H36" s="70" t="s">
        <v>283</v>
      </c>
      <c r="I36" s="70" t="s">
        <v>114</v>
      </c>
      <c r="J36" s="70" t="s">
        <v>106</v>
      </c>
      <c r="K36" s="70" t="s">
        <v>122</v>
      </c>
      <c r="L36" s="70" t="s">
        <v>263</v>
      </c>
      <c r="M36" s="70">
        <v>18</v>
      </c>
      <c r="N36" s="70">
        <v>45</v>
      </c>
      <c r="O36" s="71">
        <v>0.2</v>
      </c>
      <c r="P36" s="70">
        <v>648</v>
      </c>
      <c r="Q36" s="70">
        <v>4</v>
      </c>
      <c r="R36" s="70" t="s">
        <v>48</v>
      </c>
      <c r="S36" s="70" t="s">
        <v>35</v>
      </c>
      <c r="T36" s="70" t="s">
        <v>132</v>
      </c>
      <c r="U36" s="70">
        <v>9762437243</v>
      </c>
      <c r="V36" s="70" t="s">
        <v>69</v>
      </c>
      <c r="AQ36" s="86">
        <v>45910</v>
      </c>
    </row>
    <row r="37" spans="1:43" x14ac:dyDescent="0.5">
      <c r="A37" s="72" t="s">
        <v>285</v>
      </c>
      <c r="B37" s="73" t="s">
        <v>127</v>
      </c>
      <c r="C37" s="73" t="s">
        <v>72</v>
      </c>
      <c r="D37" s="87">
        <v>45980</v>
      </c>
      <c r="E37" s="73" t="s">
        <v>287</v>
      </c>
      <c r="F37" s="70" t="s">
        <v>200</v>
      </c>
      <c r="G37" s="73" t="s">
        <v>76</v>
      </c>
      <c r="H37" s="73" t="s">
        <v>288</v>
      </c>
      <c r="I37" s="73" t="s">
        <v>59</v>
      </c>
      <c r="J37" s="73" t="s">
        <v>31</v>
      </c>
      <c r="K37" s="73" t="s">
        <v>46</v>
      </c>
      <c r="L37" s="73" t="s">
        <v>78</v>
      </c>
      <c r="M37" s="73">
        <v>4</v>
      </c>
      <c r="N37" s="73">
        <v>1200</v>
      </c>
      <c r="O37" s="71">
        <v>0.2</v>
      </c>
      <c r="P37" s="73" t="s">
        <v>2157</v>
      </c>
      <c r="Q37" s="73">
        <v>3</v>
      </c>
      <c r="R37" s="73" t="s">
        <v>48</v>
      </c>
      <c r="S37" s="73" t="s">
        <v>61</v>
      </c>
      <c r="T37" s="70" t="s">
        <v>132</v>
      </c>
      <c r="U37" s="73">
        <v>9149046970</v>
      </c>
      <c r="V37" s="73" t="s">
        <v>38</v>
      </c>
      <c r="AQ37" s="87">
        <v>45980</v>
      </c>
    </row>
    <row r="38" spans="1:43" x14ac:dyDescent="0.5">
      <c r="A38" s="69" t="s">
        <v>290</v>
      </c>
      <c r="B38" s="70" t="s">
        <v>71</v>
      </c>
      <c r="C38" s="70" t="s">
        <v>54</v>
      </c>
      <c r="D38" s="86">
        <v>45966</v>
      </c>
      <c r="E38" s="70" t="s">
        <v>292</v>
      </c>
      <c r="F38" s="70" t="s">
        <v>217</v>
      </c>
      <c r="G38" s="70" t="s">
        <v>76</v>
      </c>
      <c r="H38" s="70" t="s">
        <v>293</v>
      </c>
      <c r="I38" s="70" t="s">
        <v>294</v>
      </c>
      <c r="J38" s="70" t="s">
        <v>295</v>
      </c>
      <c r="K38" s="70" t="s">
        <v>46</v>
      </c>
      <c r="L38" s="70" t="s">
        <v>60</v>
      </c>
      <c r="M38" s="70">
        <v>10</v>
      </c>
      <c r="N38" s="70">
        <v>55000</v>
      </c>
      <c r="O38" s="71">
        <v>0</v>
      </c>
      <c r="P38" s="70">
        <v>550000</v>
      </c>
      <c r="Q38" s="70">
        <v>1</v>
      </c>
      <c r="R38" s="70" t="s">
        <v>88</v>
      </c>
      <c r="S38" s="70" t="s">
        <v>49</v>
      </c>
      <c r="T38" s="70" t="s">
        <v>80</v>
      </c>
      <c r="U38" s="70">
        <v>9869182901</v>
      </c>
      <c r="V38" s="70" t="s">
        <v>69</v>
      </c>
      <c r="AQ38" s="86">
        <v>45788</v>
      </c>
    </row>
    <row r="39" spans="1:43" x14ac:dyDescent="0.5">
      <c r="A39" s="72" t="s">
        <v>297</v>
      </c>
      <c r="B39" s="73" t="s">
        <v>251</v>
      </c>
      <c r="C39" s="73" t="s">
        <v>92</v>
      </c>
      <c r="D39" s="87">
        <v>46089</v>
      </c>
      <c r="E39" s="73" t="s">
        <v>242</v>
      </c>
      <c r="F39" s="70" t="s">
        <v>254</v>
      </c>
      <c r="G39" s="73" t="s">
        <v>28</v>
      </c>
      <c r="H39" s="73" t="s">
        <v>299</v>
      </c>
      <c r="I39" s="73" t="s">
        <v>44</v>
      </c>
      <c r="J39" s="73" t="s">
        <v>45</v>
      </c>
      <c r="K39" s="73" t="s">
        <v>32</v>
      </c>
      <c r="L39" s="73" t="s">
        <v>97</v>
      </c>
      <c r="M39" s="73">
        <v>20</v>
      </c>
      <c r="N39" s="73">
        <v>3500</v>
      </c>
      <c r="O39" s="71">
        <v>0.1</v>
      </c>
      <c r="P39" s="73">
        <v>63000</v>
      </c>
      <c r="Q39" s="73">
        <v>3</v>
      </c>
      <c r="R39" s="73" t="s">
        <v>79</v>
      </c>
      <c r="S39" s="73" t="s">
        <v>49</v>
      </c>
      <c r="T39" s="70" t="s">
        <v>256</v>
      </c>
      <c r="U39" s="73">
        <v>9283578533</v>
      </c>
      <c r="V39" s="73" t="s">
        <v>69</v>
      </c>
      <c r="AQ39" s="87">
        <v>46237</v>
      </c>
    </row>
    <row r="40" spans="1:43" x14ac:dyDescent="0.5">
      <c r="A40" s="69" t="s">
        <v>301</v>
      </c>
      <c r="B40" s="70" t="s">
        <v>23</v>
      </c>
      <c r="C40" s="70" t="s">
        <v>222</v>
      </c>
      <c r="D40" s="86">
        <v>45701</v>
      </c>
      <c r="E40" s="70" t="s">
        <v>303</v>
      </c>
      <c r="F40" s="70" t="s">
        <v>27</v>
      </c>
      <c r="G40" s="70" t="s">
        <v>28</v>
      </c>
      <c r="H40" s="70" t="s">
        <v>304</v>
      </c>
      <c r="I40" s="70" t="s">
        <v>114</v>
      </c>
      <c r="J40" s="70" t="s">
        <v>106</v>
      </c>
      <c r="K40" s="70" t="s">
        <v>122</v>
      </c>
      <c r="L40" s="70" t="s">
        <v>227</v>
      </c>
      <c r="M40" s="70">
        <v>5</v>
      </c>
      <c r="N40" s="70" t="s">
        <v>305</v>
      </c>
      <c r="O40" s="71">
        <v>0</v>
      </c>
      <c r="P40" s="70">
        <v>100</v>
      </c>
      <c r="Q40" s="70">
        <v>1</v>
      </c>
      <c r="R40" s="70" t="s">
        <v>34</v>
      </c>
      <c r="S40" s="70" t="s">
        <v>49</v>
      </c>
      <c r="T40" s="70" t="s">
        <v>50</v>
      </c>
      <c r="U40" s="70">
        <v>9963005771</v>
      </c>
      <c r="V40" s="70" t="s">
        <v>69</v>
      </c>
      <c r="AQ40" s="86">
        <v>45701</v>
      </c>
    </row>
    <row r="41" spans="1:43" x14ac:dyDescent="0.5">
      <c r="A41" s="72" t="s">
        <v>307</v>
      </c>
      <c r="B41" s="73" t="s">
        <v>53</v>
      </c>
      <c r="C41" s="73" t="s">
        <v>169</v>
      </c>
      <c r="D41" s="87">
        <v>45935</v>
      </c>
      <c r="E41" s="73" t="s">
        <v>309</v>
      </c>
      <c r="F41" s="70" t="s">
        <v>163</v>
      </c>
      <c r="G41" s="73" t="s">
        <v>28</v>
      </c>
      <c r="H41" s="73" t="s">
        <v>310</v>
      </c>
      <c r="I41" s="73" t="s">
        <v>105</v>
      </c>
      <c r="J41" s="73" t="s">
        <v>106</v>
      </c>
      <c r="K41" s="73" t="s">
        <v>32</v>
      </c>
      <c r="L41" s="73" t="s">
        <v>174</v>
      </c>
      <c r="M41" s="73">
        <v>20</v>
      </c>
      <c r="N41" s="73">
        <v>8500</v>
      </c>
      <c r="O41" s="71">
        <v>0</v>
      </c>
      <c r="P41" s="73">
        <v>170000</v>
      </c>
      <c r="Q41" s="73">
        <v>1</v>
      </c>
      <c r="R41" s="73" t="s">
        <v>88</v>
      </c>
      <c r="S41" s="73" t="s">
        <v>115</v>
      </c>
      <c r="T41" s="70" t="s">
        <v>62</v>
      </c>
      <c r="U41" s="73">
        <v>9484632635</v>
      </c>
      <c r="V41" s="73" t="s">
        <v>69</v>
      </c>
      <c r="AQ41" s="87">
        <v>45787</v>
      </c>
    </row>
    <row r="42" spans="1:43" x14ac:dyDescent="0.5">
      <c r="A42" s="69" t="s">
        <v>312</v>
      </c>
      <c r="B42" s="70" t="s">
        <v>83</v>
      </c>
      <c r="C42" s="70" t="s">
        <v>118</v>
      </c>
      <c r="D42" s="86">
        <v>46063</v>
      </c>
      <c r="E42" s="70" t="s">
        <v>314</v>
      </c>
      <c r="F42" s="70" t="s">
        <v>180</v>
      </c>
      <c r="G42" s="70" t="s">
        <v>76</v>
      </c>
      <c r="H42" s="70" t="s">
        <v>315</v>
      </c>
      <c r="I42" s="70" t="s">
        <v>59</v>
      </c>
      <c r="J42" s="70" t="s">
        <v>31</v>
      </c>
      <c r="K42" s="70" t="s">
        <v>122</v>
      </c>
      <c r="L42" s="70" t="s">
        <v>123</v>
      </c>
      <c r="M42" s="70">
        <v>8</v>
      </c>
      <c r="N42" s="70">
        <v>60</v>
      </c>
      <c r="O42" s="71">
        <v>0.15</v>
      </c>
      <c r="P42" s="70">
        <v>408</v>
      </c>
      <c r="Q42" s="70">
        <v>5</v>
      </c>
      <c r="R42" s="70" t="s">
        <v>88</v>
      </c>
      <c r="S42" s="70" t="s">
        <v>49</v>
      </c>
      <c r="T42" s="70" t="s">
        <v>89</v>
      </c>
      <c r="U42" s="70">
        <v>9276319484</v>
      </c>
      <c r="V42" s="70" t="s">
        <v>64</v>
      </c>
      <c r="AQ42" s="86">
        <v>46297</v>
      </c>
    </row>
    <row r="43" spans="1:43" x14ac:dyDescent="0.5">
      <c r="A43" s="72" t="s">
        <v>317</v>
      </c>
      <c r="B43" s="73" t="s">
        <v>53</v>
      </c>
      <c r="C43" s="73" t="s">
        <v>92</v>
      </c>
      <c r="D43" s="87">
        <v>45812</v>
      </c>
      <c r="E43" s="73" t="s">
        <v>260</v>
      </c>
      <c r="F43" s="70" t="s">
        <v>163</v>
      </c>
      <c r="G43" s="73" t="s">
        <v>28</v>
      </c>
      <c r="H43" s="73" t="s">
        <v>319</v>
      </c>
      <c r="I43" s="73" t="s">
        <v>114</v>
      </c>
      <c r="J43" s="73" t="s">
        <v>106</v>
      </c>
      <c r="K43" s="73" t="s">
        <v>32</v>
      </c>
      <c r="L43" s="73" t="s">
        <v>97</v>
      </c>
      <c r="M43" s="73">
        <v>8</v>
      </c>
      <c r="N43" s="73">
        <v>3500</v>
      </c>
      <c r="O43" s="71">
        <v>0.05</v>
      </c>
      <c r="P43" s="73">
        <v>26600</v>
      </c>
      <c r="Q43" s="73">
        <v>1</v>
      </c>
      <c r="R43" s="73" t="s">
        <v>79</v>
      </c>
      <c r="S43" s="73" t="s">
        <v>115</v>
      </c>
      <c r="T43" s="70" t="s">
        <v>62</v>
      </c>
      <c r="U43" s="73">
        <v>9619034852</v>
      </c>
      <c r="V43" s="73" t="s">
        <v>64</v>
      </c>
      <c r="AQ43" s="87">
        <v>45753</v>
      </c>
    </row>
    <row r="44" spans="1:43" x14ac:dyDescent="0.5">
      <c r="A44" s="69" t="s">
        <v>321</v>
      </c>
      <c r="B44" s="70" t="s">
        <v>71</v>
      </c>
      <c r="C44" s="70" t="s">
        <v>169</v>
      </c>
      <c r="D44" s="86">
        <v>46061</v>
      </c>
      <c r="E44" s="70" t="s">
        <v>323</v>
      </c>
      <c r="F44" s="70" t="s">
        <v>217</v>
      </c>
      <c r="G44" s="70" t="s">
        <v>76</v>
      </c>
      <c r="H44" s="70" t="s">
        <v>324</v>
      </c>
      <c r="I44" s="70" t="s">
        <v>212</v>
      </c>
      <c r="J44" s="70" t="s">
        <v>45</v>
      </c>
      <c r="K44" s="70" t="s">
        <v>32</v>
      </c>
      <c r="L44" s="70" t="s">
        <v>174</v>
      </c>
      <c r="M44" s="70">
        <v>1</v>
      </c>
      <c r="N44" s="70">
        <v>8500</v>
      </c>
      <c r="O44" s="71">
        <v>0</v>
      </c>
      <c r="P44" s="70">
        <v>8500</v>
      </c>
      <c r="Q44" s="70">
        <v>2</v>
      </c>
      <c r="R44" s="70" t="s">
        <v>79</v>
      </c>
      <c r="S44" s="70" t="s">
        <v>115</v>
      </c>
      <c r="T44" s="70" t="s">
        <v>80</v>
      </c>
      <c r="U44" s="70">
        <v>9636416962</v>
      </c>
      <c r="V44" s="70" t="s">
        <v>64</v>
      </c>
      <c r="AQ44" s="86">
        <v>46236</v>
      </c>
    </row>
    <row r="45" spans="1:43" x14ac:dyDescent="0.5">
      <c r="A45" s="72" t="s">
        <v>326</v>
      </c>
      <c r="B45" s="73" t="s">
        <v>327</v>
      </c>
      <c r="C45" s="73" t="s">
        <v>259</v>
      </c>
      <c r="D45" s="87">
        <v>45746</v>
      </c>
      <c r="E45" s="73" t="s">
        <v>329</v>
      </c>
      <c r="F45" s="70" t="s">
        <v>394</v>
      </c>
      <c r="G45" s="73" t="s">
        <v>76</v>
      </c>
      <c r="H45" s="73" t="s">
        <v>331</v>
      </c>
      <c r="I45" s="73" t="s">
        <v>114</v>
      </c>
      <c r="J45" s="73" t="s">
        <v>106</v>
      </c>
      <c r="K45" s="73" t="s">
        <v>122</v>
      </c>
      <c r="L45" s="73" t="s">
        <v>263</v>
      </c>
      <c r="M45" s="73">
        <v>8</v>
      </c>
      <c r="N45" s="73">
        <v>45</v>
      </c>
      <c r="O45" s="71">
        <v>0.15</v>
      </c>
      <c r="P45" s="73">
        <v>306</v>
      </c>
      <c r="Q45" s="73">
        <v>2</v>
      </c>
      <c r="R45" s="73" t="s">
        <v>79</v>
      </c>
      <c r="S45" s="73" t="s">
        <v>61</v>
      </c>
      <c r="T45" s="70" t="s">
        <v>332</v>
      </c>
      <c r="U45" s="73">
        <v>9357133880</v>
      </c>
      <c r="V45" s="73" t="s">
        <v>38</v>
      </c>
      <c r="AQ45" s="87">
        <v>45746</v>
      </c>
    </row>
    <row r="46" spans="1:43" x14ac:dyDescent="0.5">
      <c r="A46" s="69" t="s">
        <v>334</v>
      </c>
      <c r="B46" s="70" t="s">
        <v>251</v>
      </c>
      <c r="C46" s="70" t="s">
        <v>24</v>
      </c>
      <c r="D46" s="86">
        <v>45772</v>
      </c>
      <c r="E46" s="70" t="s">
        <v>336</v>
      </c>
      <c r="F46" s="70" t="s">
        <v>254</v>
      </c>
      <c r="G46" s="70" t="s">
        <v>28</v>
      </c>
      <c r="H46" s="70" t="s">
        <v>337</v>
      </c>
      <c r="I46" s="70" t="s">
        <v>114</v>
      </c>
      <c r="J46" s="70" t="s">
        <v>106</v>
      </c>
      <c r="K46" s="70" t="s">
        <v>32</v>
      </c>
      <c r="L46" s="70" t="s">
        <v>33</v>
      </c>
      <c r="M46" s="70">
        <v>16</v>
      </c>
      <c r="N46" s="70">
        <v>2200</v>
      </c>
      <c r="O46" s="71">
        <v>0.05</v>
      </c>
      <c r="P46" s="70">
        <v>33440</v>
      </c>
      <c r="Q46" s="70">
        <v>5</v>
      </c>
      <c r="R46" s="70" t="s">
        <v>79</v>
      </c>
      <c r="S46" s="70" t="s">
        <v>61</v>
      </c>
      <c r="T46" s="70" t="s">
        <v>256</v>
      </c>
      <c r="U46" s="70">
        <v>9575210324</v>
      </c>
      <c r="V46" s="70" t="s">
        <v>69</v>
      </c>
      <c r="AQ46" s="86">
        <v>45772</v>
      </c>
    </row>
    <row r="47" spans="1:43" x14ac:dyDescent="0.5">
      <c r="A47" s="72" t="s">
        <v>339</v>
      </c>
      <c r="B47" s="73" t="s">
        <v>71</v>
      </c>
      <c r="C47" s="73" t="s">
        <v>92</v>
      </c>
      <c r="D47" s="87">
        <v>45943</v>
      </c>
      <c r="E47" s="73" t="s">
        <v>341</v>
      </c>
      <c r="F47" s="70" t="s">
        <v>217</v>
      </c>
      <c r="G47" s="73" t="s">
        <v>76</v>
      </c>
      <c r="H47" s="73" t="s">
        <v>342</v>
      </c>
      <c r="I47" s="73" t="s">
        <v>59</v>
      </c>
      <c r="J47" s="73" t="s">
        <v>31</v>
      </c>
      <c r="K47" s="73" t="s">
        <v>32</v>
      </c>
      <c r="L47" s="73" t="s">
        <v>97</v>
      </c>
      <c r="M47" s="73">
        <v>19</v>
      </c>
      <c r="N47" s="73">
        <v>3500</v>
      </c>
      <c r="O47" s="71">
        <v>0.2</v>
      </c>
      <c r="P47" s="73">
        <v>53200</v>
      </c>
      <c r="Q47" s="73">
        <v>3</v>
      </c>
      <c r="R47" s="73" t="s">
        <v>34</v>
      </c>
      <c r="S47" s="73" t="s">
        <v>151</v>
      </c>
      <c r="T47" s="70" t="s">
        <v>80</v>
      </c>
      <c r="U47" s="73">
        <v>9276080204</v>
      </c>
      <c r="V47" s="73" t="s">
        <v>69</v>
      </c>
      <c r="AQ47" s="87">
        <v>45943</v>
      </c>
    </row>
    <row r="48" spans="1:43" x14ac:dyDescent="0.5">
      <c r="A48" s="69" t="s">
        <v>344</v>
      </c>
      <c r="B48" s="70" t="s">
        <v>251</v>
      </c>
      <c r="C48" s="70" t="s">
        <v>184</v>
      </c>
      <c r="D48" s="86">
        <v>45941</v>
      </c>
      <c r="E48" s="70" t="s">
        <v>346</v>
      </c>
      <c r="F48" s="70" t="s">
        <v>254</v>
      </c>
      <c r="G48" s="70" t="s">
        <v>28</v>
      </c>
      <c r="H48" s="70" t="s">
        <v>347</v>
      </c>
      <c r="I48" s="70" t="s">
        <v>114</v>
      </c>
      <c r="J48" s="70" t="s">
        <v>106</v>
      </c>
      <c r="K48" s="70" t="s">
        <v>46</v>
      </c>
      <c r="L48" s="70" t="s">
        <v>189</v>
      </c>
      <c r="M48" s="70">
        <v>15</v>
      </c>
      <c r="N48" s="70">
        <v>700</v>
      </c>
      <c r="O48" s="71">
        <v>0.15</v>
      </c>
      <c r="P48" s="70">
        <v>8925</v>
      </c>
      <c r="Q48" s="70">
        <v>4</v>
      </c>
      <c r="R48" s="70" t="s">
        <v>88</v>
      </c>
      <c r="S48" s="70" t="s">
        <v>115</v>
      </c>
      <c r="T48" s="70" t="s">
        <v>348</v>
      </c>
      <c r="U48" s="70">
        <v>9856624471</v>
      </c>
      <c r="V48" s="70" t="s">
        <v>38</v>
      </c>
      <c r="AQ48" s="86">
        <v>45971</v>
      </c>
    </row>
    <row r="49" spans="1:43" x14ac:dyDescent="0.5">
      <c r="A49" s="72" t="s">
        <v>350</v>
      </c>
      <c r="B49" s="73" t="s">
        <v>251</v>
      </c>
      <c r="C49" s="73" t="s">
        <v>184</v>
      </c>
      <c r="D49" s="87">
        <v>45988</v>
      </c>
      <c r="E49" s="73" t="s">
        <v>352</v>
      </c>
      <c r="F49" s="70" t="s">
        <v>254</v>
      </c>
      <c r="G49" s="73" t="s">
        <v>28</v>
      </c>
      <c r="H49" s="73" t="s">
        <v>353</v>
      </c>
      <c r="I49" s="73" t="s">
        <v>212</v>
      </c>
      <c r="J49" s="73" t="s">
        <v>45</v>
      </c>
      <c r="K49" s="73" t="s">
        <v>46</v>
      </c>
      <c r="L49" s="73" t="s">
        <v>189</v>
      </c>
      <c r="M49" s="73">
        <v>19</v>
      </c>
      <c r="N49" s="73">
        <v>700</v>
      </c>
      <c r="O49" s="71">
        <v>0.2</v>
      </c>
      <c r="P49" s="73">
        <v>10640</v>
      </c>
      <c r="Q49" s="73">
        <v>1</v>
      </c>
      <c r="R49" s="73" t="s">
        <v>34</v>
      </c>
      <c r="S49" s="73" t="s">
        <v>115</v>
      </c>
      <c r="T49" s="70" t="s">
        <v>256</v>
      </c>
      <c r="U49" s="73">
        <v>9238141322</v>
      </c>
      <c r="V49" s="73" t="s">
        <v>38</v>
      </c>
      <c r="AQ49" s="87">
        <v>45988</v>
      </c>
    </row>
    <row r="50" spans="1:43" x14ac:dyDescent="0.5">
      <c r="A50" s="69" t="s">
        <v>355</v>
      </c>
      <c r="B50" s="70" t="s">
        <v>71</v>
      </c>
      <c r="C50" s="70" t="s">
        <v>40</v>
      </c>
      <c r="D50" s="86">
        <v>46131</v>
      </c>
      <c r="E50" s="70"/>
      <c r="F50" s="70" t="s">
        <v>217</v>
      </c>
      <c r="G50" s="70" t="s">
        <v>76</v>
      </c>
      <c r="H50" s="70" t="s">
        <v>357</v>
      </c>
      <c r="I50" s="70" t="s">
        <v>44</v>
      </c>
      <c r="J50" s="70" t="s">
        <v>45</v>
      </c>
      <c r="K50" s="70" t="s">
        <v>46</v>
      </c>
      <c r="L50" s="70" t="s">
        <v>47</v>
      </c>
      <c r="M50" s="70">
        <v>19</v>
      </c>
      <c r="N50" s="70">
        <v>12000</v>
      </c>
      <c r="O50" s="71">
        <v>0</v>
      </c>
      <c r="P50" s="70">
        <v>228000</v>
      </c>
      <c r="Q50" s="70">
        <v>1</v>
      </c>
      <c r="R50" s="70" t="s">
        <v>48</v>
      </c>
      <c r="S50" s="70" t="s">
        <v>61</v>
      </c>
      <c r="T50" s="70" t="s">
        <v>80</v>
      </c>
      <c r="U50" s="70">
        <v>9890380030</v>
      </c>
      <c r="V50" s="70" t="s">
        <v>38</v>
      </c>
      <c r="AQ50" s="86">
        <v>46131</v>
      </c>
    </row>
    <row r="51" spans="1:43" x14ac:dyDescent="0.5">
      <c r="A51" s="72" t="s">
        <v>359</v>
      </c>
      <c r="B51" s="73" t="s">
        <v>168</v>
      </c>
      <c r="C51" s="73" t="s">
        <v>72</v>
      </c>
      <c r="D51" s="87">
        <v>46131</v>
      </c>
      <c r="E51" s="73" t="s">
        <v>360</v>
      </c>
      <c r="F51" s="70" t="s">
        <v>361</v>
      </c>
      <c r="G51" s="73" t="s">
        <v>28</v>
      </c>
      <c r="H51" s="73" t="s">
        <v>362</v>
      </c>
      <c r="I51" s="73" t="s">
        <v>114</v>
      </c>
      <c r="J51" s="73" t="s">
        <v>106</v>
      </c>
      <c r="K51" s="73" t="s">
        <v>46</v>
      </c>
      <c r="L51" s="73" t="s">
        <v>78</v>
      </c>
      <c r="M51" s="73">
        <v>6</v>
      </c>
      <c r="N51" s="73">
        <v>1200</v>
      </c>
      <c r="O51" s="71">
        <v>0.05</v>
      </c>
      <c r="P51" s="73">
        <v>6840</v>
      </c>
      <c r="Q51" s="73">
        <v>2</v>
      </c>
      <c r="R51" s="73" t="s">
        <v>34</v>
      </c>
      <c r="S51" s="73" t="s">
        <v>35</v>
      </c>
      <c r="T51" s="70" t="s">
        <v>175</v>
      </c>
      <c r="U51" s="73">
        <v>9495893170</v>
      </c>
      <c r="V51" s="73" t="s">
        <v>64</v>
      </c>
      <c r="AQ51" s="87">
        <v>46131</v>
      </c>
    </row>
    <row r="52" spans="1:43" x14ac:dyDescent="0.5">
      <c r="A52" s="69" t="s">
        <v>364</v>
      </c>
      <c r="B52" s="70" t="s">
        <v>53</v>
      </c>
      <c r="C52" s="70" t="s">
        <v>24</v>
      </c>
      <c r="D52" s="86">
        <v>45744</v>
      </c>
      <c r="E52" s="70" t="s">
        <v>366</v>
      </c>
      <c r="F52" s="70" t="s">
        <v>163</v>
      </c>
      <c r="G52" s="70" t="s">
        <v>28</v>
      </c>
      <c r="H52" s="70" t="s">
        <v>368</v>
      </c>
      <c r="I52" s="70" t="s">
        <v>59</v>
      </c>
      <c r="J52" s="70" t="s">
        <v>31</v>
      </c>
      <c r="K52" s="70" t="s">
        <v>32</v>
      </c>
      <c r="L52" s="70" t="s">
        <v>33</v>
      </c>
      <c r="M52" s="70">
        <v>7</v>
      </c>
      <c r="N52" s="70">
        <v>2200</v>
      </c>
      <c r="O52" s="71">
        <v>0.15</v>
      </c>
      <c r="P52" s="70">
        <v>13090</v>
      </c>
      <c r="Q52" s="70">
        <v>1</v>
      </c>
      <c r="R52" s="70" t="s">
        <v>88</v>
      </c>
      <c r="S52" s="70" t="s">
        <v>61</v>
      </c>
      <c r="T52" s="70" t="s">
        <v>62</v>
      </c>
      <c r="U52" s="70">
        <v>9485166307</v>
      </c>
      <c r="V52" s="70" t="s">
        <v>38</v>
      </c>
      <c r="AQ52" s="86">
        <v>45744</v>
      </c>
    </row>
    <row r="53" spans="1:43" x14ac:dyDescent="0.5">
      <c r="A53" s="72" t="s">
        <v>370</v>
      </c>
      <c r="B53" s="73" t="s">
        <v>100</v>
      </c>
      <c r="C53" s="73" t="s">
        <v>118</v>
      </c>
      <c r="D53" s="87">
        <v>45894</v>
      </c>
      <c r="E53" s="73" t="s">
        <v>372</v>
      </c>
      <c r="F53" s="70" t="s">
        <v>103</v>
      </c>
      <c r="G53" s="73" t="s">
        <v>28</v>
      </c>
      <c r="H53" s="73" t="s">
        <v>373</v>
      </c>
      <c r="I53" s="73" t="s">
        <v>212</v>
      </c>
      <c r="J53" s="73" t="s">
        <v>45</v>
      </c>
      <c r="K53" s="73" t="s">
        <v>122</v>
      </c>
      <c r="L53" s="73" t="s">
        <v>123</v>
      </c>
      <c r="M53" s="73">
        <v>8</v>
      </c>
      <c r="N53" s="73">
        <v>60</v>
      </c>
      <c r="O53" s="71">
        <v>0.1</v>
      </c>
      <c r="P53" s="73">
        <v>432</v>
      </c>
      <c r="Q53" s="73">
        <v>5</v>
      </c>
      <c r="R53" s="73" t="s">
        <v>79</v>
      </c>
      <c r="S53" s="73" t="s">
        <v>61</v>
      </c>
      <c r="T53" s="70" t="s">
        <v>144</v>
      </c>
      <c r="U53" s="73">
        <v>9924709648</v>
      </c>
      <c r="V53" s="73" t="s">
        <v>69</v>
      </c>
      <c r="AQ53" s="87">
        <v>45894</v>
      </c>
    </row>
    <row r="54" spans="1:43" x14ac:dyDescent="0.5">
      <c r="A54" s="69" t="s">
        <v>375</v>
      </c>
      <c r="B54" s="70" t="s">
        <v>221</v>
      </c>
      <c r="C54" s="70" t="s">
        <v>54</v>
      </c>
      <c r="D54" s="86">
        <v>45888</v>
      </c>
      <c r="E54" s="70" t="s">
        <v>377</v>
      </c>
      <c r="F54" s="70" t="s">
        <v>225</v>
      </c>
      <c r="G54" s="70" t="s">
        <v>76</v>
      </c>
      <c r="H54" s="70" t="s">
        <v>378</v>
      </c>
      <c r="I54" s="70" t="s">
        <v>294</v>
      </c>
      <c r="J54" s="70" t="s">
        <v>295</v>
      </c>
      <c r="K54" s="70" t="s">
        <v>46</v>
      </c>
      <c r="L54" s="70" t="s">
        <v>60</v>
      </c>
      <c r="M54" s="70">
        <v>12</v>
      </c>
      <c r="N54" s="70">
        <v>55000</v>
      </c>
      <c r="O54" s="71">
        <v>0.05</v>
      </c>
      <c r="P54" s="70">
        <v>627000</v>
      </c>
      <c r="Q54" s="70">
        <v>2</v>
      </c>
      <c r="R54" s="70" t="s">
        <v>88</v>
      </c>
      <c r="S54" s="70" t="s">
        <v>49</v>
      </c>
      <c r="T54" s="70" t="s">
        <v>228</v>
      </c>
      <c r="U54" s="70">
        <v>9350554626</v>
      </c>
      <c r="V54" s="70" t="s">
        <v>64</v>
      </c>
      <c r="AQ54" s="86">
        <v>45888</v>
      </c>
    </row>
    <row r="55" spans="1:43" x14ac:dyDescent="0.5">
      <c r="A55" s="72" t="s">
        <v>380</v>
      </c>
      <c r="B55" s="73" t="s">
        <v>23</v>
      </c>
      <c r="C55" s="73" t="s">
        <v>184</v>
      </c>
      <c r="D55" s="87">
        <v>45865</v>
      </c>
      <c r="E55" s="73" t="s">
        <v>382</v>
      </c>
      <c r="F55" s="70" t="s">
        <v>27</v>
      </c>
      <c r="G55" s="73" t="s">
        <v>28</v>
      </c>
      <c r="H55" s="73" t="s">
        <v>383</v>
      </c>
      <c r="I55" s="73" t="s">
        <v>212</v>
      </c>
      <c r="J55" s="73" t="s">
        <v>45</v>
      </c>
      <c r="K55" s="73" t="s">
        <v>46</v>
      </c>
      <c r="L55" s="73" t="s">
        <v>189</v>
      </c>
      <c r="M55" s="73">
        <v>3</v>
      </c>
      <c r="N55" s="73">
        <v>700</v>
      </c>
      <c r="O55" s="71">
        <v>0</v>
      </c>
      <c r="P55" s="73">
        <v>2100</v>
      </c>
      <c r="Q55" s="73">
        <v>3</v>
      </c>
      <c r="R55" s="73" t="s">
        <v>79</v>
      </c>
      <c r="S55" s="73" t="s">
        <v>151</v>
      </c>
      <c r="T55" s="70" t="s">
        <v>50</v>
      </c>
      <c r="U55" s="73">
        <v>9743295580</v>
      </c>
      <c r="V55" s="73" t="s">
        <v>69</v>
      </c>
      <c r="AQ55" s="87">
        <v>45865</v>
      </c>
    </row>
    <row r="56" spans="1:43" x14ac:dyDescent="0.5">
      <c r="A56" s="69" t="s">
        <v>385</v>
      </c>
      <c r="B56" s="70" t="s">
        <v>127</v>
      </c>
      <c r="C56" s="70" t="s">
        <v>118</v>
      </c>
      <c r="D56" s="86">
        <v>45709</v>
      </c>
      <c r="E56" s="70" t="s">
        <v>387</v>
      </c>
      <c r="F56" s="70" t="s">
        <v>200</v>
      </c>
      <c r="G56" s="70" t="s">
        <v>76</v>
      </c>
      <c r="H56" s="70" t="s">
        <v>389</v>
      </c>
      <c r="I56" s="70" t="s">
        <v>138</v>
      </c>
      <c r="J56" s="70" t="s">
        <v>106</v>
      </c>
      <c r="K56" s="70" t="s">
        <v>122</v>
      </c>
      <c r="L56" s="70" t="s">
        <v>123</v>
      </c>
      <c r="M56" s="70">
        <v>19</v>
      </c>
      <c r="N56" s="70">
        <v>60</v>
      </c>
      <c r="O56" s="71">
        <v>0.15</v>
      </c>
      <c r="P56" s="70">
        <v>969</v>
      </c>
      <c r="Q56" s="70">
        <v>4</v>
      </c>
      <c r="R56" s="70" t="s">
        <v>79</v>
      </c>
      <c r="S56" s="70" t="s">
        <v>49</v>
      </c>
      <c r="T56" s="70" t="s">
        <v>132</v>
      </c>
      <c r="U56" s="70">
        <v>9822926495</v>
      </c>
      <c r="V56" s="70" t="s">
        <v>69</v>
      </c>
      <c r="AQ56" s="86">
        <v>45709</v>
      </c>
    </row>
    <row r="57" spans="1:43" x14ac:dyDescent="0.5">
      <c r="A57" s="72" t="s">
        <v>391</v>
      </c>
      <c r="B57" s="73" t="s">
        <v>327</v>
      </c>
      <c r="C57" s="73" t="s">
        <v>118</v>
      </c>
      <c r="D57" s="87">
        <v>45879</v>
      </c>
      <c r="E57" s="73" t="s">
        <v>393</v>
      </c>
      <c r="F57" s="70" t="s">
        <v>394</v>
      </c>
      <c r="G57" s="73" t="s">
        <v>76</v>
      </c>
      <c r="H57" s="73" t="s">
        <v>395</v>
      </c>
      <c r="I57" s="73" t="s">
        <v>212</v>
      </c>
      <c r="J57" s="73" t="s">
        <v>45</v>
      </c>
      <c r="K57" s="73" t="s">
        <v>122</v>
      </c>
      <c r="L57" s="73" t="s">
        <v>123</v>
      </c>
      <c r="M57" s="73">
        <v>9</v>
      </c>
      <c r="N57" s="73">
        <v>60</v>
      </c>
      <c r="O57" s="71">
        <v>0.2</v>
      </c>
      <c r="P57" s="73">
        <v>432</v>
      </c>
      <c r="Q57" s="73">
        <v>1</v>
      </c>
      <c r="R57" s="73" t="s">
        <v>48</v>
      </c>
      <c r="S57" s="73" t="s">
        <v>115</v>
      </c>
      <c r="T57" s="70" t="s">
        <v>332</v>
      </c>
      <c r="U57" s="73">
        <v>9518298190</v>
      </c>
      <c r="V57" s="73" t="s">
        <v>64</v>
      </c>
      <c r="AQ57" s="87">
        <v>45938</v>
      </c>
    </row>
    <row r="58" spans="1:43" x14ac:dyDescent="0.5">
      <c r="A58" s="69" t="s">
        <v>397</v>
      </c>
      <c r="B58" s="70" t="s">
        <v>327</v>
      </c>
      <c r="C58" s="70" t="s">
        <v>184</v>
      </c>
      <c r="D58" s="86">
        <v>46105</v>
      </c>
      <c r="E58" s="70" t="s">
        <v>399</v>
      </c>
      <c r="F58" s="70" t="s">
        <v>394</v>
      </c>
      <c r="G58" s="70" t="s">
        <v>76</v>
      </c>
      <c r="H58" s="70" t="s">
        <v>400</v>
      </c>
      <c r="I58" s="70" t="s">
        <v>59</v>
      </c>
      <c r="J58" s="70" t="s">
        <v>31</v>
      </c>
      <c r="K58" s="70" t="s">
        <v>46</v>
      </c>
      <c r="L58" s="70" t="s">
        <v>189</v>
      </c>
      <c r="M58" s="70">
        <v>6</v>
      </c>
      <c r="N58" s="70">
        <v>700</v>
      </c>
      <c r="O58" s="71">
        <v>0</v>
      </c>
      <c r="P58" s="70">
        <v>4200</v>
      </c>
      <c r="Q58" s="70">
        <v>4</v>
      </c>
      <c r="R58" s="70" t="s">
        <v>88</v>
      </c>
      <c r="S58" s="70" t="s">
        <v>49</v>
      </c>
      <c r="T58" s="70" t="s">
        <v>401</v>
      </c>
      <c r="U58" s="70">
        <v>9366223547</v>
      </c>
      <c r="V58" s="70" t="s">
        <v>69</v>
      </c>
      <c r="AQ58" s="86">
        <v>46105</v>
      </c>
    </row>
    <row r="59" spans="1:43" x14ac:dyDescent="0.5">
      <c r="A59" s="72" t="s">
        <v>403</v>
      </c>
      <c r="B59" s="73" t="s">
        <v>127</v>
      </c>
      <c r="C59" s="73" t="s">
        <v>259</v>
      </c>
      <c r="D59" s="87">
        <v>46094</v>
      </c>
      <c r="E59" s="73" t="s">
        <v>404</v>
      </c>
      <c r="F59" s="70" t="s">
        <v>200</v>
      </c>
      <c r="G59" s="73" t="s">
        <v>76</v>
      </c>
      <c r="H59" s="73" t="s">
        <v>405</v>
      </c>
      <c r="I59" s="73" t="s">
        <v>44</v>
      </c>
      <c r="J59" s="73" t="s">
        <v>45</v>
      </c>
      <c r="K59" s="73" t="s">
        <v>122</v>
      </c>
      <c r="L59" s="73" t="s">
        <v>263</v>
      </c>
      <c r="M59" s="73">
        <v>18</v>
      </c>
      <c r="N59" s="73">
        <v>45</v>
      </c>
      <c r="O59" s="71">
        <v>0.05</v>
      </c>
      <c r="P59" s="73">
        <v>769.5</v>
      </c>
      <c r="Q59" s="73">
        <v>1</v>
      </c>
      <c r="R59" s="73" t="s">
        <v>79</v>
      </c>
      <c r="S59" s="73" t="s">
        <v>61</v>
      </c>
      <c r="T59" s="70" t="s">
        <v>132</v>
      </c>
      <c r="U59" s="73">
        <v>9701988524</v>
      </c>
      <c r="V59" s="73" t="s">
        <v>64</v>
      </c>
      <c r="AQ59" s="87">
        <v>46094</v>
      </c>
    </row>
    <row r="60" spans="1:43" x14ac:dyDescent="0.5">
      <c r="A60" s="69" t="s">
        <v>407</v>
      </c>
      <c r="B60" s="70" t="s">
        <v>83</v>
      </c>
      <c r="C60" s="70" t="s">
        <v>222</v>
      </c>
      <c r="D60" s="86">
        <v>45823</v>
      </c>
      <c r="E60" s="70" t="s">
        <v>261</v>
      </c>
      <c r="F60" s="70" t="s">
        <v>180</v>
      </c>
      <c r="G60" s="70" t="s">
        <v>76</v>
      </c>
      <c r="H60" s="70" t="s">
        <v>409</v>
      </c>
      <c r="I60" s="70" t="s">
        <v>212</v>
      </c>
      <c r="J60" s="70" t="s">
        <v>45</v>
      </c>
      <c r="K60" s="70" t="s">
        <v>122</v>
      </c>
      <c r="L60" s="70" t="s">
        <v>227</v>
      </c>
      <c r="M60" s="70">
        <v>8</v>
      </c>
      <c r="N60" s="70">
        <v>20</v>
      </c>
      <c r="O60" s="71">
        <v>0.05</v>
      </c>
      <c r="P60" s="70">
        <v>152</v>
      </c>
      <c r="Q60" s="70">
        <v>1</v>
      </c>
      <c r="R60" s="70" t="s">
        <v>79</v>
      </c>
      <c r="S60" s="70" t="s">
        <v>35</v>
      </c>
      <c r="T60" s="70" t="s">
        <v>89</v>
      </c>
      <c r="U60" s="70">
        <v>9836327649</v>
      </c>
      <c r="V60" s="70" t="s">
        <v>411</v>
      </c>
      <c r="AQ60" s="86">
        <v>45823</v>
      </c>
    </row>
    <row r="61" spans="1:43" x14ac:dyDescent="0.5">
      <c r="A61" s="72" t="s">
        <v>412</v>
      </c>
      <c r="B61" s="73" t="s">
        <v>221</v>
      </c>
      <c r="C61" s="73" t="s">
        <v>184</v>
      </c>
      <c r="D61" s="87">
        <v>45721</v>
      </c>
      <c r="E61" s="73" t="s">
        <v>414</v>
      </c>
      <c r="F61" s="70" t="s">
        <v>225</v>
      </c>
      <c r="G61" s="73" t="s">
        <v>76</v>
      </c>
      <c r="H61" s="73" t="s">
        <v>415</v>
      </c>
      <c r="I61" s="73" t="s">
        <v>212</v>
      </c>
      <c r="J61" s="73" t="s">
        <v>45</v>
      </c>
      <c r="K61" s="73" t="s">
        <v>46</v>
      </c>
      <c r="L61" s="73" t="s">
        <v>189</v>
      </c>
      <c r="M61" s="73">
        <v>8</v>
      </c>
      <c r="N61" s="73">
        <v>700</v>
      </c>
      <c r="O61" s="71">
        <v>0.1</v>
      </c>
      <c r="P61" s="73">
        <v>5040</v>
      </c>
      <c r="Q61" s="73">
        <v>1</v>
      </c>
      <c r="R61" s="73" t="s">
        <v>48</v>
      </c>
      <c r="S61" s="73" t="s">
        <v>61</v>
      </c>
      <c r="T61" s="70" t="s">
        <v>228</v>
      </c>
      <c r="U61" s="73">
        <v>9261800516</v>
      </c>
      <c r="V61" s="73" t="s">
        <v>69</v>
      </c>
      <c r="AQ61" s="87">
        <v>45780</v>
      </c>
    </row>
    <row r="62" spans="1:43" x14ac:dyDescent="0.5">
      <c r="A62" s="69" t="s">
        <v>418</v>
      </c>
      <c r="B62" s="70" t="s">
        <v>23</v>
      </c>
      <c r="C62" s="70" t="s">
        <v>222</v>
      </c>
      <c r="D62" s="86">
        <v>46121</v>
      </c>
      <c r="E62" s="70" t="s">
        <v>356</v>
      </c>
      <c r="F62" s="70" t="s">
        <v>27</v>
      </c>
      <c r="G62" s="70" t="s">
        <v>28</v>
      </c>
      <c r="H62" s="70" t="s">
        <v>419</v>
      </c>
      <c r="I62" s="70" t="s">
        <v>44</v>
      </c>
      <c r="J62" s="70" t="s">
        <v>45</v>
      </c>
      <c r="K62" s="70" t="s">
        <v>122</v>
      </c>
      <c r="L62" s="70" t="s">
        <v>227</v>
      </c>
      <c r="M62" s="70">
        <v>7</v>
      </c>
      <c r="N62" s="70">
        <v>20</v>
      </c>
      <c r="O62" s="71">
        <v>0.15</v>
      </c>
      <c r="P62" s="70">
        <v>119</v>
      </c>
      <c r="Q62" s="70">
        <v>5</v>
      </c>
      <c r="R62" s="70" t="s">
        <v>79</v>
      </c>
      <c r="S62" s="70" t="s">
        <v>49</v>
      </c>
      <c r="T62" s="70" t="s">
        <v>50</v>
      </c>
      <c r="U62" s="70">
        <v>9950802015</v>
      </c>
      <c r="V62" s="70" t="s">
        <v>38</v>
      </c>
      <c r="AQ62" s="86">
        <v>46269</v>
      </c>
    </row>
    <row r="63" spans="1:43" x14ac:dyDescent="0.5">
      <c r="A63" s="72" t="s">
        <v>421</v>
      </c>
      <c r="B63" s="73" t="s">
        <v>100</v>
      </c>
      <c r="C63" s="73" t="s">
        <v>222</v>
      </c>
      <c r="D63" s="87">
        <v>45885</v>
      </c>
      <c r="E63" s="73" t="s">
        <v>371</v>
      </c>
      <c r="F63" s="70" t="s">
        <v>103</v>
      </c>
      <c r="G63" s="73" t="s">
        <v>28</v>
      </c>
      <c r="H63" s="73" t="s">
        <v>423</v>
      </c>
      <c r="I63" s="73" t="s">
        <v>114</v>
      </c>
      <c r="J63" s="73" t="s">
        <v>106</v>
      </c>
      <c r="K63" s="73" t="s">
        <v>122</v>
      </c>
      <c r="L63" s="73" t="s">
        <v>227</v>
      </c>
      <c r="M63" s="73">
        <v>16</v>
      </c>
      <c r="N63" s="73">
        <v>20</v>
      </c>
      <c r="O63" s="71">
        <v>0</v>
      </c>
      <c r="P63" s="73">
        <v>320</v>
      </c>
      <c r="Q63" s="73">
        <v>5</v>
      </c>
      <c r="R63" s="73" t="s">
        <v>48</v>
      </c>
      <c r="S63" s="73" t="s">
        <v>61</v>
      </c>
      <c r="T63" s="70" t="s">
        <v>144</v>
      </c>
      <c r="U63" s="73">
        <v>9595183767</v>
      </c>
      <c r="V63" s="73" t="s">
        <v>64</v>
      </c>
      <c r="AQ63" s="87">
        <v>45885</v>
      </c>
    </row>
    <row r="64" spans="1:43" x14ac:dyDescent="0.5">
      <c r="A64" s="69" t="s">
        <v>425</v>
      </c>
      <c r="B64" s="70" t="s">
        <v>53</v>
      </c>
      <c r="C64" s="70" t="s">
        <v>259</v>
      </c>
      <c r="D64" s="86">
        <v>46155</v>
      </c>
      <c r="E64" s="70" t="s">
        <v>427</v>
      </c>
      <c r="F64" s="70" t="s">
        <v>163</v>
      </c>
      <c r="G64" s="70" t="s">
        <v>28</v>
      </c>
      <c r="H64" s="70" t="s">
        <v>428</v>
      </c>
      <c r="I64" s="70" t="s">
        <v>105</v>
      </c>
      <c r="J64" s="70" t="s">
        <v>106</v>
      </c>
      <c r="K64" s="70" t="s">
        <v>122</v>
      </c>
      <c r="L64" s="70" t="s">
        <v>263</v>
      </c>
      <c r="M64" s="70">
        <v>15</v>
      </c>
      <c r="N64" s="70">
        <v>45</v>
      </c>
      <c r="O64" s="71">
        <v>0</v>
      </c>
      <c r="P64" s="70">
        <v>675</v>
      </c>
      <c r="Q64" s="70">
        <v>4</v>
      </c>
      <c r="R64" s="70" t="s">
        <v>34</v>
      </c>
      <c r="S64" s="70" t="s">
        <v>61</v>
      </c>
      <c r="T64" s="70" t="s">
        <v>62</v>
      </c>
      <c r="U64" s="70">
        <v>9560201307</v>
      </c>
      <c r="V64" s="70" t="s">
        <v>69</v>
      </c>
      <c r="AQ64" s="86">
        <v>46155</v>
      </c>
    </row>
    <row r="65" spans="1:43" x14ac:dyDescent="0.5">
      <c r="A65" s="72" t="s">
        <v>430</v>
      </c>
      <c r="B65" s="73" t="s">
        <v>251</v>
      </c>
      <c r="C65" s="73" t="s">
        <v>184</v>
      </c>
      <c r="D65" s="87">
        <v>45717</v>
      </c>
      <c r="E65" s="73" t="s">
        <v>413</v>
      </c>
      <c r="F65" s="70" t="s">
        <v>254</v>
      </c>
      <c r="G65" s="73" t="s">
        <v>28</v>
      </c>
      <c r="H65" s="73" t="s">
        <v>432</v>
      </c>
      <c r="I65" s="73" t="s">
        <v>138</v>
      </c>
      <c r="J65" s="73" t="s">
        <v>106</v>
      </c>
      <c r="K65" s="73" t="s">
        <v>46</v>
      </c>
      <c r="L65" s="73" t="s">
        <v>189</v>
      </c>
      <c r="M65" s="73">
        <v>15</v>
      </c>
      <c r="N65" s="73">
        <v>700</v>
      </c>
      <c r="O65" s="71">
        <v>0.1</v>
      </c>
      <c r="P65" s="73">
        <v>9450</v>
      </c>
      <c r="Q65" s="73">
        <v>3</v>
      </c>
      <c r="R65" s="73" t="s">
        <v>48</v>
      </c>
      <c r="S65" s="73" t="s">
        <v>151</v>
      </c>
      <c r="T65" s="70" t="s">
        <v>256</v>
      </c>
      <c r="U65" s="73">
        <v>9826484650</v>
      </c>
      <c r="V65" s="73" t="s">
        <v>38</v>
      </c>
      <c r="AQ65" s="87">
        <v>45660</v>
      </c>
    </row>
    <row r="66" spans="1:43" x14ac:dyDescent="0.5">
      <c r="A66" s="69" t="s">
        <v>434</v>
      </c>
      <c r="B66" s="70" t="s">
        <v>53</v>
      </c>
      <c r="C66" s="70" t="s">
        <v>259</v>
      </c>
      <c r="D66" s="86">
        <v>45697</v>
      </c>
      <c r="E66" s="70" t="s">
        <v>436</v>
      </c>
      <c r="F66" s="70" t="s">
        <v>163</v>
      </c>
      <c r="G66" s="70" t="s">
        <v>28</v>
      </c>
      <c r="H66" s="70" t="s">
        <v>437</v>
      </c>
      <c r="I66" s="70" t="s">
        <v>294</v>
      </c>
      <c r="J66" s="70" t="s">
        <v>295</v>
      </c>
      <c r="K66" s="70" t="s">
        <v>122</v>
      </c>
      <c r="L66" s="70" t="s">
        <v>263</v>
      </c>
      <c r="M66" s="70">
        <v>3</v>
      </c>
      <c r="N66" s="70">
        <v>45</v>
      </c>
      <c r="O66" s="71">
        <v>0.15</v>
      </c>
      <c r="P66" s="70">
        <v>114.75</v>
      </c>
      <c r="Q66" s="70">
        <v>2</v>
      </c>
      <c r="R66" s="70" t="s">
        <v>88</v>
      </c>
      <c r="S66" s="70" t="s">
        <v>115</v>
      </c>
      <c r="T66" s="70" t="s">
        <v>62</v>
      </c>
      <c r="U66" s="70">
        <v>9219978007</v>
      </c>
      <c r="V66" s="70" t="s">
        <v>64</v>
      </c>
      <c r="AQ66" s="86">
        <v>45902</v>
      </c>
    </row>
    <row r="67" spans="1:43" x14ac:dyDescent="0.5">
      <c r="A67" s="72" t="s">
        <v>439</v>
      </c>
      <c r="B67" s="73" t="s">
        <v>100</v>
      </c>
      <c r="C67" s="73" t="s">
        <v>24</v>
      </c>
      <c r="D67" s="87">
        <v>46031</v>
      </c>
      <c r="E67" s="73" t="s">
        <v>441</v>
      </c>
      <c r="F67" s="70" t="s">
        <v>103</v>
      </c>
      <c r="G67" s="73" t="s">
        <v>28</v>
      </c>
      <c r="H67" s="73" t="s">
        <v>442</v>
      </c>
      <c r="I67" s="73" t="s">
        <v>294</v>
      </c>
      <c r="J67" s="73" t="s">
        <v>295</v>
      </c>
      <c r="K67" s="73" t="s">
        <v>32</v>
      </c>
      <c r="L67" s="73" t="s">
        <v>33</v>
      </c>
      <c r="M67" s="73">
        <v>7</v>
      </c>
      <c r="N67" s="73">
        <v>2200</v>
      </c>
      <c r="O67" s="71">
        <v>0.15</v>
      </c>
      <c r="P67" s="73">
        <v>13090</v>
      </c>
      <c r="Q67" s="73">
        <v>5</v>
      </c>
      <c r="R67" s="73" t="s">
        <v>88</v>
      </c>
      <c r="S67" s="73" t="s">
        <v>115</v>
      </c>
      <c r="T67" s="70" t="s">
        <v>144</v>
      </c>
      <c r="U67" s="73">
        <v>9662063276</v>
      </c>
      <c r="V67" s="73" t="s">
        <v>38</v>
      </c>
      <c r="AQ67" s="87">
        <v>46266</v>
      </c>
    </row>
    <row r="68" spans="1:43" x14ac:dyDescent="0.5">
      <c r="A68" s="69" t="s">
        <v>444</v>
      </c>
      <c r="B68" s="70" t="s">
        <v>23</v>
      </c>
      <c r="C68" s="70" t="s">
        <v>259</v>
      </c>
      <c r="D68" s="86">
        <v>45901</v>
      </c>
      <c r="E68" s="70" t="s">
        <v>446</v>
      </c>
      <c r="F68" s="70" t="s">
        <v>27</v>
      </c>
      <c r="G68" s="70" t="s">
        <v>28</v>
      </c>
      <c r="H68" s="70" t="s">
        <v>447</v>
      </c>
      <c r="I68" s="70" t="s">
        <v>44</v>
      </c>
      <c r="J68" s="70" t="s">
        <v>45</v>
      </c>
      <c r="K68" s="70" t="s">
        <v>122</v>
      </c>
      <c r="L68" s="70" t="s">
        <v>263</v>
      </c>
      <c r="M68" s="70">
        <v>19</v>
      </c>
      <c r="N68" s="70">
        <v>45</v>
      </c>
      <c r="O68" s="71">
        <v>0.1</v>
      </c>
      <c r="P68" s="70">
        <v>769.5</v>
      </c>
      <c r="Q68" s="70">
        <v>5</v>
      </c>
      <c r="R68" s="70" t="s">
        <v>79</v>
      </c>
      <c r="S68" s="70" t="s">
        <v>115</v>
      </c>
      <c r="T68" s="70" t="s">
        <v>50</v>
      </c>
      <c r="U68" s="70">
        <v>9190393639</v>
      </c>
      <c r="V68" s="70" t="s">
        <v>69</v>
      </c>
      <c r="AQ68" s="86">
        <v>45666</v>
      </c>
    </row>
    <row r="69" spans="1:43" x14ac:dyDescent="0.5">
      <c r="A69" s="72" t="s">
        <v>449</v>
      </c>
      <c r="B69" s="73" t="s">
        <v>251</v>
      </c>
      <c r="C69" s="73" t="s">
        <v>92</v>
      </c>
      <c r="D69" s="87">
        <v>46062</v>
      </c>
      <c r="E69" s="73" t="s">
        <v>323</v>
      </c>
      <c r="F69" s="70" t="s">
        <v>254</v>
      </c>
      <c r="G69" s="73" t="s">
        <v>28</v>
      </c>
      <c r="H69" s="73" t="s">
        <v>451</v>
      </c>
      <c r="I69" s="73" t="s">
        <v>30</v>
      </c>
      <c r="J69" s="73" t="s">
        <v>31</v>
      </c>
      <c r="K69" s="73" t="s">
        <v>32</v>
      </c>
      <c r="L69" s="73" t="s">
        <v>97</v>
      </c>
      <c r="M69" s="73">
        <v>7</v>
      </c>
      <c r="N69" s="73">
        <v>3500</v>
      </c>
      <c r="O69" s="71">
        <v>0.15</v>
      </c>
      <c r="P69" s="73">
        <v>20825</v>
      </c>
      <c r="Q69" s="73">
        <v>1</v>
      </c>
      <c r="R69" s="73" t="s">
        <v>34</v>
      </c>
      <c r="S69" s="73" t="s">
        <v>151</v>
      </c>
      <c r="T69" s="70" t="s">
        <v>256</v>
      </c>
      <c r="U69" s="73">
        <v>9106328582</v>
      </c>
      <c r="V69" s="73" t="s">
        <v>64</v>
      </c>
      <c r="AQ69" s="87">
        <v>46267</v>
      </c>
    </row>
    <row r="70" spans="1:43" x14ac:dyDescent="0.5">
      <c r="A70" s="69" t="s">
        <v>453</v>
      </c>
      <c r="B70" s="70" t="s">
        <v>53</v>
      </c>
      <c r="C70" s="70" t="s">
        <v>169</v>
      </c>
      <c r="D70" s="86">
        <v>46005</v>
      </c>
      <c r="E70" s="70" t="s">
        <v>455</v>
      </c>
      <c r="F70" s="70" t="s">
        <v>163</v>
      </c>
      <c r="G70" s="70" t="s">
        <v>28</v>
      </c>
      <c r="H70" s="70" t="s">
        <v>456</v>
      </c>
      <c r="I70" s="70" t="s">
        <v>212</v>
      </c>
      <c r="J70" s="70" t="s">
        <v>45</v>
      </c>
      <c r="K70" s="70" t="s">
        <v>32</v>
      </c>
      <c r="L70" s="70" t="s">
        <v>174</v>
      </c>
      <c r="M70" s="70">
        <v>7</v>
      </c>
      <c r="N70" s="70">
        <v>8500</v>
      </c>
      <c r="O70" s="71">
        <v>0.2</v>
      </c>
      <c r="P70" s="70">
        <v>47600</v>
      </c>
      <c r="Q70" s="70">
        <v>4</v>
      </c>
      <c r="R70" s="70" t="s">
        <v>48</v>
      </c>
      <c r="S70" s="70" t="s">
        <v>115</v>
      </c>
      <c r="T70" s="70" t="s">
        <v>62</v>
      </c>
      <c r="U70" s="70">
        <v>9264401015</v>
      </c>
      <c r="V70" s="70" t="s">
        <v>38</v>
      </c>
      <c r="AQ70" s="86">
        <v>46005</v>
      </c>
    </row>
    <row r="71" spans="1:43" x14ac:dyDescent="0.5">
      <c r="A71" s="72" t="s">
        <v>458</v>
      </c>
      <c r="B71" s="73" t="s">
        <v>23</v>
      </c>
      <c r="C71" s="73" t="s">
        <v>54</v>
      </c>
      <c r="D71" s="87">
        <v>45754</v>
      </c>
      <c r="E71" s="73" t="s">
        <v>459</v>
      </c>
      <c r="F71" s="70" t="s">
        <v>27</v>
      </c>
      <c r="G71" s="73" t="s">
        <v>28</v>
      </c>
      <c r="H71" s="73" t="s">
        <v>460</v>
      </c>
      <c r="I71" s="73" t="s">
        <v>59</v>
      </c>
      <c r="J71" s="73" t="s">
        <v>31</v>
      </c>
      <c r="K71" s="73" t="s">
        <v>46</v>
      </c>
      <c r="L71" s="73" t="s">
        <v>60</v>
      </c>
      <c r="M71" s="73">
        <v>16</v>
      </c>
      <c r="N71" s="73">
        <v>55000</v>
      </c>
      <c r="O71" s="71">
        <v>0.1</v>
      </c>
      <c r="P71" s="73">
        <v>792000</v>
      </c>
      <c r="Q71" s="73">
        <v>1</v>
      </c>
      <c r="R71" s="73" t="s">
        <v>79</v>
      </c>
      <c r="S71" s="73" t="s">
        <v>61</v>
      </c>
      <c r="T71" s="70" t="s">
        <v>50</v>
      </c>
      <c r="U71" s="73">
        <v>9959237375</v>
      </c>
      <c r="V71" s="73" t="s">
        <v>38</v>
      </c>
      <c r="AQ71" s="87">
        <v>45842</v>
      </c>
    </row>
    <row r="72" spans="1:43" x14ac:dyDescent="0.5">
      <c r="A72" s="69" t="s">
        <v>462</v>
      </c>
      <c r="B72" s="70" t="s">
        <v>168</v>
      </c>
      <c r="C72" s="70" t="s">
        <v>40</v>
      </c>
      <c r="D72" s="86">
        <v>46015</v>
      </c>
      <c r="E72" s="70" t="s">
        <v>464</v>
      </c>
      <c r="F72" s="70" t="s">
        <v>361</v>
      </c>
      <c r="G72" s="70" t="s">
        <v>28</v>
      </c>
      <c r="H72" s="70" t="s">
        <v>465</v>
      </c>
      <c r="I72" s="70" t="s">
        <v>105</v>
      </c>
      <c r="J72" s="70" t="s">
        <v>106</v>
      </c>
      <c r="K72" s="70" t="s">
        <v>46</v>
      </c>
      <c r="L72" s="70" t="s">
        <v>47</v>
      </c>
      <c r="M72" s="70">
        <v>2</v>
      </c>
      <c r="N72" s="70">
        <v>12000</v>
      </c>
      <c r="O72" s="71">
        <v>0.2</v>
      </c>
      <c r="P72" s="70">
        <v>19200</v>
      </c>
      <c r="Q72" s="70">
        <v>1</v>
      </c>
      <c r="R72" s="70" t="s">
        <v>34</v>
      </c>
      <c r="S72" s="70" t="s">
        <v>151</v>
      </c>
      <c r="T72" s="70" t="s">
        <v>175</v>
      </c>
      <c r="U72" s="70">
        <v>9561836580</v>
      </c>
      <c r="V72" s="70" t="s">
        <v>64</v>
      </c>
      <c r="AQ72" s="86">
        <v>46015</v>
      </c>
    </row>
    <row r="73" spans="1:43" x14ac:dyDescent="0.5">
      <c r="A73" s="72" t="s">
        <v>468</v>
      </c>
      <c r="B73" s="73" t="s">
        <v>127</v>
      </c>
      <c r="C73" s="73" t="s">
        <v>259</v>
      </c>
      <c r="D73" s="87">
        <v>45899</v>
      </c>
      <c r="E73" s="73" t="s">
        <v>446</v>
      </c>
      <c r="F73" s="70" t="s">
        <v>200</v>
      </c>
      <c r="G73" s="73" t="s">
        <v>76</v>
      </c>
      <c r="H73" s="73" t="s">
        <v>470</v>
      </c>
      <c r="I73" s="73" t="s">
        <v>59</v>
      </c>
      <c r="J73" s="73" t="s">
        <v>31</v>
      </c>
      <c r="K73" s="73" t="s">
        <v>122</v>
      </c>
      <c r="L73" s="73" t="s">
        <v>263</v>
      </c>
      <c r="M73" s="73">
        <v>4</v>
      </c>
      <c r="N73" s="73">
        <v>45</v>
      </c>
      <c r="O73" s="71">
        <v>0.05</v>
      </c>
      <c r="P73" s="73">
        <v>171</v>
      </c>
      <c r="Q73" s="73">
        <v>1</v>
      </c>
      <c r="R73" s="73" t="s">
        <v>79</v>
      </c>
      <c r="S73" s="73" t="s">
        <v>49</v>
      </c>
      <c r="T73" s="70" t="s">
        <v>132</v>
      </c>
      <c r="U73" s="73">
        <v>9512666401</v>
      </c>
      <c r="V73" s="73" t="s">
        <v>64</v>
      </c>
      <c r="AQ73" s="87">
        <v>45899</v>
      </c>
    </row>
    <row r="74" spans="1:43" x14ac:dyDescent="0.5">
      <c r="A74" s="69" t="s">
        <v>472</v>
      </c>
      <c r="B74" s="70" t="s">
        <v>23</v>
      </c>
      <c r="C74" s="70" t="s">
        <v>72</v>
      </c>
      <c r="D74" s="86">
        <v>46004</v>
      </c>
      <c r="E74" s="70" t="s">
        <v>474</v>
      </c>
      <c r="F74" s="70" t="s">
        <v>27</v>
      </c>
      <c r="G74" s="70" t="s">
        <v>28</v>
      </c>
      <c r="H74" s="70" t="s">
        <v>475</v>
      </c>
      <c r="I74" s="70" t="s">
        <v>212</v>
      </c>
      <c r="J74" s="70" t="s">
        <v>45</v>
      </c>
      <c r="K74" s="70" t="s">
        <v>46</v>
      </c>
      <c r="L74" s="70" t="s">
        <v>78</v>
      </c>
      <c r="M74" s="70">
        <v>1</v>
      </c>
      <c r="N74" s="70">
        <v>1200</v>
      </c>
      <c r="O74" s="71">
        <v>0.05</v>
      </c>
      <c r="P74" s="70">
        <v>1140</v>
      </c>
      <c r="Q74" s="70">
        <v>3</v>
      </c>
      <c r="R74" s="70" t="s">
        <v>88</v>
      </c>
      <c r="S74" s="70" t="s">
        <v>61</v>
      </c>
      <c r="T74" s="70" t="s">
        <v>50</v>
      </c>
      <c r="U74" s="70">
        <v>9808988530</v>
      </c>
      <c r="V74" s="70" t="s">
        <v>69</v>
      </c>
      <c r="AQ74" s="86">
        <v>46004</v>
      </c>
    </row>
    <row r="75" spans="1:43" x14ac:dyDescent="0.5">
      <c r="A75" s="72" t="s">
        <v>477</v>
      </c>
      <c r="B75" s="73" t="s">
        <v>53</v>
      </c>
      <c r="C75" s="73" t="s">
        <v>24</v>
      </c>
      <c r="D75" s="87">
        <v>46057</v>
      </c>
      <c r="E75" s="73" t="s">
        <v>479</v>
      </c>
      <c r="F75" s="70" t="s">
        <v>163</v>
      </c>
      <c r="G75" s="73" t="s">
        <v>28</v>
      </c>
      <c r="H75" s="73" t="s">
        <v>480</v>
      </c>
      <c r="I75" s="73"/>
      <c r="J75" s="73" t="s">
        <v>31</v>
      </c>
      <c r="K75" s="73" t="s">
        <v>32</v>
      </c>
      <c r="L75" s="73" t="s">
        <v>33</v>
      </c>
      <c r="M75" s="73">
        <v>1</v>
      </c>
      <c r="N75" s="73">
        <v>2200</v>
      </c>
      <c r="O75" s="71">
        <v>0.15</v>
      </c>
      <c r="P75" s="73">
        <v>1870</v>
      </c>
      <c r="Q75" s="73">
        <v>4</v>
      </c>
      <c r="R75" s="73" t="s">
        <v>79</v>
      </c>
      <c r="S75" s="73" t="s">
        <v>61</v>
      </c>
      <c r="T75" s="70" t="s">
        <v>62</v>
      </c>
      <c r="U75" s="73">
        <v>9286410494</v>
      </c>
      <c r="V75" s="73" t="s">
        <v>38</v>
      </c>
      <c r="AQ75" s="87">
        <v>46114</v>
      </c>
    </row>
    <row r="76" spans="1:43" x14ac:dyDescent="0.5">
      <c r="A76" s="69" t="s">
        <v>482</v>
      </c>
      <c r="B76" s="70" t="s">
        <v>127</v>
      </c>
      <c r="C76" s="70" t="s">
        <v>72</v>
      </c>
      <c r="D76" s="86">
        <v>46048</v>
      </c>
      <c r="E76" s="70" t="s">
        <v>484</v>
      </c>
      <c r="F76" s="70" t="s">
        <v>200</v>
      </c>
      <c r="G76" s="70" t="s">
        <v>76</v>
      </c>
      <c r="H76" s="70" t="s">
        <v>485</v>
      </c>
      <c r="I76" s="70" t="s">
        <v>114</v>
      </c>
      <c r="J76" s="70" t="s">
        <v>106</v>
      </c>
      <c r="K76" s="70" t="s">
        <v>46</v>
      </c>
      <c r="L76" s="70" t="s">
        <v>78</v>
      </c>
      <c r="M76" s="70">
        <v>3</v>
      </c>
      <c r="N76" s="70">
        <v>1200</v>
      </c>
      <c r="O76" s="71">
        <v>0.1</v>
      </c>
      <c r="P76" s="70">
        <v>3240</v>
      </c>
      <c r="Q76" s="70">
        <v>5</v>
      </c>
      <c r="R76" s="70" t="s">
        <v>34</v>
      </c>
      <c r="S76" s="70" t="s">
        <v>49</v>
      </c>
      <c r="T76" s="70" t="s">
        <v>132</v>
      </c>
      <c r="U76" s="70">
        <v>9311555196</v>
      </c>
      <c r="V76" s="70" t="s">
        <v>38</v>
      </c>
      <c r="AQ76" s="86">
        <v>46048</v>
      </c>
    </row>
    <row r="77" spans="1:43" x14ac:dyDescent="0.5">
      <c r="A77" s="72" t="s">
        <v>487</v>
      </c>
      <c r="B77" s="73" t="s">
        <v>23</v>
      </c>
      <c r="C77" s="73" t="s">
        <v>92</v>
      </c>
      <c r="D77" s="87">
        <v>45835</v>
      </c>
      <c r="E77" s="73" t="s">
        <v>489</v>
      </c>
      <c r="F77" s="70" t="s">
        <v>27</v>
      </c>
      <c r="G77" s="73" t="s">
        <v>28</v>
      </c>
      <c r="H77" s="73" t="s">
        <v>490</v>
      </c>
      <c r="I77" s="73" t="s">
        <v>59</v>
      </c>
      <c r="J77" s="73" t="s">
        <v>31</v>
      </c>
      <c r="K77" s="73" t="s">
        <v>32</v>
      </c>
      <c r="L77" s="73" t="s">
        <v>97</v>
      </c>
      <c r="M77" s="73">
        <v>10</v>
      </c>
      <c r="N77" s="73">
        <v>3500</v>
      </c>
      <c r="O77" s="71">
        <v>0.2</v>
      </c>
      <c r="P77" s="73">
        <v>28000</v>
      </c>
      <c r="Q77" s="73">
        <v>5</v>
      </c>
      <c r="R77" s="73" t="s">
        <v>79</v>
      </c>
      <c r="S77" s="73" t="s">
        <v>35</v>
      </c>
      <c r="T77" s="70" t="s">
        <v>50</v>
      </c>
      <c r="U77" s="73">
        <v>9101810266</v>
      </c>
      <c r="V77" s="73" t="s">
        <v>38</v>
      </c>
      <c r="AQ77" s="87">
        <v>45835</v>
      </c>
    </row>
    <row r="78" spans="1:43" x14ac:dyDescent="0.5">
      <c r="A78" s="69" t="s">
        <v>492</v>
      </c>
      <c r="B78" s="70" t="s">
        <v>83</v>
      </c>
      <c r="C78" s="70" t="s">
        <v>184</v>
      </c>
      <c r="D78" s="86">
        <v>46098</v>
      </c>
      <c r="E78" s="70" t="s">
        <v>404</v>
      </c>
      <c r="F78" s="70" t="s">
        <v>180</v>
      </c>
      <c r="G78" s="70" t="s">
        <v>76</v>
      </c>
      <c r="H78" s="70" t="s">
        <v>494</v>
      </c>
      <c r="I78" s="70" t="s">
        <v>44</v>
      </c>
      <c r="J78" s="70" t="s">
        <v>45</v>
      </c>
      <c r="K78" s="70" t="s">
        <v>46</v>
      </c>
      <c r="L78" s="70" t="s">
        <v>189</v>
      </c>
      <c r="M78" s="70">
        <v>18</v>
      </c>
      <c r="N78" s="70">
        <v>700</v>
      </c>
      <c r="O78" s="71">
        <v>0.05</v>
      </c>
      <c r="P78" s="70">
        <v>11970</v>
      </c>
      <c r="Q78" s="70">
        <v>3</v>
      </c>
      <c r="R78" s="70" t="s">
        <v>79</v>
      </c>
      <c r="S78" s="70" t="s">
        <v>115</v>
      </c>
      <c r="T78" s="70" t="s">
        <v>89</v>
      </c>
      <c r="U78" s="70">
        <v>9464556593</v>
      </c>
      <c r="V78" s="70" t="s">
        <v>69</v>
      </c>
      <c r="AQ78" s="86">
        <v>46098</v>
      </c>
    </row>
    <row r="79" spans="1:43" x14ac:dyDescent="0.5">
      <c r="A79" s="72" t="s">
        <v>496</v>
      </c>
      <c r="B79" s="73" t="s">
        <v>221</v>
      </c>
      <c r="C79" s="73" t="s">
        <v>184</v>
      </c>
      <c r="D79" s="87">
        <v>45817</v>
      </c>
      <c r="E79" s="73" t="s">
        <v>498</v>
      </c>
      <c r="F79" s="70" t="s">
        <v>225</v>
      </c>
      <c r="G79" s="73" t="s">
        <v>76</v>
      </c>
      <c r="H79" s="73" t="s">
        <v>499</v>
      </c>
      <c r="I79" s="73" t="s">
        <v>59</v>
      </c>
      <c r="J79" s="73" t="s">
        <v>31</v>
      </c>
      <c r="K79" s="73" t="s">
        <v>46</v>
      </c>
      <c r="L79" s="73" t="s">
        <v>189</v>
      </c>
      <c r="M79" s="73">
        <v>12</v>
      </c>
      <c r="N79" s="73">
        <v>700</v>
      </c>
      <c r="O79" s="71">
        <v>0.15</v>
      </c>
      <c r="P79" s="73">
        <v>7140</v>
      </c>
      <c r="Q79" s="73">
        <v>2</v>
      </c>
      <c r="R79" s="73" t="s">
        <v>88</v>
      </c>
      <c r="S79" s="73" t="s">
        <v>49</v>
      </c>
      <c r="T79" s="70" t="s">
        <v>228</v>
      </c>
      <c r="U79" s="73">
        <v>9338278358</v>
      </c>
      <c r="V79" s="73" t="s">
        <v>38</v>
      </c>
      <c r="AQ79" s="87">
        <v>45906</v>
      </c>
    </row>
    <row r="80" spans="1:43" x14ac:dyDescent="0.5">
      <c r="A80" s="69" t="s">
        <v>501</v>
      </c>
      <c r="B80" s="70" t="s">
        <v>71</v>
      </c>
      <c r="C80" s="70" t="s">
        <v>72</v>
      </c>
      <c r="D80" s="86">
        <v>45976</v>
      </c>
      <c r="E80" s="70" t="s">
        <v>503</v>
      </c>
      <c r="F80" s="70" t="s">
        <v>217</v>
      </c>
      <c r="G80" s="70" t="s">
        <v>76</v>
      </c>
      <c r="H80" s="70" t="s">
        <v>504</v>
      </c>
      <c r="I80" s="70" t="s">
        <v>105</v>
      </c>
      <c r="J80" s="70" t="s">
        <v>106</v>
      </c>
      <c r="K80" s="70" t="s">
        <v>46</v>
      </c>
      <c r="L80" s="70" t="s">
        <v>78</v>
      </c>
      <c r="M80" s="70">
        <v>8</v>
      </c>
      <c r="N80" s="70">
        <v>1200</v>
      </c>
      <c r="O80" s="71">
        <v>0</v>
      </c>
      <c r="P80" s="70">
        <v>9600</v>
      </c>
      <c r="Q80" s="70">
        <v>4</v>
      </c>
      <c r="R80" s="70" t="s">
        <v>79</v>
      </c>
      <c r="S80" s="70" t="s">
        <v>49</v>
      </c>
      <c r="T80" s="70" t="s">
        <v>80</v>
      </c>
      <c r="U80" s="70">
        <v>9621410770</v>
      </c>
      <c r="V80" s="70" t="s">
        <v>64</v>
      </c>
      <c r="AQ80" s="86">
        <v>45976</v>
      </c>
    </row>
    <row r="81" spans="1:43" x14ac:dyDescent="0.5">
      <c r="A81" s="72" t="s">
        <v>506</v>
      </c>
      <c r="B81" s="73" t="s">
        <v>127</v>
      </c>
      <c r="C81" s="73" t="s">
        <v>118</v>
      </c>
      <c r="D81" s="87">
        <v>45967</v>
      </c>
      <c r="E81" s="73" t="s">
        <v>508</v>
      </c>
      <c r="F81" s="70" t="s">
        <v>200</v>
      </c>
      <c r="G81" s="73" t="s">
        <v>76</v>
      </c>
      <c r="H81" s="73" t="s">
        <v>509</v>
      </c>
      <c r="I81" s="73" t="s">
        <v>114</v>
      </c>
      <c r="J81" s="73" t="s">
        <v>106</v>
      </c>
      <c r="K81" s="73" t="s">
        <v>122</v>
      </c>
      <c r="L81" s="73" t="s">
        <v>123</v>
      </c>
      <c r="M81" s="73">
        <v>2</v>
      </c>
      <c r="N81" s="73">
        <v>60</v>
      </c>
      <c r="O81" s="71">
        <v>0</v>
      </c>
      <c r="P81" s="73">
        <v>120</v>
      </c>
      <c r="Q81" s="73">
        <v>2</v>
      </c>
      <c r="R81" s="73" t="s">
        <v>88</v>
      </c>
      <c r="S81" s="73" t="s">
        <v>49</v>
      </c>
      <c r="T81" s="70" t="s">
        <v>132</v>
      </c>
      <c r="U81" s="73">
        <v>9981333189</v>
      </c>
      <c r="V81" s="73" t="s">
        <v>38</v>
      </c>
      <c r="AQ81" s="87">
        <v>45819</v>
      </c>
    </row>
    <row r="82" spans="1:43" x14ac:dyDescent="0.5">
      <c r="A82" s="69" t="s">
        <v>511</v>
      </c>
      <c r="B82" s="70" t="s">
        <v>327</v>
      </c>
      <c r="C82" s="70" t="s">
        <v>259</v>
      </c>
      <c r="D82" s="86">
        <v>45658</v>
      </c>
      <c r="E82" s="70" t="s">
        <v>513</v>
      </c>
      <c r="F82" s="70" t="s">
        <v>394</v>
      </c>
      <c r="G82" s="70" t="s">
        <v>76</v>
      </c>
      <c r="H82" s="70" t="s">
        <v>514</v>
      </c>
      <c r="I82" s="70" t="s">
        <v>114</v>
      </c>
      <c r="J82" s="70" t="s">
        <v>106</v>
      </c>
      <c r="K82" s="70" t="s">
        <v>122</v>
      </c>
      <c r="L82" s="70" t="s">
        <v>263</v>
      </c>
      <c r="M82" s="70">
        <v>10</v>
      </c>
      <c r="N82" s="70">
        <v>45</v>
      </c>
      <c r="O82" s="71">
        <v>0.15</v>
      </c>
      <c r="P82" s="70">
        <v>382.5</v>
      </c>
      <c r="Q82" s="70">
        <v>3</v>
      </c>
      <c r="R82" s="70" t="s">
        <v>48</v>
      </c>
      <c r="S82" s="70" t="s">
        <v>35</v>
      </c>
      <c r="T82" s="70" t="s">
        <v>332</v>
      </c>
      <c r="U82" s="70">
        <v>9723450355</v>
      </c>
      <c r="V82" s="70" t="s">
        <v>69</v>
      </c>
      <c r="AQ82" s="86">
        <v>45658</v>
      </c>
    </row>
    <row r="83" spans="1:43" x14ac:dyDescent="0.5">
      <c r="A83" s="72" t="s">
        <v>516</v>
      </c>
      <c r="B83" s="73" t="s">
        <v>221</v>
      </c>
      <c r="C83" s="73" t="s">
        <v>92</v>
      </c>
      <c r="D83" s="87">
        <v>46137</v>
      </c>
      <c r="E83" s="73" t="s">
        <v>518</v>
      </c>
      <c r="F83" s="70" t="s">
        <v>225</v>
      </c>
      <c r="G83" s="73" t="s">
        <v>76</v>
      </c>
      <c r="H83" s="73" t="s">
        <v>519</v>
      </c>
      <c r="I83" s="73" t="s">
        <v>294</v>
      </c>
      <c r="J83" s="73" t="s">
        <v>295</v>
      </c>
      <c r="K83" s="73" t="s">
        <v>32</v>
      </c>
      <c r="L83" s="73" t="s">
        <v>97</v>
      </c>
      <c r="M83" s="73">
        <v>12</v>
      </c>
      <c r="N83" s="73">
        <v>3500</v>
      </c>
      <c r="O83" s="71">
        <v>0.05</v>
      </c>
      <c r="P83" s="73">
        <v>39900</v>
      </c>
      <c r="Q83" s="73">
        <v>3</v>
      </c>
      <c r="R83" s="73" t="s">
        <v>48</v>
      </c>
      <c r="S83" s="73" t="s">
        <v>61</v>
      </c>
      <c r="T83" s="70" t="s">
        <v>228</v>
      </c>
      <c r="U83" s="73">
        <v>9886243907</v>
      </c>
      <c r="V83" s="73" t="s">
        <v>64</v>
      </c>
      <c r="AQ83" s="87">
        <v>46137</v>
      </c>
    </row>
    <row r="84" spans="1:43" x14ac:dyDescent="0.5">
      <c r="A84" s="69" t="s">
        <v>521</v>
      </c>
      <c r="B84" s="70" t="s">
        <v>127</v>
      </c>
      <c r="C84" s="70" t="s">
        <v>118</v>
      </c>
      <c r="D84" s="86">
        <v>45919</v>
      </c>
      <c r="E84" s="70" t="s">
        <v>73</v>
      </c>
      <c r="F84" s="70" t="s">
        <v>200</v>
      </c>
      <c r="G84" s="70" t="s">
        <v>76</v>
      </c>
      <c r="H84" s="70" t="s">
        <v>522</v>
      </c>
      <c r="I84" s="70" t="s">
        <v>105</v>
      </c>
      <c r="J84" s="70" t="s">
        <v>106</v>
      </c>
      <c r="K84" s="70" t="s">
        <v>122</v>
      </c>
      <c r="L84" s="70" t="s">
        <v>123</v>
      </c>
      <c r="M84" s="70">
        <v>2</v>
      </c>
      <c r="N84" s="70">
        <v>60</v>
      </c>
      <c r="O84" s="71">
        <v>0.15</v>
      </c>
      <c r="P84" s="70">
        <v>102</v>
      </c>
      <c r="Q84" s="70">
        <v>1</v>
      </c>
      <c r="R84" s="70" t="s">
        <v>88</v>
      </c>
      <c r="S84" s="70" t="s">
        <v>115</v>
      </c>
      <c r="T84" s="70" t="s">
        <v>132</v>
      </c>
      <c r="U84" s="70">
        <v>9473931904</v>
      </c>
      <c r="V84" s="70" t="s">
        <v>38</v>
      </c>
      <c r="AQ84" s="86">
        <v>45919</v>
      </c>
    </row>
    <row r="85" spans="1:43" x14ac:dyDescent="0.5">
      <c r="A85" s="72" t="s">
        <v>524</v>
      </c>
      <c r="B85" s="73" t="s">
        <v>127</v>
      </c>
      <c r="C85" s="73" t="s">
        <v>72</v>
      </c>
      <c r="D85" s="87">
        <v>45734</v>
      </c>
      <c r="E85" s="73" t="s">
        <v>526</v>
      </c>
      <c r="F85" s="70" t="s">
        <v>200</v>
      </c>
      <c r="G85" s="73" t="s">
        <v>76</v>
      </c>
      <c r="H85" s="73" t="s">
        <v>527</v>
      </c>
      <c r="I85" s="73" t="s">
        <v>30</v>
      </c>
      <c r="J85" s="73" t="s">
        <v>31</v>
      </c>
      <c r="K85" s="73" t="s">
        <v>46</v>
      </c>
      <c r="L85" s="73" t="s">
        <v>78</v>
      </c>
      <c r="M85" s="73">
        <v>18</v>
      </c>
      <c r="N85" s="73">
        <v>1200</v>
      </c>
      <c r="O85" s="71">
        <v>0.15</v>
      </c>
      <c r="P85" s="73">
        <v>18360</v>
      </c>
      <c r="Q85" s="73">
        <v>3</v>
      </c>
      <c r="R85" s="73" t="s">
        <v>79</v>
      </c>
      <c r="S85" s="73" t="s">
        <v>115</v>
      </c>
      <c r="T85" s="70" t="s">
        <v>132</v>
      </c>
      <c r="U85" s="73">
        <v>9287159610</v>
      </c>
      <c r="V85" s="73" t="s">
        <v>64</v>
      </c>
      <c r="AQ85" s="87">
        <v>45734</v>
      </c>
    </row>
    <row r="86" spans="1:43" x14ac:dyDescent="0.5">
      <c r="A86" s="69" t="s">
        <v>529</v>
      </c>
      <c r="B86" s="70" t="s">
        <v>23</v>
      </c>
      <c r="C86" s="70" t="s">
        <v>40</v>
      </c>
      <c r="D86" s="86">
        <v>45960</v>
      </c>
      <c r="E86" s="70" t="s">
        <v>531</v>
      </c>
      <c r="F86" s="70" t="s">
        <v>27</v>
      </c>
      <c r="G86" s="70" t="s">
        <v>28</v>
      </c>
      <c r="H86" s="70" t="s">
        <v>532</v>
      </c>
      <c r="I86" s="70" t="s">
        <v>105</v>
      </c>
      <c r="J86" s="70" t="s">
        <v>106</v>
      </c>
      <c r="K86" s="70" t="s">
        <v>46</v>
      </c>
      <c r="L86" s="70" t="s">
        <v>47</v>
      </c>
      <c r="M86" s="70">
        <v>18</v>
      </c>
      <c r="N86" s="70">
        <v>12000</v>
      </c>
      <c r="O86" s="71">
        <v>0.15</v>
      </c>
      <c r="P86" s="70">
        <v>183600</v>
      </c>
      <c r="Q86" s="70">
        <v>2</v>
      </c>
      <c r="R86" s="70" t="s">
        <v>34</v>
      </c>
      <c r="S86" s="70" t="s">
        <v>49</v>
      </c>
      <c r="T86" s="70" t="s">
        <v>50</v>
      </c>
      <c r="U86" s="70">
        <v>9876513858</v>
      </c>
      <c r="V86" s="70" t="s">
        <v>38</v>
      </c>
      <c r="AQ86" s="86">
        <v>45960</v>
      </c>
    </row>
    <row r="87" spans="1:43" x14ac:dyDescent="0.5">
      <c r="A87" s="72" t="s">
        <v>534</v>
      </c>
      <c r="B87" s="73" t="s">
        <v>83</v>
      </c>
      <c r="C87" s="73" t="s">
        <v>222</v>
      </c>
      <c r="D87" s="87">
        <v>45961</v>
      </c>
      <c r="E87" s="73" t="s">
        <v>535</v>
      </c>
      <c r="F87" s="70" t="s">
        <v>180</v>
      </c>
      <c r="G87" s="73" t="s">
        <v>76</v>
      </c>
      <c r="H87" s="73" t="s">
        <v>536</v>
      </c>
      <c r="I87" s="73" t="s">
        <v>138</v>
      </c>
      <c r="J87" s="73" t="s">
        <v>106</v>
      </c>
      <c r="K87" s="73" t="s">
        <v>122</v>
      </c>
      <c r="L87" s="73" t="s">
        <v>227</v>
      </c>
      <c r="M87" s="73">
        <v>7</v>
      </c>
      <c r="N87" s="73">
        <v>20</v>
      </c>
      <c r="O87" s="71">
        <v>0</v>
      </c>
      <c r="P87" s="73">
        <v>140</v>
      </c>
      <c r="Q87" s="73">
        <v>2</v>
      </c>
      <c r="R87" s="73" t="s">
        <v>79</v>
      </c>
      <c r="S87" s="73" t="s">
        <v>35</v>
      </c>
      <c r="T87" s="70" t="s">
        <v>89</v>
      </c>
      <c r="U87" s="73">
        <v>9237400853</v>
      </c>
      <c r="V87" s="73" t="s">
        <v>69</v>
      </c>
      <c r="AQ87" s="87">
        <v>45961</v>
      </c>
    </row>
    <row r="88" spans="1:43" x14ac:dyDescent="0.5">
      <c r="A88" s="69" t="s">
        <v>538</v>
      </c>
      <c r="B88" s="70" t="s">
        <v>251</v>
      </c>
      <c r="C88" s="70" t="s">
        <v>92</v>
      </c>
      <c r="D88" s="86">
        <v>45757</v>
      </c>
      <c r="E88" s="70" t="s">
        <v>539</v>
      </c>
      <c r="F88" s="70" t="s">
        <v>254</v>
      </c>
      <c r="G88" s="70" t="s">
        <v>28</v>
      </c>
      <c r="H88" s="70" t="s">
        <v>540</v>
      </c>
      <c r="I88" s="70" t="s">
        <v>114</v>
      </c>
      <c r="J88" s="70" t="s">
        <v>106</v>
      </c>
      <c r="K88" s="70" t="s">
        <v>32</v>
      </c>
      <c r="L88" s="70" t="s">
        <v>97</v>
      </c>
      <c r="M88" s="70">
        <v>20</v>
      </c>
      <c r="N88" s="70">
        <v>3500</v>
      </c>
      <c r="O88" s="71">
        <v>0.2</v>
      </c>
      <c r="P88" s="70">
        <v>56000</v>
      </c>
      <c r="Q88" s="70">
        <v>4</v>
      </c>
      <c r="R88" s="70" t="s">
        <v>79</v>
      </c>
      <c r="S88" s="70" t="s">
        <v>115</v>
      </c>
      <c r="T88" s="70" t="s">
        <v>256</v>
      </c>
      <c r="U88" s="70">
        <v>9599597595</v>
      </c>
      <c r="V88" s="70" t="s">
        <v>64</v>
      </c>
      <c r="AQ88" s="86">
        <v>45934</v>
      </c>
    </row>
    <row r="89" spans="1:43" x14ac:dyDescent="0.5">
      <c r="A89" s="72" t="s">
        <v>542</v>
      </c>
      <c r="B89" s="73" t="s">
        <v>100</v>
      </c>
      <c r="C89" s="73" t="s">
        <v>169</v>
      </c>
      <c r="D89" s="87">
        <v>46097</v>
      </c>
      <c r="E89" s="73" t="s">
        <v>544</v>
      </c>
      <c r="F89" s="70" t="s">
        <v>103</v>
      </c>
      <c r="G89" s="73" t="s">
        <v>28</v>
      </c>
      <c r="H89" s="73" t="s">
        <v>545</v>
      </c>
      <c r="I89" s="73" t="s">
        <v>138</v>
      </c>
      <c r="J89" s="73" t="s">
        <v>106</v>
      </c>
      <c r="K89" s="73" t="s">
        <v>32</v>
      </c>
      <c r="L89" s="73" t="s">
        <v>174</v>
      </c>
      <c r="M89" s="73">
        <v>8</v>
      </c>
      <c r="N89" s="73">
        <v>8500</v>
      </c>
      <c r="O89" s="71">
        <v>0.2</v>
      </c>
      <c r="P89" s="73">
        <v>54400</v>
      </c>
      <c r="Q89" s="73">
        <v>3</v>
      </c>
      <c r="R89" s="73" t="s">
        <v>79</v>
      </c>
      <c r="S89" s="73" t="s">
        <v>115</v>
      </c>
      <c r="T89" s="70" t="s">
        <v>144</v>
      </c>
      <c r="U89" s="73">
        <v>9230007509</v>
      </c>
      <c r="V89" s="73" t="s">
        <v>64</v>
      </c>
      <c r="AQ89" s="87">
        <v>46097</v>
      </c>
    </row>
    <row r="90" spans="1:43" x14ac:dyDescent="0.5">
      <c r="A90" s="69" t="s">
        <v>547</v>
      </c>
      <c r="B90" s="70" t="s">
        <v>327</v>
      </c>
      <c r="C90" s="70" t="s">
        <v>40</v>
      </c>
      <c r="D90" s="86">
        <v>45915</v>
      </c>
      <c r="E90" s="70" t="s">
        <v>549</v>
      </c>
      <c r="F90" s="70" t="s">
        <v>394</v>
      </c>
      <c r="G90" s="70" t="s">
        <v>76</v>
      </c>
      <c r="H90" s="70" t="s">
        <v>550</v>
      </c>
      <c r="I90" s="70" t="s">
        <v>138</v>
      </c>
      <c r="J90" s="70" t="s">
        <v>551</v>
      </c>
      <c r="K90" s="70" t="s">
        <v>46</v>
      </c>
      <c r="L90" s="70" t="s">
        <v>47</v>
      </c>
      <c r="M90" s="70">
        <v>6</v>
      </c>
      <c r="N90" s="70">
        <v>12000</v>
      </c>
      <c r="O90" s="71">
        <v>0.05</v>
      </c>
      <c r="P90" s="70">
        <v>68400</v>
      </c>
      <c r="Q90" s="70">
        <v>4</v>
      </c>
      <c r="R90" s="70" t="s">
        <v>48</v>
      </c>
      <c r="S90" s="70" t="s">
        <v>35</v>
      </c>
      <c r="T90" s="70" t="s">
        <v>332</v>
      </c>
      <c r="U90" s="70">
        <v>9823428025</v>
      </c>
      <c r="V90" s="70" t="s">
        <v>38</v>
      </c>
      <c r="AQ90" s="86">
        <v>45915</v>
      </c>
    </row>
    <row r="91" spans="1:43" x14ac:dyDescent="0.5">
      <c r="A91" s="72" t="s">
        <v>553</v>
      </c>
      <c r="B91" s="73" t="s">
        <v>23</v>
      </c>
      <c r="C91" s="73" t="s">
        <v>169</v>
      </c>
      <c r="D91" s="87">
        <v>46092</v>
      </c>
      <c r="E91" s="73" t="s">
        <v>404</v>
      </c>
      <c r="F91" s="70" t="s">
        <v>27</v>
      </c>
      <c r="G91" s="73" t="s">
        <v>28</v>
      </c>
      <c r="H91" s="73" t="s">
        <v>555</v>
      </c>
      <c r="I91" s="73" t="s">
        <v>114</v>
      </c>
      <c r="J91" s="73" t="s">
        <v>106</v>
      </c>
      <c r="K91" s="73" t="s">
        <v>32</v>
      </c>
      <c r="L91" s="73" t="s">
        <v>174</v>
      </c>
      <c r="M91" s="73">
        <v>15</v>
      </c>
      <c r="N91" s="73">
        <v>8500</v>
      </c>
      <c r="O91" s="71">
        <v>0</v>
      </c>
      <c r="P91" s="73">
        <v>127500</v>
      </c>
      <c r="Q91" s="73">
        <v>4</v>
      </c>
      <c r="R91" s="73" t="s">
        <v>48</v>
      </c>
      <c r="S91" s="73" t="s">
        <v>35</v>
      </c>
      <c r="T91" s="70" t="s">
        <v>50</v>
      </c>
      <c r="U91" s="73">
        <v>9505048912</v>
      </c>
      <c r="V91" s="73" t="s">
        <v>69</v>
      </c>
      <c r="AQ91" s="87">
        <v>46329</v>
      </c>
    </row>
    <row r="92" spans="1:43" x14ac:dyDescent="0.5">
      <c r="A92" s="69" t="s">
        <v>557</v>
      </c>
      <c r="B92" s="70" t="s">
        <v>53</v>
      </c>
      <c r="C92" s="70" t="s">
        <v>72</v>
      </c>
      <c r="D92" s="86">
        <v>45889</v>
      </c>
      <c r="E92" s="70" t="s">
        <v>377</v>
      </c>
      <c r="F92" s="70" t="s">
        <v>163</v>
      </c>
      <c r="G92" s="70" t="s">
        <v>28</v>
      </c>
      <c r="H92" s="70" t="s">
        <v>559</v>
      </c>
      <c r="I92" s="70" t="s">
        <v>212</v>
      </c>
      <c r="J92" s="70" t="s">
        <v>45</v>
      </c>
      <c r="K92" s="70" t="s">
        <v>46</v>
      </c>
      <c r="L92" s="70" t="s">
        <v>78</v>
      </c>
      <c r="M92" s="70">
        <v>5</v>
      </c>
      <c r="N92" s="70">
        <v>1200</v>
      </c>
      <c r="O92" s="71">
        <v>0.15</v>
      </c>
      <c r="P92" s="70">
        <v>5100</v>
      </c>
      <c r="Q92" s="70">
        <v>1</v>
      </c>
      <c r="R92" s="70" t="s">
        <v>48</v>
      </c>
      <c r="S92" s="70" t="s">
        <v>35</v>
      </c>
      <c r="T92" s="70" t="s">
        <v>62</v>
      </c>
      <c r="U92" s="70">
        <v>9508068393</v>
      </c>
      <c r="V92" s="70" t="s">
        <v>69</v>
      </c>
      <c r="AQ92" s="86">
        <v>45889</v>
      </c>
    </row>
    <row r="93" spans="1:43" x14ac:dyDescent="0.5">
      <c r="A93" s="72" t="s">
        <v>561</v>
      </c>
      <c r="B93" s="73" t="s">
        <v>53</v>
      </c>
      <c r="C93" s="73" t="s">
        <v>222</v>
      </c>
      <c r="D93" s="87">
        <v>45882</v>
      </c>
      <c r="E93" s="73" t="s">
        <v>563</v>
      </c>
      <c r="F93" s="70" t="s">
        <v>163</v>
      </c>
      <c r="G93" s="73" t="s">
        <v>28</v>
      </c>
      <c r="H93" s="73" t="s">
        <v>564</v>
      </c>
      <c r="I93" s="73" t="s">
        <v>30</v>
      </c>
      <c r="J93" s="73" t="s">
        <v>31</v>
      </c>
      <c r="K93" s="73" t="s">
        <v>122</v>
      </c>
      <c r="L93" s="73" t="s">
        <v>227</v>
      </c>
      <c r="M93" s="73">
        <v>4</v>
      </c>
      <c r="N93" s="73">
        <v>20</v>
      </c>
      <c r="O93" s="71">
        <v>0</v>
      </c>
      <c r="P93" s="73">
        <v>80</v>
      </c>
      <c r="Q93" s="73">
        <v>4</v>
      </c>
      <c r="R93" s="73" t="s">
        <v>48</v>
      </c>
      <c r="S93" s="73" t="s">
        <v>49</v>
      </c>
      <c r="T93" s="70" t="s">
        <v>62</v>
      </c>
      <c r="U93" s="73">
        <v>9785807771</v>
      </c>
      <c r="V93" s="73" t="s">
        <v>38</v>
      </c>
      <c r="AQ93" s="87">
        <v>45882</v>
      </c>
    </row>
    <row r="94" spans="1:43" x14ac:dyDescent="0.5">
      <c r="A94" s="69" t="s">
        <v>566</v>
      </c>
      <c r="B94" s="70" t="s">
        <v>23</v>
      </c>
      <c r="C94" s="70" t="s">
        <v>222</v>
      </c>
      <c r="D94" s="86">
        <v>45732</v>
      </c>
      <c r="E94" s="70" t="s">
        <v>568</v>
      </c>
      <c r="F94" s="70" t="s">
        <v>27</v>
      </c>
      <c r="G94" s="70" t="s">
        <v>28</v>
      </c>
      <c r="H94" s="70" t="s">
        <v>569</v>
      </c>
      <c r="I94" s="70" t="s">
        <v>59</v>
      </c>
      <c r="J94" s="70" t="s">
        <v>31</v>
      </c>
      <c r="K94" s="70" t="s">
        <v>122</v>
      </c>
      <c r="L94" s="70" t="s">
        <v>227</v>
      </c>
      <c r="M94" s="70">
        <v>10</v>
      </c>
      <c r="N94" s="70">
        <v>20</v>
      </c>
      <c r="O94" s="71">
        <v>0</v>
      </c>
      <c r="P94" s="70">
        <v>200</v>
      </c>
      <c r="Q94" s="70">
        <v>3</v>
      </c>
      <c r="R94" s="70" t="s">
        <v>34</v>
      </c>
      <c r="S94" s="70" t="s">
        <v>151</v>
      </c>
      <c r="T94" s="70" t="s">
        <v>50</v>
      </c>
      <c r="U94" s="70">
        <v>9215250979</v>
      </c>
      <c r="V94" s="70" t="s">
        <v>64</v>
      </c>
      <c r="AQ94" s="86">
        <v>45732</v>
      </c>
    </row>
    <row r="95" spans="1:43" x14ac:dyDescent="0.5">
      <c r="A95" s="72" t="s">
        <v>571</v>
      </c>
      <c r="B95" s="73" t="s">
        <v>168</v>
      </c>
      <c r="C95" s="73" t="s">
        <v>24</v>
      </c>
      <c r="D95" s="87">
        <v>45904</v>
      </c>
      <c r="E95" s="73" t="s">
        <v>573</v>
      </c>
      <c r="F95" s="70" t="s">
        <v>361</v>
      </c>
      <c r="G95" s="73" t="s">
        <v>28</v>
      </c>
      <c r="H95" s="73" t="s">
        <v>574</v>
      </c>
      <c r="I95" s="73" t="s">
        <v>44</v>
      </c>
      <c r="J95" s="73" t="s">
        <v>45</v>
      </c>
      <c r="K95" s="73" t="s">
        <v>32</v>
      </c>
      <c r="L95" s="73" t="s">
        <v>33</v>
      </c>
      <c r="M95" s="73">
        <v>18</v>
      </c>
      <c r="N95" s="73">
        <v>2200</v>
      </c>
      <c r="O95" s="71">
        <v>0.1</v>
      </c>
      <c r="P95" s="73">
        <v>35640</v>
      </c>
      <c r="Q95" s="73">
        <v>3</v>
      </c>
      <c r="R95" s="73" t="s">
        <v>34</v>
      </c>
      <c r="S95" s="73" t="s">
        <v>35</v>
      </c>
      <c r="T95" s="70" t="s">
        <v>175</v>
      </c>
      <c r="U95" s="73">
        <v>9845884906</v>
      </c>
      <c r="V95" s="73" t="s">
        <v>69</v>
      </c>
      <c r="AQ95" s="87">
        <v>45756</v>
      </c>
    </row>
    <row r="96" spans="1:43" x14ac:dyDescent="0.5">
      <c r="A96" s="69" t="s">
        <v>576</v>
      </c>
      <c r="B96" s="70" t="s">
        <v>327</v>
      </c>
      <c r="C96" s="70" t="s">
        <v>92</v>
      </c>
      <c r="D96" s="86">
        <v>45759</v>
      </c>
      <c r="E96" s="70" t="s">
        <v>578</v>
      </c>
      <c r="F96" s="70" t="s">
        <v>394</v>
      </c>
      <c r="G96" s="70" t="s">
        <v>76</v>
      </c>
      <c r="H96" s="70" t="s">
        <v>579</v>
      </c>
      <c r="I96" s="70" t="s">
        <v>44</v>
      </c>
      <c r="J96" s="70" t="s">
        <v>45</v>
      </c>
      <c r="K96" s="70" t="s">
        <v>32</v>
      </c>
      <c r="L96" s="70" t="s">
        <v>97</v>
      </c>
      <c r="M96" s="70">
        <v>7</v>
      </c>
      <c r="N96" s="70">
        <v>3500</v>
      </c>
      <c r="O96" s="71">
        <v>0.15</v>
      </c>
      <c r="P96" s="70">
        <v>20825</v>
      </c>
      <c r="Q96" s="70">
        <v>3</v>
      </c>
      <c r="R96" s="70" t="s">
        <v>48</v>
      </c>
      <c r="S96" s="70" t="s">
        <v>49</v>
      </c>
      <c r="T96" s="70" t="s">
        <v>332</v>
      </c>
      <c r="U96" s="70">
        <v>9393097397</v>
      </c>
      <c r="V96" s="70" t="s">
        <v>38</v>
      </c>
      <c r="AQ96" s="86">
        <v>45995</v>
      </c>
    </row>
    <row r="97" spans="1:43" x14ac:dyDescent="0.5">
      <c r="A97" s="72" t="s">
        <v>581</v>
      </c>
      <c r="B97" s="73" t="s">
        <v>100</v>
      </c>
      <c r="C97" s="73" t="s">
        <v>169</v>
      </c>
      <c r="D97" s="87">
        <v>46146</v>
      </c>
      <c r="E97" s="73" t="s">
        <v>583</v>
      </c>
      <c r="F97" s="70" t="s">
        <v>103</v>
      </c>
      <c r="G97" s="73" t="s">
        <v>28</v>
      </c>
      <c r="H97" s="73" t="s">
        <v>584</v>
      </c>
      <c r="I97" s="73" t="s">
        <v>294</v>
      </c>
      <c r="J97" s="73" t="s">
        <v>295</v>
      </c>
      <c r="K97" s="73" t="s">
        <v>32</v>
      </c>
      <c r="L97" s="73" t="s">
        <v>174</v>
      </c>
      <c r="M97" s="73">
        <v>19</v>
      </c>
      <c r="N97" s="73">
        <v>8500</v>
      </c>
      <c r="O97" s="71">
        <v>0.15</v>
      </c>
      <c r="P97" s="73">
        <v>137275</v>
      </c>
      <c r="Q97" s="73">
        <v>4</v>
      </c>
      <c r="R97" s="73" t="s">
        <v>79</v>
      </c>
      <c r="S97" s="73" t="s">
        <v>151</v>
      </c>
      <c r="T97" s="70" t="s">
        <v>144</v>
      </c>
      <c r="U97" s="73">
        <v>9958032109</v>
      </c>
      <c r="V97" s="73" t="s">
        <v>64</v>
      </c>
      <c r="AQ97" s="87">
        <v>46117</v>
      </c>
    </row>
    <row r="98" spans="1:43" x14ac:dyDescent="0.5">
      <c r="A98" s="69" t="s">
        <v>586</v>
      </c>
      <c r="B98" s="70" t="s">
        <v>251</v>
      </c>
      <c r="C98" s="70" t="s">
        <v>40</v>
      </c>
      <c r="D98" s="86">
        <v>46040</v>
      </c>
      <c r="E98" s="70" t="s">
        <v>588</v>
      </c>
      <c r="F98" s="70" t="s">
        <v>254</v>
      </c>
      <c r="G98" s="70" t="s">
        <v>28</v>
      </c>
      <c r="H98" s="70" t="s">
        <v>589</v>
      </c>
      <c r="I98" s="70" t="s">
        <v>138</v>
      </c>
      <c r="J98" s="70" t="s">
        <v>106</v>
      </c>
      <c r="K98" s="70" t="s">
        <v>46</v>
      </c>
      <c r="L98" s="70" t="s">
        <v>47</v>
      </c>
      <c r="M98" s="70">
        <v>13</v>
      </c>
      <c r="N98" s="70">
        <v>12000</v>
      </c>
      <c r="O98" s="71">
        <v>0.15</v>
      </c>
      <c r="P98" s="70">
        <v>132600</v>
      </c>
      <c r="Q98" s="70">
        <v>4</v>
      </c>
      <c r="R98" s="70" t="s">
        <v>34</v>
      </c>
      <c r="S98" s="70" t="s">
        <v>49</v>
      </c>
      <c r="T98" s="70" t="s">
        <v>256</v>
      </c>
      <c r="U98" s="70">
        <v>9755082957</v>
      </c>
      <c r="V98" s="70" t="s">
        <v>38</v>
      </c>
      <c r="AQ98" s="86">
        <v>46040</v>
      </c>
    </row>
    <row r="99" spans="1:43" x14ac:dyDescent="0.5">
      <c r="A99" s="72" t="s">
        <v>591</v>
      </c>
      <c r="B99" s="73" t="s">
        <v>327</v>
      </c>
      <c r="C99" s="73" t="s">
        <v>222</v>
      </c>
      <c r="D99" s="87">
        <v>46095</v>
      </c>
      <c r="E99" s="73" t="s">
        <v>398</v>
      </c>
      <c r="F99" s="70" t="s">
        <v>394</v>
      </c>
      <c r="G99" s="73" t="s">
        <v>76</v>
      </c>
      <c r="H99" s="73" t="s">
        <v>593</v>
      </c>
      <c r="I99" s="73" t="s">
        <v>114</v>
      </c>
      <c r="J99" s="73" t="s">
        <v>106</v>
      </c>
      <c r="K99" s="73" t="s">
        <v>122</v>
      </c>
      <c r="L99" s="73" t="s">
        <v>227</v>
      </c>
      <c r="M99" s="73">
        <v>7</v>
      </c>
      <c r="N99" s="73">
        <v>20</v>
      </c>
      <c r="O99" s="71">
        <v>0</v>
      </c>
      <c r="P99" s="73">
        <v>140</v>
      </c>
      <c r="Q99" s="73">
        <v>1</v>
      </c>
      <c r="R99" s="73" t="s">
        <v>79</v>
      </c>
      <c r="S99" s="73" t="s">
        <v>151</v>
      </c>
      <c r="T99" s="70" t="s">
        <v>332</v>
      </c>
      <c r="U99" s="73">
        <v>9872235856</v>
      </c>
      <c r="V99" s="73" t="s">
        <v>69</v>
      </c>
      <c r="AQ99" s="87">
        <v>46095</v>
      </c>
    </row>
    <row r="100" spans="1:43" x14ac:dyDescent="0.5">
      <c r="A100" s="69" t="s">
        <v>595</v>
      </c>
      <c r="B100" s="70" t="s">
        <v>168</v>
      </c>
      <c r="C100" s="70" t="s">
        <v>184</v>
      </c>
      <c r="D100" s="86">
        <v>45786</v>
      </c>
      <c r="E100" s="70" t="s">
        <v>597</v>
      </c>
      <c r="F100" s="70" t="s">
        <v>361</v>
      </c>
      <c r="G100" s="70" t="s">
        <v>28</v>
      </c>
      <c r="H100" s="70" t="s">
        <v>598</v>
      </c>
      <c r="I100" s="70" t="s">
        <v>44</v>
      </c>
      <c r="J100" s="70" t="s">
        <v>45</v>
      </c>
      <c r="K100" s="70" t="s">
        <v>46</v>
      </c>
      <c r="L100" s="70" t="s">
        <v>189</v>
      </c>
      <c r="M100" s="70">
        <v>5</v>
      </c>
      <c r="N100" s="70">
        <v>700</v>
      </c>
      <c r="O100" s="71">
        <v>0.15</v>
      </c>
      <c r="P100" s="70">
        <v>999999</v>
      </c>
      <c r="Q100" s="70">
        <v>4</v>
      </c>
      <c r="R100" s="70" t="s">
        <v>79</v>
      </c>
      <c r="S100" s="70" t="s">
        <v>35</v>
      </c>
      <c r="T100" s="70" t="s">
        <v>175</v>
      </c>
      <c r="U100" s="70">
        <v>9335138816</v>
      </c>
      <c r="V100" s="70" t="s">
        <v>64</v>
      </c>
      <c r="AQ100" s="86">
        <v>45905</v>
      </c>
    </row>
    <row r="101" spans="1:43" x14ac:dyDescent="0.5">
      <c r="A101" s="72" t="s">
        <v>600</v>
      </c>
      <c r="B101" s="73" t="s">
        <v>83</v>
      </c>
      <c r="C101" s="73" t="s">
        <v>259</v>
      </c>
      <c r="D101" s="87">
        <v>46149</v>
      </c>
      <c r="E101" s="73" t="s">
        <v>601</v>
      </c>
      <c r="F101" s="70" t="s">
        <v>180</v>
      </c>
      <c r="G101" s="73" t="s">
        <v>76</v>
      </c>
      <c r="H101" s="73" t="s">
        <v>602</v>
      </c>
      <c r="I101" s="73" t="s">
        <v>59</v>
      </c>
      <c r="J101" s="73" t="s">
        <v>31</v>
      </c>
      <c r="K101" s="73" t="s">
        <v>122</v>
      </c>
      <c r="L101" s="73" t="s">
        <v>263</v>
      </c>
      <c r="M101" s="73">
        <v>9</v>
      </c>
      <c r="N101" s="73">
        <v>45</v>
      </c>
      <c r="O101" s="71">
        <v>0.05</v>
      </c>
      <c r="P101" s="73">
        <v>384.75</v>
      </c>
      <c r="Q101" s="73">
        <v>3</v>
      </c>
      <c r="R101" s="73" t="s">
        <v>34</v>
      </c>
      <c r="S101" s="73" t="s">
        <v>35</v>
      </c>
      <c r="T101" s="70" t="s">
        <v>89</v>
      </c>
      <c r="U101" s="73">
        <v>9750365609</v>
      </c>
      <c r="V101" s="73" t="s">
        <v>38</v>
      </c>
      <c r="AQ101" s="87">
        <v>46208</v>
      </c>
    </row>
    <row r="102" spans="1:43" x14ac:dyDescent="0.5">
      <c r="A102" s="69" t="s">
        <v>604</v>
      </c>
      <c r="B102" s="70" t="s">
        <v>127</v>
      </c>
      <c r="C102" s="70" t="s">
        <v>118</v>
      </c>
      <c r="D102" s="86">
        <v>45768</v>
      </c>
      <c r="E102" s="70" t="s">
        <v>606</v>
      </c>
      <c r="F102" s="70" t="s">
        <v>200</v>
      </c>
      <c r="G102" s="70" t="s">
        <v>76</v>
      </c>
      <c r="H102" s="70" t="s">
        <v>607</v>
      </c>
      <c r="I102" s="70" t="s">
        <v>294</v>
      </c>
      <c r="J102" s="70" t="s">
        <v>295</v>
      </c>
      <c r="K102" s="70" t="s">
        <v>122</v>
      </c>
      <c r="L102" s="70" t="s">
        <v>123</v>
      </c>
      <c r="M102" s="70">
        <v>19</v>
      </c>
      <c r="N102" s="70">
        <v>60</v>
      </c>
      <c r="O102" s="71">
        <v>0.1</v>
      </c>
      <c r="P102" s="70">
        <v>1026</v>
      </c>
      <c r="Q102" s="70">
        <v>5</v>
      </c>
      <c r="R102" s="70" t="s">
        <v>48</v>
      </c>
      <c r="S102" s="70" t="s">
        <v>115</v>
      </c>
      <c r="T102" s="70" t="s">
        <v>132</v>
      </c>
      <c r="U102" s="70">
        <v>9736812737</v>
      </c>
      <c r="V102" s="70" t="s">
        <v>38</v>
      </c>
      <c r="AQ102" s="86">
        <v>45768</v>
      </c>
    </row>
    <row r="103" spans="1:43" x14ac:dyDescent="0.5">
      <c r="A103" s="72" t="s">
        <v>609</v>
      </c>
      <c r="B103" s="73" t="s">
        <v>327</v>
      </c>
      <c r="C103" s="73" t="s">
        <v>184</v>
      </c>
      <c r="D103" s="87">
        <v>46002</v>
      </c>
      <c r="E103" s="73" t="s">
        <v>611</v>
      </c>
      <c r="F103" s="70" t="s">
        <v>394</v>
      </c>
      <c r="G103" s="73" t="s">
        <v>76</v>
      </c>
      <c r="H103" s="73" t="s">
        <v>612</v>
      </c>
      <c r="I103" s="73" t="s">
        <v>138</v>
      </c>
      <c r="J103" s="73" t="s">
        <v>106</v>
      </c>
      <c r="K103" s="73" t="s">
        <v>46</v>
      </c>
      <c r="L103" s="73" t="s">
        <v>189</v>
      </c>
      <c r="M103" s="73">
        <v>4</v>
      </c>
      <c r="N103" s="73">
        <v>700</v>
      </c>
      <c r="O103" s="71">
        <v>0.05</v>
      </c>
      <c r="P103" s="73">
        <v>2660</v>
      </c>
      <c r="Q103" s="73">
        <v>3</v>
      </c>
      <c r="R103" s="73" t="s">
        <v>48</v>
      </c>
      <c r="S103" s="73" t="s">
        <v>61</v>
      </c>
      <c r="T103" s="70" t="s">
        <v>332</v>
      </c>
      <c r="U103" s="73">
        <v>9271420931</v>
      </c>
      <c r="V103" s="73" t="s">
        <v>38</v>
      </c>
      <c r="AQ103" s="87">
        <v>45973</v>
      </c>
    </row>
    <row r="104" spans="1:43" x14ac:dyDescent="0.5">
      <c r="A104" s="69" t="s">
        <v>614</v>
      </c>
      <c r="B104" s="70" t="s">
        <v>327</v>
      </c>
      <c r="C104" s="70" t="s">
        <v>92</v>
      </c>
      <c r="D104" s="86">
        <v>46149</v>
      </c>
      <c r="E104" s="70" t="s">
        <v>615</v>
      </c>
      <c r="F104" s="70" t="s">
        <v>394</v>
      </c>
      <c r="G104" s="70" t="s">
        <v>76</v>
      </c>
      <c r="H104" s="70" t="s">
        <v>616</v>
      </c>
      <c r="I104" s="70" t="s">
        <v>114</v>
      </c>
      <c r="J104" s="70" t="s">
        <v>106</v>
      </c>
      <c r="K104" s="70" t="s">
        <v>32</v>
      </c>
      <c r="L104" s="70" t="s">
        <v>97</v>
      </c>
      <c r="M104" s="70">
        <v>16</v>
      </c>
      <c r="N104" s="70">
        <v>3500</v>
      </c>
      <c r="O104" s="71">
        <v>0</v>
      </c>
      <c r="P104" s="70">
        <v>56000</v>
      </c>
      <c r="Q104" s="70">
        <v>2</v>
      </c>
      <c r="R104" s="70" t="s">
        <v>79</v>
      </c>
      <c r="S104" s="70" t="s">
        <v>49</v>
      </c>
      <c r="T104" s="70" t="s">
        <v>332</v>
      </c>
      <c r="U104" s="70">
        <v>9781411370</v>
      </c>
      <c r="V104" s="70" t="s">
        <v>38</v>
      </c>
      <c r="AQ104" s="86">
        <v>46208</v>
      </c>
    </row>
    <row r="105" spans="1:43" x14ac:dyDescent="0.5">
      <c r="A105" s="72" t="s">
        <v>618</v>
      </c>
      <c r="B105" s="73" t="s">
        <v>251</v>
      </c>
      <c r="C105" s="73" t="s">
        <v>259</v>
      </c>
      <c r="D105" s="87">
        <v>45670</v>
      </c>
      <c r="E105" s="73" t="s">
        <v>620</v>
      </c>
      <c r="F105" s="70" t="s">
        <v>254</v>
      </c>
      <c r="G105" s="73" t="s">
        <v>28</v>
      </c>
      <c r="H105" s="73" t="s">
        <v>621</v>
      </c>
      <c r="I105" s="73" t="s">
        <v>59</v>
      </c>
      <c r="J105" s="73" t="s">
        <v>31</v>
      </c>
      <c r="K105" s="73" t="s">
        <v>122</v>
      </c>
      <c r="L105" s="73" t="s">
        <v>263</v>
      </c>
      <c r="M105" s="73">
        <v>5</v>
      </c>
      <c r="N105" s="73">
        <v>45</v>
      </c>
      <c r="O105" s="71">
        <v>0.2</v>
      </c>
      <c r="P105" s="73">
        <v>180</v>
      </c>
      <c r="Q105" s="73">
        <v>3</v>
      </c>
      <c r="R105" s="73" t="s">
        <v>79</v>
      </c>
      <c r="S105" s="73" t="s">
        <v>35</v>
      </c>
      <c r="T105" s="70" t="s">
        <v>256</v>
      </c>
      <c r="U105" s="73">
        <v>9584152818</v>
      </c>
      <c r="V105" s="73" t="s">
        <v>38</v>
      </c>
      <c r="AQ105" s="87">
        <v>45670</v>
      </c>
    </row>
    <row r="106" spans="1:43" x14ac:dyDescent="0.5">
      <c r="A106" s="69" t="s">
        <v>623</v>
      </c>
      <c r="B106" s="70" t="s">
        <v>83</v>
      </c>
      <c r="C106" s="70" t="s">
        <v>222</v>
      </c>
      <c r="D106" s="86">
        <v>45733</v>
      </c>
      <c r="E106" s="70" t="s">
        <v>525</v>
      </c>
      <c r="F106" s="70" t="s">
        <v>180</v>
      </c>
      <c r="G106" s="70" t="s">
        <v>76</v>
      </c>
      <c r="H106" s="70" t="s">
        <v>625</v>
      </c>
      <c r="I106" s="70" t="s">
        <v>105</v>
      </c>
      <c r="J106" s="70" t="s">
        <v>106</v>
      </c>
      <c r="K106" s="70" t="s">
        <v>122</v>
      </c>
      <c r="L106" s="70" t="s">
        <v>227</v>
      </c>
      <c r="M106" s="70">
        <v>9</v>
      </c>
      <c r="N106" s="70">
        <v>20</v>
      </c>
      <c r="O106" s="71">
        <v>0.1</v>
      </c>
      <c r="P106" s="70">
        <v>162</v>
      </c>
      <c r="Q106" s="70">
        <v>4</v>
      </c>
      <c r="R106" s="70" t="s">
        <v>79</v>
      </c>
      <c r="S106" s="70" t="s">
        <v>35</v>
      </c>
      <c r="T106" s="70" t="s">
        <v>89</v>
      </c>
      <c r="U106" s="70">
        <v>9507986836</v>
      </c>
      <c r="V106" s="70" t="s">
        <v>64</v>
      </c>
      <c r="AQ106" s="86">
        <v>45733</v>
      </c>
    </row>
    <row r="107" spans="1:43" x14ac:dyDescent="0.5">
      <c r="A107" s="72" t="s">
        <v>627</v>
      </c>
      <c r="B107" s="73" t="s">
        <v>53</v>
      </c>
      <c r="C107" s="73" t="s">
        <v>72</v>
      </c>
      <c r="D107" s="87">
        <v>45713</v>
      </c>
      <c r="E107" s="73" t="s">
        <v>431</v>
      </c>
      <c r="F107" s="70" t="s">
        <v>163</v>
      </c>
      <c r="G107" s="73" t="s">
        <v>28</v>
      </c>
      <c r="H107" s="73" t="s">
        <v>629</v>
      </c>
      <c r="I107" s="73" t="s">
        <v>44</v>
      </c>
      <c r="J107" s="73" t="s">
        <v>45</v>
      </c>
      <c r="K107" s="73" t="s">
        <v>46</v>
      </c>
      <c r="L107" s="73" t="s">
        <v>78</v>
      </c>
      <c r="M107" s="73">
        <v>9</v>
      </c>
      <c r="N107" s="73">
        <v>1200</v>
      </c>
      <c r="O107" s="71">
        <v>0.05</v>
      </c>
      <c r="P107" s="73">
        <v>10260</v>
      </c>
      <c r="Q107" s="73">
        <v>3</v>
      </c>
      <c r="R107" s="73" t="s">
        <v>88</v>
      </c>
      <c r="S107" s="73" t="s">
        <v>35</v>
      </c>
      <c r="T107" s="70" t="s">
        <v>62</v>
      </c>
      <c r="U107" s="73">
        <v>9518249687</v>
      </c>
      <c r="V107" s="73" t="s">
        <v>64</v>
      </c>
      <c r="AQ107" s="87">
        <v>45713</v>
      </c>
    </row>
    <row r="108" spans="1:43" x14ac:dyDescent="0.5">
      <c r="A108" s="69" t="s">
        <v>631</v>
      </c>
      <c r="B108" s="70" t="s">
        <v>100</v>
      </c>
      <c r="C108" s="70" t="s">
        <v>92</v>
      </c>
      <c r="D108" s="86">
        <v>45714</v>
      </c>
      <c r="E108" s="70" t="s">
        <v>632</v>
      </c>
      <c r="F108" s="70" t="s">
        <v>103</v>
      </c>
      <c r="G108" s="70" t="s">
        <v>28</v>
      </c>
      <c r="H108" s="70" t="s">
        <v>633</v>
      </c>
      <c r="I108" s="70" t="s">
        <v>44</v>
      </c>
      <c r="J108" s="70" t="s">
        <v>45</v>
      </c>
      <c r="K108" s="70" t="s">
        <v>32</v>
      </c>
      <c r="L108" s="70" t="s">
        <v>97</v>
      </c>
      <c r="M108" s="70">
        <v>3</v>
      </c>
      <c r="N108" s="70">
        <v>3500</v>
      </c>
      <c r="O108" s="71">
        <v>0.1</v>
      </c>
      <c r="P108" s="70">
        <v>9450</v>
      </c>
      <c r="Q108" s="70">
        <v>2</v>
      </c>
      <c r="R108" s="70" t="s">
        <v>79</v>
      </c>
      <c r="S108" s="70" t="s">
        <v>151</v>
      </c>
      <c r="T108" s="70" t="s">
        <v>144</v>
      </c>
      <c r="U108" s="70">
        <v>9179328207</v>
      </c>
      <c r="V108" s="70" t="s">
        <v>69</v>
      </c>
      <c r="AQ108" s="86">
        <v>45714</v>
      </c>
    </row>
    <row r="109" spans="1:43" x14ac:dyDescent="0.5">
      <c r="A109" s="72" t="s">
        <v>635</v>
      </c>
      <c r="B109" s="73" t="s">
        <v>221</v>
      </c>
      <c r="C109" s="73" t="s">
        <v>72</v>
      </c>
      <c r="D109" s="87">
        <v>46094</v>
      </c>
      <c r="E109" s="73" t="s">
        <v>636</v>
      </c>
      <c r="F109" s="70" t="s">
        <v>225</v>
      </c>
      <c r="G109" s="73" t="s">
        <v>76</v>
      </c>
      <c r="H109" s="73" t="s">
        <v>637</v>
      </c>
      <c r="I109" s="73" t="s">
        <v>105</v>
      </c>
      <c r="J109" s="73" t="s">
        <v>106</v>
      </c>
      <c r="K109" s="73" t="s">
        <v>46</v>
      </c>
      <c r="L109" s="73" t="s">
        <v>78</v>
      </c>
      <c r="M109" s="73">
        <v>6</v>
      </c>
      <c r="N109" s="73">
        <v>1200</v>
      </c>
      <c r="O109" s="71">
        <v>0.15</v>
      </c>
      <c r="P109" s="73">
        <v>6120</v>
      </c>
      <c r="Q109" s="73">
        <v>4</v>
      </c>
      <c r="R109" s="73" t="s">
        <v>88</v>
      </c>
      <c r="S109" s="73" t="s">
        <v>35</v>
      </c>
      <c r="T109" s="70" t="s">
        <v>228</v>
      </c>
      <c r="U109" s="73">
        <v>9778490728</v>
      </c>
      <c r="V109" s="73" t="s">
        <v>69</v>
      </c>
      <c r="AQ109" s="87">
        <v>46094</v>
      </c>
    </row>
    <row r="110" spans="1:43" x14ac:dyDescent="0.5">
      <c r="A110" s="69" t="s">
        <v>639</v>
      </c>
      <c r="B110" s="70" t="s">
        <v>83</v>
      </c>
      <c r="C110" s="70" t="s">
        <v>72</v>
      </c>
      <c r="D110" s="86">
        <v>45848</v>
      </c>
      <c r="E110" s="70" t="s">
        <v>641</v>
      </c>
      <c r="F110" s="70" t="s">
        <v>180</v>
      </c>
      <c r="G110" s="70" t="s">
        <v>76</v>
      </c>
      <c r="H110" s="70" t="s">
        <v>642</v>
      </c>
      <c r="I110" s="70" t="s">
        <v>212</v>
      </c>
      <c r="J110" s="70" t="s">
        <v>45</v>
      </c>
      <c r="K110" s="70" t="s">
        <v>46</v>
      </c>
      <c r="L110" s="70" t="s">
        <v>78</v>
      </c>
      <c r="M110" s="70">
        <v>17</v>
      </c>
      <c r="N110" s="70">
        <v>1200</v>
      </c>
      <c r="O110" s="71">
        <v>0.15</v>
      </c>
      <c r="P110" s="70">
        <v>17340</v>
      </c>
      <c r="Q110" s="70">
        <v>1</v>
      </c>
      <c r="R110" s="70" t="s">
        <v>34</v>
      </c>
      <c r="S110" s="70" t="s">
        <v>61</v>
      </c>
      <c r="T110" s="70" t="s">
        <v>89</v>
      </c>
      <c r="U110" s="70">
        <v>9223058722</v>
      </c>
      <c r="V110" s="70" t="s">
        <v>38</v>
      </c>
      <c r="AQ110" s="86">
        <v>45937</v>
      </c>
    </row>
    <row r="111" spans="1:43" x14ac:dyDescent="0.5">
      <c r="A111" s="72" t="s">
        <v>644</v>
      </c>
      <c r="B111" s="73" t="s">
        <v>221</v>
      </c>
      <c r="C111" s="73" t="s">
        <v>169</v>
      </c>
      <c r="D111" s="87">
        <v>45979</v>
      </c>
      <c r="E111" s="73" t="s">
        <v>287</v>
      </c>
      <c r="F111" s="70" t="s">
        <v>225</v>
      </c>
      <c r="G111" s="73" t="s">
        <v>76</v>
      </c>
      <c r="H111" s="73" t="s">
        <v>646</v>
      </c>
      <c r="I111" s="73" t="s">
        <v>59</v>
      </c>
      <c r="J111" s="73" t="s">
        <v>31</v>
      </c>
      <c r="K111" s="73" t="s">
        <v>32</v>
      </c>
      <c r="L111" s="73" t="s">
        <v>174</v>
      </c>
      <c r="M111" s="73">
        <v>15</v>
      </c>
      <c r="N111" s="73">
        <v>8500</v>
      </c>
      <c r="O111" s="71">
        <v>0</v>
      </c>
      <c r="P111" s="73">
        <v>127500</v>
      </c>
      <c r="Q111" s="73">
        <v>3</v>
      </c>
      <c r="R111" s="73" t="s">
        <v>34</v>
      </c>
      <c r="S111" s="73" t="s">
        <v>115</v>
      </c>
      <c r="T111" s="70" t="s">
        <v>228</v>
      </c>
      <c r="U111" s="73">
        <v>9999889465</v>
      </c>
      <c r="V111" s="73" t="s">
        <v>64</v>
      </c>
      <c r="AQ111" s="87">
        <v>45979</v>
      </c>
    </row>
    <row r="112" spans="1:43" x14ac:dyDescent="0.5">
      <c r="A112" s="69" t="s">
        <v>648</v>
      </c>
      <c r="B112" s="70" t="s">
        <v>127</v>
      </c>
      <c r="C112" s="70" t="s">
        <v>72</v>
      </c>
      <c r="D112" s="86">
        <v>45760</v>
      </c>
      <c r="E112" s="70" t="s">
        <v>102</v>
      </c>
      <c r="F112" s="70" t="s">
        <v>200</v>
      </c>
      <c r="G112" s="70" t="s">
        <v>76</v>
      </c>
      <c r="H112" s="70" t="s">
        <v>649</v>
      </c>
      <c r="I112" s="70" t="s">
        <v>30</v>
      </c>
      <c r="J112" s="70" t="s">
        <v>31</v>
      </c>
      <c r="K112" s="70" t="s">
        <v>46</v>
      </c>
      <c r="L112" s="70" t="s">
        <v>78</v>
      </c>
      <c r="M112" s="70">
        <v>1</v>
      </c>
      <c r="N112" s="70">
        <v>1200</v>
      </c>
      <c r="O112" s="71">
        <v>0.2</v>
      </c>
      <c r="P112" s="70">
        <v>960</v>
      </c>
      <c r="Q112" s="70">
        <v>1</v>
      </c>
      <c r="R112" s="70" t="s">
        <v>88</v>
      </c>
      <c r="S112" s="70" t="s">
        <v>115</v>
      </c>
      <c r="T112" s="70" t="s">
        <v>132</v>
      </c>
      <c r="U112" s="70">
        <v>9489687402</v>
      </c>
      <c r="V112" s="70" t="s">
        <v>64</v>
      </c>
      <c r="AQ112" s="86">
        <v>45760</v>
      </c>
    </row>
    <row r="113" spans="1:43" x14ac:dyDescent="0.5">
      <c r="A113" s="72" t="s">
        <v>651</v>
      </c>
      <c r="B113" s="73" t="s">
        <v>127</v>
      </c>
      <c r="C113" s="73" t="s">
        <v>169</v>
      </c>
      <c r="D113" s="87">
        <v>45756</v>
      </c>
      <c r="E113" s="73" t="s">
        <v>539</v>
      </c>
      <c r="F113" s="70" t="s">
        <v>200</v>
      </c>
      <c r="G113" s="73" t="s">
        <v>76</v>
      </c>
      <c r="H113" s="73" t="s">
        <v>653</v>
      </c>
      <c r="I113" s="73" t="s">
        <v>294</v>
      </c>
      <c r="J113" s="73" t="s">
        <v>295</v>
      </c>
      <c r="K113" s="73" t="s">
        <v>32</v>
      </c>
      <c r="L113" s="73" t="s">
        <v>174</v>
      </c>
      <c r="M113" s="73">
        <v>5</v>
      </c>
      <c r="N113" s="73">
        <v>8500</v>
      </c>
      <c r="O113" s="71">
        <v>0.1</v>
      </c>
      <c r="P113" s="73">
        <v>38250</v>
      </c>
      <c r="Q113" s="73">
        <v>1</v>
      </c>
      <c r="R113" s="73" t="s">
        <v>79</v>
      </c>
      <c r="S113" s="73" t="s">
        <v>61</v>
      </c>
      <c r="T113" s="70" t="s">
        <v>132</v>
      </c>
      <c r="U113" s="73">
        <v>9236963301</v>
      </c>
      <c r="V113" s="73" t="s">
        <v>38</v>
      </c>
      <c r="AQ113" s="87">
        <v>45904</v>
      </c>
    </row>
    <row r="114" spans="1:43" x14ac:dyDescent="0.5">
      <c r="A114" s="69" t="s">
        <v>655</v>
      </c>
      <c r="B114" s="70" t="s">
        <v>53</v>
      </c>
      <c r="C114" s="70" t="s">
        <v>259</v>
      </c>
      <c r="D114" s="86">
        <v>46115</v>
      </c>
      <c r="E114" s="70" t="s">
        <v>657</v>
      </c>
      <c r="F114" s="70" t="s">
        <v>163</v>
      </c>
      <c r="G114" s="70" t="s">
        <v>28</v>
      </c>
      <c r="H114" s="70" t="s">
        <v>658</v>
      </c>
      <c r="I114" s="70" t="s">
        <v>30</v>
      </c>
      <c r="J114" s="70" t="s">
        <v>31</v>
      </c>
      <c r="K114" s="70" t="s">
        <v>122</v>
      </c>
      <c r="L114" s="70" t="s">
        <v>263</v>
      </c>
      <c r="M114" s="70">
        <v>12</v>
      </c>
      <c r="N114" s="70">
        <v>45</v>
      </c>
      <c r="O114" s="71">
        <v>0.05</v>
      </c>
      <c r="P114" s="70">
        <v>513</v>
      </c>
      <c r="Q114" s="70">
        <v>2</v>
      </c>
      <c r="R114" s="70" t="s">
        <v>48</v>
      </c>
      <c r="S114" s="70" t="s">
        <v>35</v>
      </c>
      <c r="T114" s="70" t="s">
        <v>62</v>
      </c>
      <c r="U114" s="70">
        <v>9653594592</v>
      </c>
      <c r="V114" s="70" t="s">
        <v>69</v>
      </c>
      <c r="AQ114" s="86">
        <v>46085</v>
      </c>
    </row>
    <row r="115" spans="1:43" x14ac:dyDescent="0.5">
      <c r="A115" s="72" t="s">
        <v>660</v>
      </c>
      <c r="B115" s="73" t="s">
        <v>221</v>
      </c>
      <c r="C115" s="73" t="s">
        <v>118</v>
      </c>
      <c r="D115" s="87">
        <v>45953</v>
      </c>
      <c r="E115" s="73" t="s">
        <v>661</v>
      </c>
      <c r="F115" s="70" t="s">
        <v>225</v>
      </c>
      <c r="G115" s="73" t="s">
        <v>76</v>
      </c>
      <c r="H115" s="73" t="s">
        <v>662</v>
      </c>
      <c r="I115" s="73" t="s">
        <v>114</v>
      </c>
      <c r="J115" s="73" t="s">
        <v>106</v>
      </c>
      <c r="K115" s="73" t="s">
        <v>122</v>
      </c>
      <c r="L115" s="73" t="s">
        <v>123</v>
      </c>
      <c r="M115" s="73">
        <v>5</v>
      </c>
      <c r="N115" s="73">
        <v>60</v>
      </c>
      <c r="O115" s="71">
        <v>0.05</v>
      </c>
      <c r="P115" s="73">
        <v>285</v>
      </c>
      <c r="Q115" s="73">
        <v>2</v>
      </c>
      <c r="R115" s="73" t="s">
        <v>34</v>
      </c>
      <c r="S115" s="73" t="s">
        <v>61</v>
      </c>
      <c r="T115" s="70" t="s">
        <v>228</v>
      </c>
      <c r="U115" s="73">
        <v>9781970426</v>
      </c>
      <c r="V115" s="73" t="s">
        <v>38</v>
      </c>
      <c r="AQ115" s="87">
        <v>45953</v>
      </c>
    </row>
    <row r="116" spans="1:43" x14ac:dyDescent="0.5">
      <c r="A116" s="69" t="s">
        <v>664</v>
      </c>
      <c r="B116" s="70" t="s">
        <v>53</v>
      </c>
      <c r="C116" s="70" t="s">
        <v>184</v>
      </c>
      <c r="D116" s="86">
        <v>45750</v>
      </c>
      <c r="E116" s="70" t="s">
        <v>666</v>
      </c>
      <c r="F116" s="70" t="s">
        <v>163</v>
      </c>
      <c r="G116" s="70" t="s">
        <v>28</v>
      </c>
      <c r="H116" s="70" t="s">
        <v>667</v>
      </c>
      <c r="I116" s="70" t="s">
        <v>294</v>
      </c>
      <c r="J116" s="70" t="s">
        <v>295</v>
      </c>
      <c r="K116" s="70" t="s">
        <v>46</v>
      </c>
      <c r="L116" s="70" t="s">
        <v>189</v>
      </c>
      <c r="M116" s="70">
        <v>3</v>
      </c>
      <c r="N116" s="70">
        <v>700</v>
      </c>
      <c r="O116" s="71">
        <v>0</v>
      </c>
      <c r="P116" s="70">
        <v>2100</v>
      </c>
      <c r="Q116" s="70">
        <v>4</v>
      </c>
      <c r="R116" s="70" t="s">
        <v>79</v>
      </c>
      <c r="S116" s="70" t="s">
        <v>61</v>
      </c>
      <c r="T116" s="70" t="s">
        <v>62</v>
      </c>
      <c r="U116" s="70">
        <v>9862165194</v>
      </c>
      <c r="V116" s="70" t="s">
        <v>38</v>
      </c>
      <c r="AQ116" s="86">
        <v>45720</v>
      </c>
    </row>
    <row r="117" spans="1:43" x14ac:dyDescent="0.5">
      <c r="A117" s="72" t="s">
        <v>669</v>
      </c>
      <c r="B117" s="73" t="s">
        <v>168</v>
      </c>
      <c r="C117" s="73" t="s">
        <v>222</v>
      </c>
      <c r="D117" s="87">
        <v>45772</v>
      </c>
      <c r="E117" s="73" t="s">
        <v>606</v>
      </c>
      <c r="F117" s="70" t="s">
        <v>361</v>
      </c>
      <c r="G117" s="73" t="s">
        <v>28</v>
      </c>
      <c r="H117" s="73" t="s">
        <v>670</v>
      </c>
      <c r="I117" s="73" t="s">
        <v>44</v>
      </c>
      <c r="J117" s="73" t="s">
        <v>45</v>
      </c>
      <c r="K117" s="73" t="s">
        <v>122</v>
      </c>
      <c r="L117" s="73" t="s">
        <v>227</v>
      </c>
      <c r="M117" s="73">
        <v>6</v>
      </c>
      <c r="N117" s="73">
        <v>20</v>
      </c>
      <c r="O117" s="71">
        <v>0.15</v>
      </c>
      <c r="P117" s="73">
        <v>102</v>
      </c>
      <c r="Q117" s="73">
        <v>5</v>
      </c>
      <c r="R117" s="73" t="s">
        <v>79</v>
      </c>
      <c r="S117" s="73" t="s">
        <v>151</v>
      </c>
      <c r="T117" s="70" t="s">
        <v>175</v>
      </c>
      <c r="U117" s="73">
        <v>9661280388</v>
      </c>
      <c r="V117" s="73" t="s">
        <v>38</v>
      </c>
      <c r="AQ117" s="87">
        <v>45772</v>
      </c>
    </row>
    <row r="118" spans="1:43" x14ac:dyDescent="0.5">
      <c r="A118" s="69" t="s">
        <v>672</v>
      </c>
      <c r="B118" s="70" t="s">
        <v>100</v>
      </c>
      <c r="C118" s="70" t="s">
        <v>184</v>
      </c>
      <c r="D118" s="86">
        <v>45893</v>
      </c>
      <c r="E118" s="70" t="s">
        <v>674</v>
      </c>
      <c r="F118" s="70" t="s">
        <v>103</v>
      </c>
      <c r="G118" s="70" t="s">
        <v>28</v>
      </c>
      <c r="H118" s="70" t="s">
        <v>675</v>
      </c>
      <c r="I118" s="70" t="s">
        <v>59</v>
      </c>
      <c r="J118" s="70" t="s">
        <v>31</v>
      </c>
      <c r="K118" s="70" t="s">
        <v>46</v>
      </c>
      <c r="L118" s="70" t="s">
        <v>189</v>
      </c>
      <c r="M118" s="70">
        <v>2</v>
      </c>
      <c r="N118" s="70">
        <v>700</v>
      </c>
      <c r="O118" s="71">
        <v>0.15</v>
      </c>
      <c r="P118" s="70">
        <v>1190</v>
      </c>
      <c r="Q118" s="70">
        <v>4</v>
      </c>
      <c r="R118" s="70" t="s">
        <v>34</v>
      </c>
      <c r="S118" s="70" t="s">
        <v>151</v>
      </c>
      <c r="T118" s="70" t="s">
        <v>144</v>
      </c>
      <c r="U118" s="70">
        <v>9896985355</v>
      </c>
      <c r="V118" s="70" t="s">
        <v>64</v>
      </c>
      <c r="AQ118" s="86">
        <v>45893</v>
      </c>
    </row>
    <row r="119" spans="1:43" x14ac:dyDescent="0.5">
      <c r="A119" s="72" t="s">
        <v>677</v>
      </c>
      <c r="B119" s="73" t="s">
        <v>327</v>
      </c>
      <c r="C119" s="73" t="s">
        <v>259</v>
      </c>
      <c r="D119" s="87">
        <v>45808</v>
      </c>
      <c r="E119" s="73" t="s">
        <v>679</v>
      </c>
      <c r="F119" s="70" t="s">
        <v>394</v>
      </c>
      <c r="G119" s="73" t="s">
        <v>76</v>
      </c>
      <c r="H119" s="73" t="s">
        <v>680</v>
      </c>
      <c r="I119" s="73" t="s">
        <v>114</v>
      </c>
      <c r="J119" s="73" t="s">
        <v>106</v>
      </c>
      <c r="K119" s="73" t="s">
        <v>122</v>
      </c>
      <c r="L119" s="73" t="s">
        <v>263</v>
      </c>
      <c r="M119" s="73">
        <v>16</v>
      </c>
      <c r="N119" s="73">
        <v>45</v>
      </c>
      <c r="O119" s="71">
        <v>0</v>
      </c>
      <c r="P119" s="73">
        <v>720</v>
      </c>
      <c r="Q119" s="73">
        <v>1</v>
      </c>
      <c r="R119" s="73" t="s">
        <v>48</v>
      </c>
      <c r="S119" s="73" t="s">
        <v>61</v>
      </c>
      <c r="T119" s="70" t="s">
        <v>332</v>
      </c>
      <c r="U119" s="73">
        <v>9807154421</v>
      </c>
      <c r="V119" s="73" t="s">
        <v>38</v>
      </c>
      <c r="AQ119" s="87">
        <v>45808</v>
      </c>
    </row>
    <row r="120" spans="1:43" x14ac:dyDescent="0.5">
      <c r="A120" s="69" t="s">
        <v>682</v>
      </c>
      <c r="B120" s="70" t="s">
        <v>71</v>
      </c>
      <c r="C120" s="70" t="s">
        <v>72</v>
      </c>
      <c r="D120" s="86">
        <v>45807</v>
      </c>
      <c r="E120" s="70" t="s">
        <v>684</v>
      </c>
      <c r="F120" s="70" t="s">
        <v>217</v>
      </c>
      <c r="G120" s="70" t="s">
        <v>76</v>
      </c>
      <c r="H120" s="70" t="s">
        <v>685</v>
      </c>
      <c r="I120" s="70" t="s">
        <v>138</v>
      </c>
      <c r="J120" s="70" t="s">
        <v>106</v>
      </c>
      <c r="K120" s="70" t="s">
        <v>46</v>
      </c>
      <c r="L120" s="70" t="s">
        <v>78</v>
      </c>
      <c r="M120" s="70"/>
      <c r="N120" s="70">
        <v>1200</v>
      </c>
      <c r="O120" s="71">
        <v>0.15</v>
      </c>
      <c r="P120" s="70">
        <v>7140</v>
      </c>
      <c r="Q120" s="70">
        <v>4</v>
      </c>
      <c r="R120" s="70" t="s">
        <v>88</v>
      </c>
      <c r="S120" s="70" t="s">
        <v>151</v>
      </c>
      <c r="T120" s="70" t="s">
        <v>80</v>
      </c>
      <c r="U120" s="70">
        <v>9919834000</v>
      </c>
      <c r="V120" s="70" t="s">
        <v>64</v>
      </c>
      <c r="AQ120" s="86">
        <v>45807</v>
      </c>
    </row>
    <row r="121" spans="1:43" x14ac:dyDescent="0.5">
      <c r="A121" s="72" t="s">
        <v>688</v>
      </c>
      <c r="B121" s="73" t="s">
        <v>100</v>
      </c>
      <c r="C121" s="73" t="s">
        <v>40</v>
      </c>
      <c r="D121" s="87">
        <v>45888</v>
      </c>
      <c r="E121" s="73" t="s">
        <v>469</v>
      </c>
      <c r="F121" s="70" t="s">
        <v>103</v>
      </c>
      <c r="G121" s="73" t="s">
        <v>28</v>
      </c>
      <c r="H121" s="73" t="s">
        <v>689</v>
      </c>
      <c r="I121" s="73" t="s">
        <v>212</v>
      </c>
      <c r="J121" s="73" t="s">
        <v>45</v>
      </c>
      <c r="K121" s="73" t="s">
        <v>46</v>
      </c>
      <c r="L121" s="73" t="s">
        <v>47</v>
      </c>
      <c r="M121" s="73">
        <v>14</v>
      </c>
      <c r="N121" s="73">
        <v>12000</v>
      </c>
      <c r="O121" s="71">
        <v>0.15</v>
      </c>
      <c r="P121" s="73">
        <v>142800</v>
      </c>
      <c r="Q121" s="73">
        <v>2</v>
      </c>
      <c r="R121" s="73" t="s">
        <v>48</v>
      </c>
      <c r="S121" s="73" t="s">
        <v>61</v>
      </c>
      <c r="T121" s="70" t="s">
        <v>144</v>
      </c>
      <c r="U121" s="73">
        <v>9739798818</v>
      </c>
      <c r="V121" s="73" t="s">
        <v>64</v>
      </c>
      <c r="AQ121" s="87">
        <v>45888</v>
      </c>
    </row>
    <row r="122" spans="1:43" x14ac:dyDescent="0.5">
      <c r="A122" s="69" t="s">
        <v>691</v>
      </c>
      <c r="B122" s="70" t="s">
        <v>127</v>
      </c>
      <c r="C122" s="70" t="s">
        <v>169</v>
      </c>
      <c r="D122" s="86">
        <v>46005</v>
      </c>
      <c r="E122" s="70" t="s">
        <v>692</v>
      </c>
      <c r="F122" s="70" t="s">
        <v>200</v>
      </c>
      <c r="G122" s="70" t="s">
        <v>76</v>
      </c>
      <c r="H122" s="70" t="s">
        <v>693</v>
      </c>
      <c r="I122" s="70" t="s">
        <v>114</v>
      </c>
      <c r="J122" s="70" t="s">
        <v>106</v>
      </c>
      <c r="K122" s="70" t="s">
        <v>32</v>
      </c>
      <c r="L122" s="70" t="s">
        <v>174</v>
      </c>
      <c r="M122" s="70">
        <v>8</v>
      </c>
      <c r="N122" s="70">
        <v>8500</v>
      </c>
      <c r="O122" s="71">
        <v>0.2</v>
      </c>
      <c r="P122" s="70">
        <v>54400</v>
      </c>
      <c r="Q122" s="70">
        <v>3</v>
      </c>
      <c r="R122" s="70" t="s">
        <v>79</v>
      </c>
      <c r="S122" s="70" t="s">
        <v>49</v>
      </c>
      <c r="T122" s="70" t="s">
        <v>132</v>
      </c>
      <c r="U122" s="70">
        <v>9208625306</v>
      </c>
      <c r="V122" s="70" t="s">
        <v>38</v>
      </c>
      <c r="AQ122" s="86">
        <v>46005</v>
      </c>
    </row>
    <row r="123" spans="1:43" x14ac:dyDescent="0.5">
      <c r="A123" s="72" t="s">
        <v>695</v>
      </c>
      <c r="B123" s="73" t="s">
        <v>83</v>
      </c>
      <c r="C123" s="73" t="s">
        <v>259</v>
      </c>
      <c r="D123" s="87">
        <v>46053</v>
      </c>
      <c r="E123" s="73" t="s">
        <v>313</v>
      </c>
      <c r="F123" s="70" t="s">
        <v>180</v>
      </c>
      <c r="G123" s="73" t="s">
        <v>76</v>
      </c>
      <c r="H123" s="73" t="s">
        <v>696</v>
      </c>
      <c r="I123" s="73" t="s">
        <v>59</v>
      </c>
      <c r="J123" s="73" t="s">
        <v>31</v>
      </c>
      <c r="K123" s="73" t="s">
        <v>122</v>
      </c>
      <c r="L123" s="73" t="s">
        <v>263</v>
      </c>
      <c r="M123" s="73">
        <v>3</v>
      </c>
      <c r="N123" s="73">
        <v>45</v>
      </c>
      <c r="O123" s="71">
        <v>0</v>
      </c>
      <c r="P123" s="73">
        <v>135</v>
      </c>
      <c r="Q123" s="73">
        <v>4</v>
      </c>
      <c r="R123" s="73" t="s">
        <v>88</v>
      </c>
      <c r="S123" s="73" t="s">
        <v>61</v>
      </c>
      <c r="T123" s="70" t="s">
        <v>89</v>
      </c>
      <c r="U123" s="73">
        <v>9970178536</v>
      </c>
      <c r="V123" s="73" t="s">
        <v>69</v>
      </c>
      <c r="AQ123" s="87">
        <v>46053</v>
      </c>
    </row>
    <row r="124" spans="1:43" x14ac:dyDescent="0.5">
      <c r="A124" s="69" t="s">
        <v>698</v>
      </c>
      <c r="B124" s="70" t="s">
        <v>327</v>
      </c>
      <c r="C124" s="70" t="s">
        <v>184</v>
      </c>
      <c r="D124" s="86">
        <v>46025</v>
      </c>
      <c r="E124" s="70" t="s">
        <v>84</v>
      </c>
      <c r="F124" s="70" t="s">
        <v>394</v>
      </c>
      <c r="G124" s="70" t="s">
        <v>76</v>
      </c>
      <c r="H124" s="70" t="s">
        <v>699</v>
      </c>
      <c r="I124" s="70" t="s">
        <v>212</v>
      </c>
      <c r="J124" s="70" t="s">
        <v>45</v>
      </c>
      <c r="K124" s="70" t="s">
        <v>46</v>
      </c>
      <c r="L124" s="70" t="s">
        <v>189</v>
      </c>
      <c r="M124" s="70">
        <v>13</v>
      </c>
      <c r="N124" s="70">
        <v>700</v>
      </c>
      <c r="O124" s="71">
        <v>0.05</v>
      </c>
      <c r="P124" s="70">
        <v>8645</v>
      </c>
      <c r="Q124" s="70">
        <v>3</v>
      </c>
      <c r="R124" s="70" t="s">
        <v>79</v>
      </c>
      <c r="S124" s="70" t="s">
        <v>115</v>
      </c>
      <c r="T124" s="70" t="s">
        <v>332</v>
      </c>
      <c r="U124" s="70">
        <v>9633745195</v>
      </c>
      <c r="V124" s="70" t="s">
        <v>64</v>
      </c>
      <c r="AQ124" s="86">
        <v>46082</v>
      </c>
    </row>
    <row r="125" spans="1:43" x14ac:dyDescent="0.5">
      <c r="A125" s="72" t="s">
        <v>701</v>
      </c>
      <c r="B125" s="73" t="s">
        <v>168</v>
      </c>
      <c r="C125" s="73" t="s">
        <v>72</v>
      </c>
      <c r="D125" s="87">
        <v>45950</v>
      </c>
      <c r="E125" s="73" t="s">
        <v>703</v>
      </c>
      <c r="F125" s="70" t="s">
        <v>361</v>
      </c>
      <c r="G125" s="73" t="s">
        <v>28</v>
      </c>
      <c r="H125" s="73" t="s">
        <v>704</v>
      </c>
      <c r="I125" s="73" t="s">
        <v>105</v>
      </c>
      <c r="J125" s="73" t="s">
        <v>106</v>
      </c>
      <c r="K125" s="73" t="s">
        <v>46</v>
      </c>
      <c r="L125" s="73" t="s">
        <v>78</v>
      </c>
      <c r="M125" s="73">
        <v>14</v>
      </c>
      <c r="N125" s="73">
        <v>1200</v>
      </c>
      <c r="O125" s="71">
        <v>0.2</v>
      </c>
      <c r="P125" s="73">
        <v>13440</v>
      </c>
      <c r="Q125" s="73">
        <v>5</v>
      </c>
      <c r="R125" s="73" t="s">
        <v>48</v>
      </c>
      <c r="S125" s="73" t="s">
        <v>61</v>
      </c>
      <c r="T125" s="70" t="s">
        <v>175</v>
      </c>
      <c r="U125" s="73">
        <v>9922102053</v>
      </c>
      <c r="V125" s="73" t="s">
        <v>38</v>
      </c>
      <c r="AQ125" s="87">
        <v>45950</v>
      </c>
    </row>
    <row r="126" spans="1:43" x14ac:dyDescent="0.5">
      <c r="A126" s="69" t="s">
        <v>706</v>
      </c>
      <c r="B126" s="70" t="s">
        <v>100</v>
      </c>
      <c r="C126" s="70" t="s">
        <v>259</v>
      </c>
      <c r="D126" s="86">
        <v>45788</v>
      </c>
      <c r="E126" s="70" t="s">
        <v>707</v>
      </c>
      <c r="F126" s="70" t="s">
        <v>103</v>
      </c>
      <c r="G126" s="70" t="s">
        <v>28</v>
      </c>
      <c r="H126" s="70" t="s">
        <v>708</v>
      </c>
      <c r="I126" s="70" t="s">
        <v>44</v>
      </c>
      <c r="J126" s="70" t="s">
        <v>45</v>
      </c>
      <c r="K126" s="70" t="s">
        <v>122</v>
      </c>
      <c r="L126" s="70" t="s">
        <v>263</v>
      </c>
      <c r="M126" s="70">
        <v>2</v>
      </c>
      <c r="N126" s="70">
        <v>45</v>
      </c>
      <c r="O126" s="71">
        <v>0.05</v>
      </c>
      <c r="P126" s="70">
        <v>85.5</v>
      </c>
      <c r="Q126" s="70">
        <v>3</v>
      </c>
      <c r="R126" s="70" t="s">
        <v>88</v>
      </c>
      <c r="S126" s="70" t="s">
        <v>35</v>
      </c>
      <c r="T126" s="70" t="s">
        <v>144</v>
      </c>
      <c r="U126" s="70">
        <v>9135963930</v>
      </c>
      <c r="V126" s="70" t="s">
        <v>69</v>
      </c>
      <c r="AQ126" s="86">
        <v>45966</v>
      </c>
    </row>
    <row r="127" spans="1:43" x14ac:dyDescent="0.5">
      <c r="A127" s="72" t="s">
        <v>710</v>
      </c>
      <c r="B127" s="73" t="s">
        <v>168</v>
      </c>
      <c r="C127" s="73" t="s">
        <v>72</v>
      </c>
      <c r="D127" s="87">
        <v>46024</v>
      </c>
      <c r="E127" s="73" t="s">
        <v>712</v>
      </c>
      <c r="F127" s="70" t="s">
        <v>361</v>
      </c>
      <c r="G127" s="73" t="s">
        <v>28</v>
      </c>
      <c r="H127" s="73" t="s">
        <v>713</v>
      </c>
      <c r="I127" s="73" t="s">
        <v>59</v>
      </c>
      <c r="J127" s="73" t="s">
        <v>31</v>
      </c>
      <c r="K127" s="73" t="s">
        <v>46</v>
      </c>
      <c r="L127" s="73" t="s">
        <v>78</v>
      </c>
      <c r="M127" s="73">
        <v>2</v>
      </c>
      <c r="N127" s="73">
        <v>1200</v>
      </c>
      <c r="O127" s="71">
        <v>0.2</v>
      </c>
      <c r="P127" s="73">
        <v>1920</v>
      </c>
      <c r="Q127" s="73">
        <v>3</v>
      </c>
      <c r="R127" s="73" t="s">
        <v>79</v>
      </c>
      <c r="S127" s="73" t="s">
        <v>115</v>
      </c>
      <c r="T127" s="70" t="s">
        <v>175</v>
      </c>
      <c r="U127" s="73">
        <v>9429405275</v>
      </c>
      <c r="V127" s="73" t="s">
        <v>38</v>
      </c>
      <c r="AQ127" s="87">
        <v>46054</v>
      </c>
    </row>
    <row r="128" spans="1:43" x14ac:dyDescent="0.5">
      <c r="A128" s="69" t="s">
        <v>715</v>
      </c>
      <c r="B128" s="70" t="s">
        <v>127</v>
      </c>
      <c r="C128" s="70" t="s">
        <v>54</v>
      </c>
      <c r="D128" s="86">
        <v>46132</v>
      </c>
      <c r="E128" s="70" t="s">
        <v>716</v>
      </c>
      <c r="F128" s="70" t="s">
        <v>200</v>
      </c>
      <c r="G128" s="70" t="s">
        <v>76</v>
      </c>
      <c r="H128" s="70" t="s">
        <v>717</v>
      </c>
      <c r="I128" s="70" t="s">
        <v>59</v>
      </c>
      <c r="J128" s="70" t="s">
        <v>31</v>
      </c>
      <c r="K128" s="70" t="s">
        <v>46</v>
      </c>
      <c r="L128" s="70" t="s">
        <v>60</v>
      </c>
      <c r="M128" s="70">
        <v>10</v>
      </c>
      <c r="N128" s="70">
        <v>55000</v>
      </c>
      <c r="O128" s="71">
        <v>0.05</v>
      </c>
      <c r="P128" s="70">
        <v>522500</v>
      </c>
      <c r="Q128" s="70">
        <v>5</v>
      </c>
      <c r="R128" s="70" t="s">
        <v>88</v>
      </c>
      <c r="S128" s="70" t="s">
        <v>61</v>
      </c>
      <c r="T128" s="70" t="s">
        <v>132</v>
      </c>
      <c r="U128" s="70">
        <v>9521757571</v>
      </c>
      <c r="V128" s="70" t="s">
        <v>64</v>
      </c>
      <c r="AQ128" s="86">
        <v>46132</v>
      </c>
    </row>
    <row r="129" spans="1:43" x14ac:dyDescent="0.5">
      <c r="A129" s="72" t="s">
        <v>719</v>
      </c>
      <c r="B129" s="73" t="s">
        <v>251</v>
      </c>
      <c r="C129" s="73" t="s">
        <v>92</v>
      </c>
      <c r="D129" s="87">
        <v>45873</v>
      </c>
      <c r="E129" s="73" t="s">
        <v>382</v>
      </c>
      <c r="F129" s="70" t="s">
        <v>254</v>
      </c>
      <c r="G129" s="73" t="s">
        <v>28</v>
      </c>
      <c r="H129" s="73" t="s">
        <v>721</v>
      </c>
      <c r="I129" s="73" t="s">
        <v>212</v>
      </c>
      <c r="J129" s="73" t="s">
        <v>45</v>
      </c>
      <c r="K129" s="73" t="s">
        <v>32</v>
      </c>
      <c r="L129" s="73" t="s">
        <v>97</v>
      </c>
      <c r="M129" s="73">
        <v>15</v>
      </c>
      <c r="N129" s="73">
        <v>3500</v>
      </c>
      <c r="O129" s="71">
        <v>0.1</v>
      </c>
      <c r="P129" s="73">
        <v>47250</v>
      </c>
      <c r="Q129" s="73">
        <v>3</v>
      </c>
      <c r="R129" s="73" t="s">
        <v>48</v>
      </c>
      <c r="S129" s="73" t="s">
        <v>115</v>
      </c>
      <c r="T129" s="70" t="s">
        <v>256</v>
      </c>
      <c r="U129" s="73">
        <v>9467375455</v>
      </c>
      <c r="V129" s="73" t="s">
        <v>38</v>
      </c>
      <c r="AQ129" s="87">
        <v>45755</v>
      </c>
    </row>
    <row r="130" spans="1:43" x14ac:dyDescent="0.5">
      <c r="A130" s="69" t="s">
        <v>723</v>
      </c>
      <c r="B130" s="70" t="s">
        <v>100</v>
      </c>
      <c r="C130" s="70" t="s">
        <v>24</v>
      </c>
      <c r="D130" s="86">
        <v>45882</v>
      </c>
      <c r="E130" s="70" t="s">
        <v>724</v>
      </c>
      <c r="F130" s="70" t="s">
        <v>103</v>
      </c>
      <c r="G130" s="70" t="s">
        <v>28</v>
      </c>
      <c r="H130" s="70" t="s">
        <v>725</v>
      </c>
      <c r="I130" s="70" t="s">
        <v>59</v>
      </c>
      <c r="J130" s="70" t="s">
        <v>31</v>
      </c>
      <c r="K130" s="70" t="s">
        <v>32</v>
      </c>
      <c r="L130" s="70" t="s">
        <v>33</v>
      </c>
      <c r="M130" s="70">
        <v>10</v>
      </c>
      <c r="N130" s="70">
        <v>2200</v>
      </c>
      <c r="O130" s="71">
        <v>0.15</v>
      </c>
      <c r="P130" s="70">
        <v>18700</v>
      </c>
      <c r="Q130" s="70">
        <v>4</v>
      </c>
      <c r="R130" s="70" t="s">
        <v>79</v>
      </c>
      <c r="S130" s="70" t="s">
        <v>49</v>
      </c>
      <c r="T130" s="70" t="s">
        <v>144</v>
      </c>
      <c r="U130" s="70">
        <v>9838809695</v>
      </c>
      <c r="V130" s="70" t="s">
        <v>64</v>
      </c>
      <c r="AQ130" s="86">
        <v>45882</v>
      </c>
    </row>
    <row r="131" spans="1:43" x14ac:dyDescent="0.5">
      <c r="A131" s="72" t="s">
        <v>727</v>
      </c>
      <c r="B131" s="73" t="s">
        <v>251</v>
      </c>
      <c r="C131" s="73" t="s">
        <v>92</v>
      </c>
      <c r="D131" s="87">
        <v>45824</v>
      </c>
      <c r="E131" s="73" t="s">
        <v>231</v>
      </c>
      <c r="F131" s="70" t="s">
        <v>254</v>
      </c>
      <c r="G131" s="73" t="s">
        <v>28</v>
      </c>
      <c r="H131" s="73" t="s">
        <v>728</v>
      </c>
      <c r="I131" s="73" t="s">
        <v>114</v>
      </c>
      <c r="J131" s="73" t="s">
        <v>106</v>
      </c>
      <c r="K131" s="73" t="s">
        <v>32</v>
      </c>
      <c r="L131" s="73" t="s">
        <v>97</v>
      </c>
      <c r="M131" s="73">
        <v>11</v>
      </c>
      <c r="N131" s="73">
        <v>3500</v>
      </c>
      <c r="O131" s="71">
        <v>0.05</v>
      </c>
      <c r="P131" s="73">
        <v>36575</v>
      </c>
      <c r="Q131" s="73">
        <v>5</v>
      </c>
      <c r="R131" s="73" t="s">
        <v>34</v>
      </c>
      <c r="S131" s="73" t="s">
        <v>35</v>
      </c>
      <c r="T131" s="70" t="s">
        <v>256</v>
      </c>
      <c r="U131" s="73">
        <v>9296609782</v>
      </c>
      <c r="V131" s="73" t="s">
        <v>69</v>
      </c>
      <c r="AQ131" s="87">
        <v>45824</v>
      </c>
    </row>
    <row r="132" spans="1:43" x14ac:dyDescent="0.5">
      <c r="A132" s="69" t="s">
        <v>730</v>
      </c>
      <c r="B132" s="70" t="s">
        <v>168</v>
      </c>
      <c r="C132" s="70" t="s">
        <v>72</v>
      </c>
      <c r="D132" s="86">
        <v>46139</v>
      </c>
      <c r="E132" s="70" t="s">
        <v>732</v>
      </c>
      <c r="F132" s="70" t="s">
        <v>361</v>
      </c>
      <c r="G132" s="70" t="s">
        <v>28</v>
      </c>
      <c r="H132" s="70" t="s">
        <v>733</v>
      </c>
      <c r="I132" s="70" t="s">
        <v>59</v>
      </c>
      <c r="J132" s="70" t="s">
        <v>31</v>
      </c>
      <c r="K132" s="70" t="s">
        <v>46</v>
      </c>
      <c r="L132" s="70" t="s">
        <v>78</v>
      </c>
      <c r="M132" s="70">
        <v>14</v>
      </c>
      <c r="N132" s="70">
        <v>1200</v>
      </c>
      <c r="O132" s="71">
        <v>0</v>
      </c>
      <c r="P132" s="70">
        <v>16800</v>
      </c>
      <c r="Q132" s="70">
        <v>5</v>
      </c>
      <c r="R132" s="70" t="s">
        <v>34</v>
      </c>
      <c r="S132" s="70" t="s">
        <v>49</v>
      </c>
      <c r="T132" s="70" t="s">
        <v>175</v>
      </c>
      <c r="U132" s="70">
        <v>9848259992</v>
      </c>
      <c r="V132" s="70" t="s">
        <v>69</v>
      </c>
      <c r="AQ132" s="86">
        <v>46139</v>
      </c>
    </row>
    <row r="133" spans="1:43" x14ac:dyDescent="0.5">
      <c r="A133" s="72" t="s">
        <v>735</v>
      </c>
      <c r="B133" s="73" t="s">
        <v>100</v>
      </c>
      <c r="C133" s="73" t="s">
        <v>222</v>
      </c>
      <c r="D133" s="87">
        <v>46070</v>
      </c>
      <c r="E133" s="73" t="s">
        <v>170</v>
      </c>
      <c r="F133" s="70" t="s">
        <v>103</v>
      </c>
      <c r="G133" s="73" t="s">
        <v>28</v>
      </c>
      <c r="H133" s="73" t="s">
        <v>737</v>
      </c>
      <c r="I133" s="73" t="s">
        <v>44</v>
      </c>
      <c r="J133" s="73" t="s">
        <v>45</v>
      </c>
      <c r="K133" s="73" t="s">
        <v>122</v>
      </c>
      <c r="L133" s="73" t="s">
        <v>227</v>
      </c>
      <c r="M133" s="73">
        <v>11</v>
      </c>
      <c r="N133" s="73">
        <v>20</v>
      </c>
      <c r="O133" s="71">
        <v>0.2</v>
      </c>
      <c r="P133" s="73">
        <v>176</v>
      </c>
      <c r="Q133" s="73">
        <v>4</v>
      </c>
      <c r="R133" s="73" t="s">
        <v>48</v>
      </c>
      <c r="S133" s="73" t="s">
        <v>35</v>
      </c>
      <c r="T133" s="70" t="s">
        <v>144</v>
      </c>
      <c r="U133" s="73">
        <v>9254082295</v>
      </c>
      <c r="V133" s="73" t="s">
        <v>38</v>
      </c>
      <c r="AQ133" s="87">
        <v>46070</v>
      </c>
    </row>
    <row r="134" spans="1:43" x14ac:dyDescent="0.5">
      <c r="A134" s="69" t="s">
        <v>739</v>
      </c>
      <c r="B134" s="70" t="s">
        <v>71</v>
      </c>
      <c r="C134" s="70" t="s">
        <v>40</v>
      </c>
      <c r="D134" s="86">
        <v>46116</v>
      </c>
      <c r="E134" s="70" t="s">
        <v>657</v>
      </c>
      <c r="F134" s="70" t="s">
        <v>217</v>
      </c>
      <c r="G134" s="70" t="s">
        <v>76</v>
      </c>
      <c r="H134" s="70" t="s">
        <v>741</v>
      </c>
      <c r="I134" s="70" t="s">
        <v>114</v>
      </c>
      <c r="J134" s="70" t="s">
        <v>106</v>
      </c>
      <c r="K134" s="70" t="s">
        <v>46</v>
      </c>
      <c r="L134" s="70" t="s">
        <v>47</v>
      </c>
      <c r="M134" s="70">
        <v>6</v>
      </c>
      <c r="N134" s="70">
        <v>12000</v>
      </c>
      <c r="O134" s="71">
        <v>0.1</v>
      </c>
      <c r="P134" s="70">
        <v>64800</v>
      </c>
      <c r="Q134" s="70">
        <v>5</v>
      </c>
      <c r="R134" s="70" t="s">
        <v>88</v>
      </c>
      <c r="S134" s="70" t="s">
        <v>151</v>
      </c>
      <c r="T134" s="70" t="s">
        <v>80</v>
      </c>
      <c r="U134" s="70">
        <v>9687923860</v>
      </c>
      <c r="V134" s="70" t="s">
        <v>38</v>
      </c>
      <c r="AQ134" s="86">
        <v>46116</v>
      </c>
    </row>
    <row r="135" spans="1:43" x14ac:dyDescent="0.5">
      <c r="A135" s="72" t="s">
        <v>743</v>
      </c>
      <c r="B135" s="73" t="s">
        <v>71</v>
      </c>
      <c r="C135" s="73" t="s">
        <v>24</v>
      </c>
      <c r="D135" s="87">
        <v>45756</v>
      </c>
      <c r="E135" s="73" t="s">
        <v>539</v>
      </c>
      <c r="F135" s="70" t="s">
        <v>217</v>
      </c>
      <c r="G135" s="73" t="s">
        <v>76</v>
      </c>
      <c r="H135" s="73" t="s">
        <v>744</v>
      </c>
      <c r="I135" s="73" t="s">
        <v>30</v>
      </c>
      <c r="J135" s="73" t="s">
        <v>31</v>
      </c>
      <c r="K135" s="73" t="s">
        <v>32</v>
      </c>
      <c r="L135" s="73" t="s">
        <v>33</v>
      </c>
      <c r="M135" s="73">
        <v>6</v>
      </c>
      <c r="N135" s="73">
        <v>2200</v>
      </c>
      <c r="O135" s="71">
        <v>0.05</v>
      </c>
      <c r="P135" s="73">
        <v>12540</v>
      </c>
      <c r="Q135" s="73">
        <v>4</v>
      </c>
      <c r="R135" s="73" t="s">
        <v>34</v>
      </c>
      <c r="S135" s="73" t="s">
        <v>49</v>
      </c>
      <c r="T135" s="70" t="s">
        <v>80</v>
      </c>
      <c r="U135" s="73">
        <v>9426459149</v>
      </c>
      <c r="V135" s="73" t="s">
        <v>38</v>
      </c>
      <c r="AQ135" s="87">
        <v>45904</v>
      </c>
    </row>
    <row r="136" spans="1:43" x14ac:dyDescent="0.5">
      <c r="A136" s="69" t="s">
        <v>746</v>
      </c>
      <c r="B136" s="70" t="s">
        <v>53</v>
      </c>
      <c r="C136" s="70" t="s">
        <v>92</v>
      </c>
      <c r="D136" s="86">
        <v>45823</v>
      </c>
      <c r="E136" s="70" t="s">
        <v>488</v>
      </c>
      <c r="F136" s="70" t="s">
        <v>163</v>
      </c>
      <c r="G136" s="70" t="s">
        <v>28</v>
      </c>
      <c r="H136" s="70" t="s">
        <v>747</v>
      </c>
      <c r="I136" s="70" t="s">
        <v>44</v>
      </c>
      <c r="J136" s="70" t="s">
        <v>45</v>
      </c>
      <c r="K136" s="70" t="s">
        <v>32</v>
      </c>
      <c r="L136" s="70" t="s">
        <v>97</v>
      </c>
      <c r="M136" s="70">
        <v>3</v>
      </c>
      <c r="N136" s="70">
        <v>3500</v>
      </c>
      <c r="O136" s="71">
        <v>0.05</v>
      </c>
      <c r="P136" s="70">
        <v>9975</v>
      </c>
      <c r="Q136" s="70">
        <v>4</v>
      </c>
      <c r="R136" s="70" t="s">
        <v>48</v>
      </c>
      <c r="S136" s="70" t="s">
        <v>49</v>
      </c>
      <c r="T136" s="70" t="s">
        <v>62</v>
      </c>
      <c r="U136" s="70">
        <v>9155925975</v>
      </c>
      <c r="V136" s="70" t="s">
        <v>64</v>
      </c>
      <c r="AQ136" s="86">
        <v>45823</v>
      </c>
    </row>
    <row r="137" spans="1:43" x14ac:dyDescent="0.5">
      <c r="A137" s="72" t="s">
        <v>749</v>
      </c>
      <c r="B137" s="73" t="s">
        <v>71</v>
      </c>
      <c r="C137" s="73" t="s">
        <v>169</v>
      </c>
      <c r="D137" s="87">
        <v>45816</v>
      </c>
      <c r="E137" s="73" t="s">
        <v>751</v>
      </c>
      <c r="F137" s="70" t="s">
        <v>217</v>
      </c>
      <c r="G137" s="73" t="s">
        <v>76</v>
      </c>
      <c r="H137" s="73" t="s">
        <v>752</v>
      </c>
      <c r="I137" s="73" t="s">
        <v>30</v>
      </c>
      <c r="J137" s="73" t="s">
        <v>31</v>
      </c>
      <c r="K137" s="73" t="s">
        <v>32</v>
      </c>
      <c r="L137" s="73" t="s">
        <v>174</v>
      </c>
      <c r="M137" s="73">
        <v>5</v>
      </c>
      <c r="N137" s="73">
        <v>8500</v>
      </c>
      <c r="O137" s="71">
        <v>0.2</v>
      </c>
      <c r="P137" s="73">
        <v>34000</v>
      </c>
      <c r="Q137" s="73">
        <v>5</v>
      </c>
      <c r="R137" s="73" t="s">
        <v>34</v>
      </c>
      <c r="S137" s="73" t="s">
        <v>61</v>
      </c>
      <c r="T137" s="70" t="s">
        <v>80</v>
      </c>
      <c r="U137" s="73">
        <v>9945247701</v>
      </c>
      <c r="V137" s="73" t="s">
        <v>64</v>
      </c>
      <c r="AQ137" s="87">
        <v>45875</v>
      </c>
    </row>
    <row r="138" spans="1:43" x14ac:dyDescent="0.5">
      <c r="A138" s="69" t="s">
        <v>754</v>
      </c>
      <c r="B138" s="70" t="s">
        <v>23</v>
      </c>
      <c r="C138" s="70" t="s">
        <v>92</v>
      </c>
      <c r="D138" s="86">
        <v>45863</v>
      </c>
      <c r="E138" s="70" t="s">
        <v>756</v>
      </c>
      <c r="F138" s="70" t="s">
        <v>27</v>
      </c>
      <c r="G138" s="70" t="s">
        <v>28</v>
      </c>
      <c r="H138" s="70" t="s">
        <v>757</v>
      </c>
      <c r="I138" s="70" t="s">
        <v>59</v>
      </c>
      <c r="J138" s="70" t="s">
        <v>31</v>
      </c>
      <c r="K138" s="70" t="s">
        <v>32</v>
      </c>
      <c r="L138" s="70" t="s">
        <v>97</v>
      </c>
      <c r="M138" s="70">
        <v>14</v>
      </c>
      <c r="N138" s="70">
        <v>3500</v>
      </c>
      <c r="O138" s="71">
        <v>0.1</v>
      </c>
      <c r="P138" s="70">
        <v>44100</v>
      </c>
      <c r="Q138" s="70">
        <v>4</v>
      </c>
      <c r="R138" s="70" t="s">
        <v>88</v>
      </c>
      <c r="S138" s="70" t="s">
        <v>35</v>
      </c>
      <c r="T138" s="70" t="s">
        <v>50</v>
      </c>
      <c r="U138" s="70">
        <v>9597378398</v>
      </c>
      <c r="V138" s="70" t="s">
        <v>69</v>
      </c>
      <c r="AQ138" s="86">
        <v>45863</v>
      </c>
    </row>
    <row r="139" spans="1:43" x14ac:dyDescent="0.5">
      <c r="A139" s="72" t="s">
        <v>759</v>
      </c>
      <c r="B139" s="73" t="s">
        <v>327</v>
      </c>
      <c r="C139" s="73" t="s">
        <v>259</v>
      </c>
      <c r="D139" s="87">
        <v>45673</v>
      </c>
      <c r="E139" s="73" t="s">
        <v>761</v>
      </c>
      <c r="F139" s="70" t="s">
        <v>394</v>
      </c>
      <c r="G139" s="73" t="s">
        <v>76</v>
      </c>
      <c r="H139" s="73" t="s">
        <v>762</v>
      </c>
      <c r="I139" s="73" t="s">
        <v>138</v>
      </c>
      <c r="J139" s="73" t="s">
        <v>106</v>
      </c>
      <c r="K139" s="73" t="s">
        <v>122</v>
      </c>
      <c r="L139" s="73" t="s">
        <v>263</v>
      </c>
      <c r="M139" s="73">
        <v>8</v>
      </c>
      <c r="N139" s="73">
        <v>45</v>
      </c>
      <c r="O139" s="71">
        <v>0</v>
      </c>
      <c r="P139" s="73">
        <v>360</v>
      </c>
      <c r="Q139" s="73">
        <v>1</v>
      </c>
      <c r="R139" s="73" t="s">
        <v>79</v>
      </c>
      <c r="S139" s="73" t="s">
        <v>151</v>
      </c>
      <c r="T139" s="70" t="s">
        <v>332</v>
      </c>
      <c r="U139" s="73">
        <v>9343963736</v>
      </c>
      <c r="V139" s="73" t="s">
        <v>69</v>
      </c>
      <c r="AQ139" s="87">
        <v>45673</v>
      </c>
    </row>
    <row r="140" spans="1:43" x14ac:dyDescent="0.5">
      <c r="A140" s="69" t="s">
        <v>764</v>
      </c>
      <c r="B140" s="70" t="s">
        <v>221</v>
      </c>
      <c r="C140" s="70" t="s">
        <v>259</v>
      </c>
      <c r="D140" s="86">
        <v>45692</v>
      </c>
      <c r="E140" s="70" t="s">
        <v>766</v>
      </c>
      <c r="F140" s="70" t="s">
        <v>225</v>
      </c>
      <c r="G140" s="70" t="s">
        <v>76</v>
      </c>
      <c r="H140" s="70" t="s">
        <v>767</v>
      </c>
      <c r="I140" s="70" t="s">
        <v>44</v>
      </c>
      <c r="J140" s="70" t="s">
        <v>45</v>
      </c>
      <c r="K140" s="70" t="s">
        <v>122</v>
      </c>
      <c r="L140" s="70" t="s">
        <v>263</v>
      </c>
      <c r="M140" s="70">
        <v>11</v>
      </c>
      <c r="N140" s="70">
        <v>45</v>
      </c>
      <c r="O140" s="71">
        <v>0.05</v>
      </c>
      <c r="P140" s="70">
        <v>470.25</v>
      </c>
      <c r="Q140" s="70">
        <v>3</v>
      </c>
      <c r="R140" s="70" t="s">
        <v>79</v>
      </c>
      <c r="S140" s="70" t="s">
        <v>49</v>
      </c>
      <c r="T140" s="70" t="s">
        <v>228</v>
      </c>
      <c r="U140" s="70">
        <v>9548742147</v>
      </c>
      <c r="V140" s="70" t="s">
        <v>38</v>
      </c>
      <c r="AQ140" s="86">
        <v>45749</v>
      </c>
    </row>
    <row r="141" spans="1:43" x14ac:dyDescent="0.5">
      <c r="A141" s="72" t="s">
        <v>769</v>
      </c>
      <c r="B141" s="73" t="s">
        <v>83</v>
      </c>
      <c r="C141" s="73" t="s">
        <v>54</v>
      </c>
      <c r="D141" s="87">
        <v>45679</v>
      </c>
      <c r="E141" s="73" t="s">
        <v>771</v>
      </c>
      <c r="F141" s="70" t="s">
        <v>180</v>
      </c>
      <c r="G141" s="73" t="s">
        <v>76</v>
      </c>
      <c r="H141" s="73" t="s">
        <v>772</v>
      </c>
      <c r="I141" s="73" t="s">
        <v>138</v>
      </c>
      <c r="J141" s="73" t="s">
        <v>106</v>
      </c>
      <c r="K141" s="73" t="s">
        <v>46</v>
      </c>
      <c r="L141" s="73" t="s">
        <v>60</v>
      </c>
      <c r="M141" s="73">
        <v>19</v>
      </c>
      <c r="N141" s="73">
        <v>55000</v>
      </c>
      <c r="O141" s="71">
        <v>0</v>
      </c>
      <c r="P141" s="73">
        <v>1045000</v>
      </c>
      <c r="Q141" s="73">
        <v>2</v>
      </c>
      <c r="R141" s="73" t="s">
        <v>79</v>
      </c>
      <c r="S141" s="73" t="s">
        <v>35</v>
      </c>
      <c r="T141" s="70" t="s">
        <v>89</v>
      </c>
      <c r="U141" s="73">
        <v>9912945471</v>
      </c>
      <c r="V141" s="73" t="s">
        <v>69</v>
      </c>
      <c r="AQ141" s="87">
        <v>45679</v>
      </c>
    </row>
    <row r="142" spans="1:43" x14ac:dyDescent="0.5">
      <c r="A142" s="69" t="s">
        <v>774</v>
      </c>
      <c r="B142" s="70" t="s">
        <v>53</v>
      </c>
      <c r="C142" s="70" t="s">
        <v>92</v>
      </c>
      <c r="D142" s="86">
        <v>45758</v>
      </c>
      <c r="E142" s="70" t="s">
        <v>539</v>
      </c>
      <c r="F142" s="70" t="s">
        <v>163</v>
      </c>
      <c r="G142" s="70" t="s">
        <v>28</v>
      </c>
      <c r="H142" s="70" t="s">
        <v>776</v>
      </c>
      <c r="I142" s="70" t="s">
        <v>114</v>
      </c>
      <c r="J142" s="70" t="s">
        <v>106</v>
      </c>
      <c r="K142" s="70" t="s">
        <v>32</v>
      </c>
      <c r="L142" s="70" t="s">
        <v>97</v>
      </c>
      <c r="M142" s="70">
        <v>20</v>
      </c>
      <c r="N142" s="70">
        <v>3500</v>
      </c>
      <c r="O142" s="71">
        <v>0.2</v>
      </c>
      <c r="P142" s="70">
        <v>56000</v>
      </c>
      <c r="Q142" s="70">
        <v>4</v>
      </c>
      <c r="R142" s="70" t="s">
        <v>48</v>
      </c>
      <c r="S142" s="70" t="s">
        <v>49</v>
      </c>
      <c r="T142" s="70" t="s">
        <v>62</v>
      </c>
      <c r="U142" s="70">
        <v>9912630684</v>
      </c>
      <c r="V142" s="70" t="s">
        <v>38</v>
      </c>
      <c r="AQ142" s="86">
        <v>45965</v>
      </c>
    </row>
    <row r="143" spans="1:43" x14ac:dyDescent="0.5">
      <c r="A143" s="72" t="s">
        <v>778</v>
      </c>
      <c r="B143" s="73" t="s">
        <v>83</v>
      </c>
      <c r="C143" s="73" t="s">
        <v>24</v>
      </c>
      <c r="D143" s="87">
        <v>45842</v>
      </c>
      <c r="E143" s="73" t="s">
        <v>779</v>
      </c>
      <c r="F143" s="70" t="s">
        <v>180</v>
      </c>
      <c r="G143" s="73" t="s">
        <v>76</v>
      </c>
      <c r="H143" s="73" t="s">
        <v>780</v>
      </c>
      <c r="I143" s="73" t="s">
        <v>114</v>
      </c>
      <c r="J143" s="73" t="s">
        <v>106</v>
      </c>
      <c r="K143" s="73" t="s">
        <v>32</v>
      </c>
      <c r="L143" s="73" t="s">
        <v>33</v>
      </c>
      <c r="M143" s="73">
        <v>17</v>
      </c>
      <c r="N143" s="73">
        <v>2200</v>
      </c>
      <c r="O143" s="71">
        <v>0</v>
      </c>
      <c r="P143" s="73">
        <v>37400</v>
      </c>
      <c r="Q143" s="73">
        <v>5</v>
      </c>
      <c r="R143" s="73" t="s">
        <v>48</v>
      </c>
      <c r="S143" s="73" t="s">
        <v>35</v>
      </c>
      <c r="T143" s="70" t="s">
        <v>89</v>
      </c>
      <c r="U143" s="73">
        <v>9114017237</v>
      </c>
      <c r="V143" s="73" t="s">
        <v>64</v>
      </c>
      <c r="AQ143" s="87">
        <v>45754</v>
      </c>
    </row>
    <row r="144" spans="1:43" x14ac:dyDescent="0.5">
      <c r="A144" s="69" t="s">
        <v>782</v>
      </c>
      <c r="B144" s="70" t="s">
        <v>83</v>
      </c>
      <c r="C144" s="70" t="s">
        <v>72</v>
      </c>
      <c r="D144" s="86">
        <v>45679</v>
      </c>
      <c r="E144" s="70" t="s">
        <v>783</v>
      </c>
      <c r="F144" s="70" t="s">
        <v>180</v>
      </c>
      <c r="G144" s="70" t="s">
        <v>76</v>
      </c>
      <c r="H144" s="70" t="s">
        <v>784</v>
      </c>
      <c r="I144" s="70" t="s">
        <v>114</v>
      </c>
      <c r="J144" s="70" t="s">
        <v>106</v>
      </c>
      <c r="K144" s="70" t="s">
        <v>46</v>
      </c>
      <c r="L144" s="70" t="s">
        <v>78</v>
      </c>
      <c r="M144" s="70">
        <v>10</v>
      </c>
      <c r="N144" s="70">
        <v>1200</v>
      </c>
      <c r="O144" s="71">
        <v>0.05</v>
      </c>
      <c r="P144" s="70">
        <v>11400</v>
      </c>
      <c r="Q144" s="70">
        <v>2</v>
      </c>
      <c r="R144" s="70" t="s">
        <v>34</v>
      </c>
      <c r="S144" s="70" t="s">
        <v>49</v>
      </c>
      <c r="T144" s="70" t="s">
        <v>89</v>
      </c>
      <c r="U144" s="70">
        <v>9872471236</v>
      </c>
      <c r="V144" s="70" t="s">
        <v>69</v>
      </c>
      <c r="AQ144" s="86">
        <v>45679</v>
      </c>
    </row>
    <row r="145" spans="1:43" x14ac:dyDescent="0.5">
      <c r="A145" s="72" t="s">
        <v>786</v>
      </c>
      <c r="B145" s="73" t="s">
        <v>221</v>
      </c>
      <c r="C145" s="73" t="s">
        <v>118</v>
      </c>
      <c r="D145" s="87">
        <v>46008</v>
      </c>
      <c r="E145" s="73" t="s">
        <v>788</v>
      </c>
      <c r="F145" s="70" t="s">
        <v>225</v>
      </c>
      <c r="G145" s="73" t="s">
        <v>76</v>
      </c>
      <c r="H145" s="73" t="s">
        <v>789</v>
      </c>
      <c r="I145" s="73" t="s">
        <v>30</v>
      </c>
      <c r="J145" s="73" t="s">
        <v>31</v>
      </c>
      <c r="K145" s="73" t="s">
        <v>122</v>
      </c>
      <c r="L145" s="73" t="s">
        <v>123</v>
      </c>
      <c r="M145" s="73">
        <v>3</v>
      </c>
      <c r="N145" s="73">
        <v>60</v>
      </c>
      <c r="O145" s="71">
        <v>0</v>
      </c>
      <c r="P145" s="73">
        <v>180</v>
      </c>
      <c r="Q145" s="73">
        <v>4</v>
      </c>
      <c r="R145" s="73" t="s">
        <v>48</v>
      </c>
      <c r="S145" s="73" t="s">
        <v>151</v>
      </c>
      <c r="T145" s="70" t="s">
        <v>228</v>
      </c>
      <c r="U145" s="73">
        <v>9461383824</v>
      </c>
      <c r="V145" s="73" t="s">
        <v>38</v>
      </c>
      <c r="AQ145" s="87">
        <v>46008</v>
      </c>
    </row>
    <row r="146" spans="1:43" x14ac:dyDescent="0.5">
      <c r="A146" s="69" t="s">
        <v>791</v>
      </c>
      <c r="B146" s="70" t="s">
        <v>53</v>
      </c>
      <c r="C146" s="70" t="s">
        <v>24</v>
      </c>
      <c r="D146" s="86">
        <v>45940</v>
      </c>
      <c r="E146" s="70" t="s">
        <v>793</v>
      </c>
      <c r="F146" s="70" t="s">
        <v>163</v>
      </c>
      <c r="G146" s="70" t="s">
        <v>28</v>
      </c>
      <c r="H146" s="70" t="s">
        <v>794</v>
      </c>
      <c r="I146" s="70" t="s">
        <v>105</v>
      </c>
      <c r="J146" s="70" t="s">
        <v>106</v>
      </c>
      <c r="K146" s="70" t="s">
        <v>32</v>
      </c>
      <c r="L146" s="70" t="s">
        <v>33</v>
      </c>
      <c r="M146" s="70">
        <v>18</v>
      </c>
      <c r="N146" s="70">
        <v>2200</v>
      </c>
      <c r="O146" s="71">
        <v>0.1</v>
      </c>
      <c r="P146" s="70">
        <v>35640</v>
      </c>
      <c r="Q146" s="70">
        <v>1</v>
      </c>
      <c r="R146" s="70" t="s">
        <v>79</v>
      </c>
      <c r="S146" s="70" t="s">
        <v>151</v>
      </c>
      <c r="T146" s="70" t="s">
        <v>62</v>
      </c>
      <c r="U146" s="70">
        <v>9243407457</v>
      </c>
      <c r="V146" s="70" t="s">
        <v>69</v>
      </c>
      <c r="AQ146" s="86">
        <v>45940</v>
      </c>
    </row>
    <row r="147" spans="1:43" x14ac:dyDescent="0.5">
      <c r="A147" s="72" t="s">
        <v>796</v>
      </c>
      <c r="B147" s="73" t="s">
        <v>71</v>
      </c>
      <c r="C147" s="73" t="s">
        <v>118</v>
      </c>
      <c r="D147" s="87">
        <v>46088</v>
      </c>
      <c r="E147" s="73" t="s">
        <v>798</v>
      </c>
      <c r="F147" s="70" t="s">
        <v>217</v>
      </c>
      <c r="G147" s="73" t="s">
        <v>76</v>
      </c>
      <c r="H147" s="73" t="s">
        <v>799</v>
      </c>
      <c r="I147" s="73" t="s">
        <v>44</v>
      </c>
      <c r="J147" s="73" t="s">
        <v>45</v>
      </c>
      <c r="K147" s="73" t="s">
        <v>122</v>
      </c>
      <c r="L147" s="73" t="s">
        <v>123</v>
      </c>
      <c r="M147" s="73">
        <v>18</v>
      </c>
      <c r="N147" s="73">
        <v>60</v>
      </c>
      <c r="O147" s="71">
        <v>0.05</v>
      </c>
      <c r="P147" s="73">
        <v>1026</v>
      </c>
      <c r="Q147" s="73">
        <v>3</v>
      </c>
      <c r="R147" s="73" t="s">
        <v>79</v>
      </c>
      <c r="S147" s="73" t="s">
        <v>49</v>
      </c>
      <c r="T147" s="70" t="s">
        <v>80</v>
      </c>
      <c r="U147" s="73">
        <v>9418672379</v>
      </c>
      <c r="V147" s="73" t="s">
        <v>64</v>
      </c>
      <c r="AQ147" s="87">
        <v>46206</v>
      </c>
    </row>
    <row r="148" spans="1:43" x14ac:dyDescent="0.5">
      <c r="A148" s="69" t="s">
        <v>801</v>
      </c>
      <c r="B148" s="70" t="s">
        <v>127</v>
      </c>
      <c r="C148" s="70" t="s">
        <v>54</v>
      </c>
      <c r="D148" s="86">
        <v>45885</v>
      </c>
      <c r="E148" s="70" t="s">
        <v>377</v>
      </c>
      <c r="F148" s="70" t="s">
        <v>200</v>
      </c>
      <c r="G148" s="70" t="s">
        <v>76</v>
      </c>
      <c r="H148" s="70" t="s">
        <v>802</v>
      </c>
      <c r="I148" s="70" t="s">
        <v>114</v>
      </c>
      <c r="J148" s="70" t="s">
        <v>106</v>
      </c>
      <c r="K148" s="70" t="s">
        <v>46</v>
      </c>
      <c r="L148" s="70" t="s">
        <v>60</v>
      </c>
      <c r="M148" s="70">
        <v>11</v>
      </c>
      <c r="N148" s="70">
        <v>55000</v>
      </c>
      <c r="O148" s="71">
        <v>0.15</v>
      </c>
      <c r="P148" s="70">
        <v>514250</v>
      </c>
      <c r="Q148" s="70">
        <v>4</v>
      </c>
      <c r="R148" s="70" t="s">
        <v>88</v>
      </c>
      <c r="S148" s="70" t="s">
        <v>115</v>
      </c>
      <c r="T148" s="70" t="s">
        <v>132</v>
      </c>
      <c r="U148" s="70">
        <v>9222733065</v>
      </c>
      <c r="V148" s="70" t="s">
        <v>69</v>
      </c>
      <c r="AQ148" s="86">
        <v>45885</v>
      </c>
    </row>
    <row r="149" spans="1:43" x14ac:dyDescent="0.5">
      <c r="A149" s="72" t="s">
        <v>804</v>
      </c>
      <c r="B149" s="73" t="s">
        <v>251</v>
      </c>
      <c r="C149" s="73" t="s">
        <v>169</v>
      </c>
      <c r="D149" s="87">
        <v>46014</v>
      </c>
      <c r="E149" s="73" t="s">
        <v>464</v>
      </c>
      <c r="F149" s="70" t="s">
        <v>254</v>
      </c>
      <c r="G149" s="73" t="s">
        <v>28</v>
      </c>
      <c r="H149" s="73" t="s">
        <v>805</v>
      </c>
      <c r="I149" s="73" t="s">
        <v>294</v>
      </c>
      <c r="J149" s="73" t="s">
        <v>295</v>
      </c>
      <c r="K149" s="73" t="s">
        <v>32</v>
      </c>
      <c r="L149" s="73" t="s">
        <v>174</v>
      </c>
      <c r="M149" s="73">
        <v>5</v>
      </c>
      <c r="N149" s="73">
        <v>8500</v>
      </c>
      <c r="O149" s="71">
        <v>0.05</v>
      </c>
      <c r="P149" s="73">
        <v>40375</v>
      </c>
      <c r="Q149" s="73">
        <v>4</v>
      </c>
      <c r="R149" s="73" t="s">
        <v>34</v>
      </c>
      <c r="S149" s="73" t="s">
        <v>151</v>
      </c>
      <c r="T149" s="70" t="s">
        <v>256</v>
      </c>
      <c r="U149" s="73">
        <v>9684246902</v>
      </c>
      <c r="V149" s="73" t="s">
        <v>38</v>
      </c>
      <c r="AQ149" s="87">
        <v>46014</v>
      </c>
    </row>
    <row r="150" spans="1:43" x14ac:dyDescent="0.5">
      <c r="A150" s="69" t="s">
        <v>192</v>
      </c>
      <c r="B150" s="70" t="s">
        <v>100</v>
      </c>
      <c r="C150" s="70" t="s">
        <v>184</v>
      </c>
      <c r="D150" s="86">
        <v>45908</v>
      </c>
      <c r="E150" s="70" t="s">
        <v>128</v>
      </c>
      <c r="F150" s="70" t="s">
        <v>103</v>
      </c>
      <c r="G150" s="70" t="s">
        <v>28</v>
      </c>
      <c r="H150" s="70" t="s">
        <v>807</v>
      </c>
      <c r="I150" s="70" t="s">
        <v>212</v>
      </c>
      <c r="J150" s="70" t="s">
        <v>45</v>
      </c>
      <c r="K150" s="70" t="s">
        <v>46</v>
      </c>
      <c r="L150" s="70" t="s">
        <v>189</v>
      </c>
      <c r="M150" s="70">
        <v>16</v>
      </c>
      <c r="N150" s="70">
        <v>700</v>
      </c>
      <c r="O150" s="71">
        <v>0.15</v>
      </c>
      <c r="P150" s="70">
        <v>9520</v>
      </c>
      <c r="Q150" s="70">
        <v>4</v>
      </c>
      <c r="R150" s="70" t="s">
        <v>79</v>
      </c>
      <c r="S150" s="70" t="s">
        <v>61</v>
      </c>
      <c r="T150" s="70" t="s">
        <v>144</v>
      </c>
      <c r="U150" s="70">
        <v>9989580228</v>
      </c>
      <c r="V150" s="70" t="s">
        <v>38</v>
      </c>
      <c r="AQ150" s="86">
        <v>45878</v>
      </c>
    </row>
    <row r="151" spans="1:43" x14ac:dyDescent="0.5">
      <c r="A151" s="72" t="s">
        <v>809</v>
      </c>
      <c r="B151" s="73" t="s">
        <v>127</v>
      </c>
      <c r="C151" s="73" t="s">
        <v>184</v>
      </c>
      <c r="D151" s="87">
        <v>45845</v>
      </c>
      <c r="E151" s="73" t="s">
        <v>267</v>
      </c>
      <c r="F151" s="70" t="s">
        <v>200</v>
      </c>
      <c r="G151" s="73" t="s">
        <v>76</v>
      </c>
      <c r="H151" s="73" t="s">
        <v>810</v>
      </c>
      <c r="I151" s="73" t="s">
        <v>114</v>
      </c>
      <c r="J151" s="73" t="s">
        <v>106</v>
      </c>
      <c r="K151" s="73" t="s">
        <v>46</v>
      </c>
      <c r="L151" s="73" t="s">
        <v>189</v>
      </c>
      <c r="M151" s="73">
        <v>6</v>
      </c>
      <c r="N151" s="73">
        <v>700</v>
      </c>
      <c r="O151" s="71">
        <v>0.1</v>
      </c>
      <c r="P151" s="73">
        <v>3780</v>
      </c>
      <c r="Q151" s="73">
        <v>4</v>
      </c>
      <c r="R151" s="73" t="s">
        <v>34</v>
      </c>
      <c r="S151" s="73" t="s">
        <v>49</v>
      </c>
      <c r="T151" s="70" t="s">
        <v>132</v>
      </c>
      <c r="U151" s="73">
        <v>9110269572</v>
      </c>
      <c r="V151" s="73" t="s">
        <v>69</v>
      </c>
      <c r="AQ151" s="87">
        <v>45845</v>
      </c>
    </row>
    <row r="152" spans="1:43" x14ac:dyDescent="0.5">
      <c r="A152" s="69" t="s">
        <v>812</v>
      </c>
      <c r="B152" s="70" t="s">
        <v>53</v>
      </c>
      <c r="C152" s="70" t="s">
        <v>92</v>
      </c>
      <c r="D152" s="86">
        <v>46145</v>
      </c>
      <c r="E152" s="70" t="s">
        <v>615</v>
      </c>
      <c r="F152" s="70" t="s">
        <v>163</v>
      </c>
      <c r="G152" s="70" t="s">
        <v>28</v>
      </c>
      <c r="H152" s="70" t="s">
        <v>813</v>
      </c>
      <c r="I152" s="70" t="s">
        <v>44</v>
      </c>
      <c r="J152" s="70" t="s">
        <v>45</v>
      </c>
      <c r="K152" s="70" t="s">
        <v>32</v>
      </c>
      <c r="L152" s="70" t="s">
        <v>97</v>
      </c>
      <c r="M152" s="70">
        <v>20</v>
      </c>
      <c r="N152" s="70">
        <v>3500</v>
      </c>
      <c r="O152" s="71">
        <v>0.1</v>
      </c>
      <c r="P152" s="70">
        <v>63000</v>
      </c>
      <c r="Q152" s="70">
        <v>4</v>
      </c>
      <c r="R152" s="70" t="s">
        <v>88</v>
      </c>
      <c r="S152" s="70" t="s">
        <v>49</v>
      </c>
      <c r="T152" s="70" t="s">
        <v>62</v>
      </c>
      <c r="U152" s="70">
        <v>9745972422</v>
      </c>
      <c r="V152" s="70" t="s">
        <v>64</v>
      </c>
      <c r="AQ152" s="86">
        <v>46086</v>
      </c>
    </row>
    <row r="153" spans="1:43" x14ac:dyDescent="0.5">
      <c r="A153" s="72" t="s">
        <v>815</v>
      </c>
      <c r="B153" s="73" t="s">
        <v>23</v>
      </c>
      <c r="C153" s="73" t="s">
        <v>222</v>
      </c>
      <c r="D153" s="87">
        <v>45990</v>
      </c>
      <c r="E153" s="73" t="s">
        <v>817</v>
      </c>
      <c r="F153" s="70" t="s">
        <v>27</v>
      </c>
      <c r="G153" s="73" t="s">
        <v>28</v>
      </c>
      <c r="H153" s="73" t="s">
        <v>818</v>
      </c>
      <c r="I153" s="73" t="s">
        <v>59</v>
      </c>
      <c r="J153" s="73" t="s">
        <v>31</v>
      </c>
      <c r="K153" s="73" t="s">
        <v>122</v>
      </c>
      <c r="L153" s="73" t="s">
        <v>227</v>
      </c>
      <c r="M153" s="73">
        <v>2</v>
      </c>
      <c r="N153" s="73">
        <v>20</v>
      </c>
      <c r="O153" s="71">
        <v>0.1</v>
      </c>
      <c r="P153" s="73">
        <v>36</v>
      </c>
      <c r="Q153" s="73">
        <v>1</v>
      </c>
      <c r="R153" s="73" t="s">
        <v>48</v>
      </c>
      <c r="S153" s="73" t="s">
        <v>115</v>
      </c>
      <c r="T153" s="70" t="s">
        <v>50</v>
      </c>
      <c r="U153" s="73">
        <v>9123712257</v>
      </c>
      <c r="V153" s="73" t="s">
        <v>64</v>
      </c>
      <c r="AQ153" s="87">
        <v>45990</v>
      </c>
    </row>
    <row r="154" spans="1:43" x14ac:dyDescent="0.5">
      <c r="A154" s="69" t="s">
        <v>820</v>
      </c>
      <c r="B154" s="70" t="s">
        <v>100</v>
      </c>
      <c r="C154" s="70" t="s">
        <v>24</v>
      </c>
      <c r="D154" s="86">
        <v>45852</v>
      </c>
      <c r="E154" s="70" t="s">
        <v>821</v>
      </c>
      <c r="F154" s="70" t="s">
        <v>103</v>
      </c>
      <c r="G154" s="70" t="s">
        <v>28</v>
      </c>
      <c r="H154" s="70" t="s">
        <v>822</v>
      </c>
      <c r="I154" s="70" t="s">
        <v>114</v>
      </c>
      <c r="J154" s="70" t="s">
        <v>106</v>
      </c>
      <c r="K154" s="70" t="s">
        <v>32</v>
      </c>
      <c r="L154" s="70" t="s">
        <v>33</v>
      </c>
      <c r="M154" s="70">
        <v>16</v>
      </c>
      <c r="N154" s="70">
        <v>2200</v>
      </c>
      <c r="O154" s="71">
        <v>0.2</v>
      </c>
      <c r="P154" s="70">
        <v>28160</v>
      </c>
      <c r="Q154" s="70">
        <v>2</v>
      </c>
      <c r="R154" s="70" t="s">
        <v>88</v>
      </c>
      <c r="S154" s="70" t="s">
        <v>151</v>
      </c>
      <c r="T154" s="70" t="s">
        <v>144</v>
      </c>
      <c r="U154" s="70">
        <v>9665525431</v>
      </c>
      <c r="V154" s="70" t="s">
        <v>64</v>
      </c>
      <c r="AQ154" s="86">
        <v>45852</v>
      </c>
    </row>
    <row r="155" spans="1:43" x14ac:dyDescent="0.5">
      <c r="A155" s="72" t="s">
        <v>824</v>
      </c>
      <c r="B155" s="73" t="s">
        <v>221</v>
      </c>
      <c r="C155" s="73" t="s">
        <v>40</v>
      </c>
      <c r="D155" s="87">
        <v>45729</v>
      </c>
      <c r="E155" s="73" t="s">
        <v>825</v>
      </c>
      <c r="F155" s="70" t="s">
        <v>225</v>
      </c>
      <c r="G155" s="73" t="s">
        <v>76</v>
      </c>
      <c r="H155" s="73" t="s">
        <v>826</v>
      </c>
      <c r="I155" s="73" t="s">
        <v>114</v>
      </c>
      <c r="J155" s="73" t="s">
        <v>106</v>
      </c>
      <c r="K155" s="73" t="s">
        <v>46</v>
      </c>
      <c r="L155" s="73" t="s">
        <v>47</v>
      </c>
      <c r="M155" s="73">
        <v>15</v>
      </c>
      <c r="N155" s="73">
        <v>12000</v>
      </c>
      <c r="O155" s="71">
        <v>0</v>
      </c>
      <c r="P155" s="73">
        <v>180000</v>
      </c>
      <c r="Q155" s="73">
        <v>1</v>
      </c>
      <c r="R155" s="73" t="s">
        <v>79</v>
      </c>
      <c r="S155" s="73" t="s">
        <v>61</v>
      </c>
      <c r="T155" s="70" t="s">
        <v>228</v>
      </c>
      <c r="U155" s="73">
        <v>9682415134</v>
      </c>
      <c r="V155" s="73" t="s">
        <v>64</v>
      </c>
      <c r="AQ155" s="87">
        <v>45729</v>
      </c>
    </row>
    <row r="156" spans="1:43" x14ac:dyDescent="0.5">
      <c r="A156" s="69" t="s">
        <v>828</v>
      </c>
      <c r="B156" s="70" t="s">
        <v>23</v>
      </c>
      <c r="C156" s="70" t="s">
        <v>118</v>
      </c>
      <c r="D156" s="86">
        <v>45860</v>
      </c>
      <c r="E156" s="70" t="s">
        <v>830</v>
      </c>
      <c r="F156" s="70" t="s">
        <v>27</v>
      </c>
      <c r="G156" s="70" t="s">
        <v>28</v>
      </c>
      <c r="H156" s="70" t="s">
        <v>831</v>
      </c>
      <c r="I156" s="70" t="s">
        <v>44</v>
      </c>
      <c r="J156" s="70" t="s">
        <v>45</v>
      </c>
      <c r="K156" s="70" t="s">
        <v>122</v>
      </c>
      <c r="L156" s="70" t="s">
        <v>123</v>
      </c>
      <c r="M156" s="70">
        <v>14</v>
      </c>
      <c r="N156" s="70">
        <v>60</v>
      </c>
      <c r="O156" s="71">
        <v>0.15</v>
      </c>
      <c r="P156" s="70">
        <v>714</v>
      </c>
      <c r="Q156" s="70">
        <v>4</v>
      </c>
      <c r="R156" s="70" t="s">
        <v>88</v>
      </c>
      <c r="S156" s="70" t="s">
        <v>49</v>
      </c>
      <c r="T156" s="70" t="s">
        <v>50</v>
      </c>
      <c r="U156" s="70">
        <v>9808223872</v>
      </c>
      <c r="V156" s="70" t="s">
        <v>38</v>
      </c>
      <c r="AQ156" s="86">
        <v>45860</v>
      </c>
    </row>
    <row r="157" spans="1:43" x14ac:dyDescent="0.5">
      <c r="A157" s="72" t="s">
        <v>833</v>
      </c>
      <c r="B157" s="73" t="s">
        <v>53</v>
      </c>
      <c r="C157" s="73" t="s">
        <v>72</v>
      </c>
      <c r="D157" s="87">
        <v>45859</v>
      </c>
      <c r="E157" s="73" t="s">
        <v>835</v>
      </c>
      <c r="F157" s="70" t="s">
        <v>163</v>
      </c>
      <c r="G157" s="73" t="s">
        <v>28</v>
      </c>
      <c r="H157" s="73" t="s">
        <v>836</v>
      </c>
      <c r="I157" s="73" t="s">
        <v>30</v>
      </c>
      <c r="J157" s="73" t="s">
        <v>31</v>
      </c>
      <c r="K157" s="73" t="s">
        <v>46</v>
      </c>
      <c r="L157" s="73" t="s">
        <v>78</v>
      </c>
      <c r="M157" s="73">
        <v>9</v>
      </c>
      <c r="N157" s="73">
        <v>1200</v>
      </c>
      <c r="O157" s="71">
        <v>0.05</v>
      </c>
      <c r="P157" s="73">
        <v>10260</v>
      </c>
      <c r="Q157" s="73">
        <v>5</v>
      </c>
      <c r="R157" s="73" t="s">
        <v>48</v>
      </c>
      <c r="S157" s="73" t="s">
        <v>61</v>
      </c>
      <c r="T157" s="70" t="s">
        <v>62</v>
      </c>
      <c r="U157" s="73">
        <v>9193549730</v>
      </c>
      <c r="V157" s="73" t="s">
        <v>64</v>
      </c>
      <c r="AQ157" s="87">
        <v>45859</v>
      </c>
    </row>
    <row r="158" spans="1:43" x14ac:dyDescent="0.5">
      <c r="A158" s="69" t="s">
        <v>838</v>
      </c>
      <c r="B158" s="70" t="s">
        <v>221</v>
      </c>
      <c r="C158" s="70" t="s">
        <v>72</v>
      </c>
      <c r="D158" s="86">
        <v>45857</v>
      </c>
      <c r="E158" s="70" t="s">
        <v>839</v>
      </c>
      <c r="F158" s="70" t="s">
        <v>225</v>
      </c>
      <c r="G158" s="70" t="s">
        <v>76</v>
      </c>
      <c r="H158" s="70" t="s">
        <v>840</v>
      </c>
      <c r="I158" s="70" t="s">
        <v>294</v>
      </c>
      <c r="J158" s="70" t="s">
        <v>295</v>
      </c>
      <c r="K158" s="70" t="s">
        <v>46</v>
      </c>
      <c r="L158" s="70" t="s">
        <v>78</v>
      </c>
      <c r="M158" s="70">
        <v>3</v>
      </c>
      <c r="N158" s="70">
        <v>1200</v>
      </c>
      <c r="O158" s="71">
        <v>0.1</v>
      </c>
      <c r="P158" s="70">
        <v>3240</v>
      </c>
      <c r="Q158" s="70">
        <v>2</v>
      </c>
      <c r="R158" s="70" t="s">
        <v>79</v>
      </c>
      <c r="S158" s="70" t="s">
        <v>151</v>
      </c>
      <c r="T158" s="70" t="s">
        <v>228</v>
      </c>
      <c r="U158" s="70">
        <v>9520617130</v>
      </c>
      <c r="V158" s="70" t="s">
        <v>69</v>
      </c>
      <c r="AQ158" s="86">
        <v>45857</v>
      </c>
    </row>
    <row r="159" spans="1:43" x14ac:dyDescent="0.5">
      <c r="A159" s="72" t="s">
        <v>842</v>
      </c>
      <c r="B159" s="73" t="s">
        <v>327</v>
      </c>
      <c r="C159" s="73" t="s">
        <v>118</v>
      </c>
      <c r="D159" s="87">
        <v>45757</v>
      </c>
      <c r="E159" s="73" t="s">
        <v>577</v>
      </c>
      <c r="F159" s="70" t="s">
        <v>394</v>
      </c>
      <c r="G159" s="73" t="s">
        <v>76</v>
      </c>
      <c r="H159" s="73" t="s">
        <v>843</v>
      </c>
      <c r="I159" s="73" t="s">
        <v>30</v>
      </c>
      <c r="J159" s="73" t="s">
        <v>31</v>
      </c>
      <c r="K159" s="73" t="s">
        <v>122</v>
      </c>
      <c r="L159" s="73" t="s">
        <v>123</v>
      </c>
      <c r="M159" s="73">
        <v>2</v>
      </c>
      <c r="N159" s="73">
        <v>60</v>
      </c>
      <c r="O159" s="71">
        <v>0.1</v>
      </c>
      <c r="P159" s="73">
        <v>108</v>
      </c>
      <c r="Q159" s="73">
        <v>2</v>
      </c>
      <c r="R159" s="73" t="s">
        <v>88</v>
      </c>
      <c r="S159" s="73" t="s">
        <v>61</v>
      </c>
      <c r="T159" s="70" t="s">
        <v>332</v>
      </c>
      <c r="U159" s="73">
        <v>9264578122</v>
      </c>
      <c r="V159" s="73" t="s">
        <v>38</v>
      </c>
      <c r="AQ159" s="87">
        <v>45934</v>
      </c>
    </row>
    <row r="160" spans="1:43" x14ac:dyDescent="0.5">
      <c r="A160" s="69" t="s">
        <v>845</v>
      </c>
      <c r="B160" s="70" t="s">
        <v>71</v>
      </c>
      <c r="C160" s="70" t="s">
        <v>92</v>
      </c>
      <c r="D160" s="86">
        <v>46155</v>
      </c>
      <c r="E160" s="70" t="s">
        <v>846</v>
      </c>
      <c r="F160" s="70" t="s">
        <v>217</v>
      </c>
      <c r="G160" s="70" t="s">
        <v>76</v>
      </c>
      <c r="H160" s="70" t="s">
        <v>847</v>
      </c>
      <c r="I160" s="70" t="s">
        <v>44</v>
      </c>
      <c r="J160" s="70" t="s">
        <v>45</v>
      </c>
      <c r="K160" s="70" t="s">
        <v>32</v>
      </c>
      <c r="L160" s="70" t="s">
        <v>97</v>
      </c>
      <c r="M160" s="70">
        <v>9</v>
      </c>
      <c r="N160" s="70">
        <v>3500</v>
      </c>
      <c r="O160" s="71">
        <v>0.2</v>
      </c>
      <c r="P160" s="70">
        <v>25200</v>
      </c>
      <c r="Q160" s="70">
        <v>1</v>
      </c>
      <c r="R160" s="70" t="s">
        <v>48</v>
      </c>
      <c r="S160" s="70" t="s">
        <v>35</v>
      </c>
      <c r="T160" s="70" t="s">
        <v>80</v>
      </c>
      <c r="U160" s="70">
        <v>9275071213</v>
      </c>
      <c r="V160" s="70" t="s">
        <v>38</v>
      </c>
      <c r="AQ160" s="86">
        <v>46155</v>
      </c>
    </row>
    <row r="161" spans="1:43" x14ac:dyDescent="0.5">
      <c r="A161" s="72" t="s">
        <v>849</v>
      </c>
      <c r="B161" s="73" t="s">
        <v>221</v>
      </c>
      <c r="C161" s="73" t="s">
        <v>54</v>
      </c>
      <c r="D161" s="87">
        <v>46094</v>
      </c>
      <c r="E161" s="73" t="s">
        <v>543</v>
      </c>
      <c r="F161" s="70" t="s">
        <v>225</v>
      </c>
      <c r="G161" s="73" t="s">
        <v>76</v>
      </c>
      <c r="H161" s="73" t="s">
        <v>850</v>
      </c>
      <c r="I161" s="73" t="s">
        <v>212</v>
      </c>
      <c r="J161" s="73" t="s">
        <v>45</v>
      </c>
      <c r="K161" s="73" t="s">
        <v>46</v>
      </c>
      <c r="L161" s="73" t="s">
        <v>60</v>
      </c>
      <c r="M161" s="73">
        <v>4</v>
      </c>
      <c r="N161" s="73">
        <v>55000</v>
      </c>
      <c r="O161" s="71">
        <v>0.05</v>
      </c>
      <c r="P161" s="73">
        <v>209000</v>
      </c>
      <c r="Q161" s="73">
        <v>2</v>
      </c>
      <c r="R161" s="73" t="s">
        <v>34</v>
      </c>
      <c r="S161" s="73" t="s">
        <v>151</v>
      </c>
      <c r="T161" s="70" t="s">
        <v>228</v>
      </c>
      <c r="U161" s="73">
        <v>9715222543</v>
      </c>
      <c r="V161" s="73" t="s">
        <v>64</v>
      </c>
      <c r="AQ161" s="87">
        <v>46094</v>
      </c>
    </row>
    <row r="162" spans="1:43" x14ac:dyDescent="0.5">
      <c r="A162" s="69" t="s">
        <v>852</v>
      </c>
      <c r="B162" s="70" t="s">
        <v>327</v>
      </c>
      <c r="C162" s="70" t="s">
        <v>184</v>
      </c>
      <c r="D162" s="86">
        <v>45835</v>
      </c>
      <c r="E162" s="70" t="s">
        <v>266</v>
      </c>
      <c r="F162" s="70" t="s">
        <v>394</v>
      </c>
      <c r="G162" s="70" t="s">
        <v>76</v>
      </c>
      <c r="H162" s="70" t="s">
        <v>854</v>
      </c>
      <c r="I162" s="70" t="s">
        <v>44</v>
      </c>
      <c r="J162" s="70" t="s">
        <v>45</v>
      </c>
      <c r="K162" s="70" t="s">
        <v>46</v>
      </c>
      <c r="L162" s="70" t="s">
        <v>189</v>
      </c>
      <c r="M162" s="70">
        <v>11</v>
      </c>
      <c r="N162" s="70">
        <v>700</v>
      </c>
      <c r="O162" s="71">
        <v>0.2</v>
      </c>
      <c r="P162" s="70">
        <v>6160</v>
      </c>
      <c r="Q162" s="70">
        <v>4</v>
      </c>
      <c r="R162" s="70" t="s">
        <v>34</v>
      </c>
      <c r="S162" s="70" t="s">
        <v>151</v>
      </c>
      <c r="T162" s="70" t="s">
        <v>332</v>
      </c>
      <c r="U162" s="70">
        <v>9942010833</v>
      </c>
      <c r="V162" s="70" t="s">
        <v>69</v>
      </c>
      <c r="AQ162" s="86">
        <v>45835</v>
      </c>
    </row>
    <row r="163" spans="1:43" x14ac:dyDescent="0.5">
      <c r="A163" s="72" t="s">
        <v>856</v>
      </c>
      <c r="B163" s="73" t="s">
        <v>168</v>
      </c>
      <c r="C163" s="73" t="s">
        <v>72</v>
      </c>
      <c r="D163" s="87">
        <v>45980</v>
      </c>
      <c r="E163" s="73" t="s">
        <v>816</v>
      </c>
      <c r="F163" s="70" t="s">
        <v>361</v>
      </c>
      <c r="G163" s="73" t="s">
        <v>28</v>
      </c>
      <c r="H163" s="73" t="s">
        <v>857</v>
      </c>
      <c r="I163" s="73" t="s">
        <v>294</v>
      </c>
      <c r="J163" s="73" t="s">
        <v>295</v>
      </c>
      <c r="K163" s="73" t="s">
        <v>46</v>
      </c>
      <c r="L163" s="73" t="s">
        <v>78</v>
      </c>
      <c r="M163" s="73">
        <v>16</v>
      </c>
      <c r="N163" s="73">
        <v>1200</v>
      </c>
      <c r="O163" s="71">
        <v>0.05</v>
      </c>
      <c r="P163" s="73">
        <v>18240</v>
      </c>
      <c r="Q163" s="73">
        <v>1</v>
      </c>
      <c r="R163" s="73" t="s">
        <v>79</v>
      </c>
      <c r="S163" s="73" t="s">
        <v>35</v>
      </c>
      <c r="T163" s="70" t="s">
        <v>175</v>
      </c>
      <c r="U163" s="73">
        <v>9347718932</v>
      </c>
      <c r="V163" s="73" t="s">
        <v>64</v>
      </c>
      <c r="AQ163" s="87">
        <v>45980</v>
      </c>
    </row>
    <row r="164" spans="1:43" x14ac:dyDescent="0.5">
      <c r="A164" s="69" t="s">
        <v>859</v>
      </c>
      <c r="B164" s="70" t="s">
        <v>168</v>
      </c>
      <c r="C164" s="70" t="s">
        <v>72</v>
      </c>
      <c r="D164" s="86">
        <v>45915</v>
      </c>
      <c r="E164" s="70" t="s">
        <v>860</v>
      </c>
      <c r="F164" s="70" t="s">
        <v>361</v>
      </c>
      <c r="G164" s="70" t="s">
        <v>28</v>
      </c>
      <c r="H164" s="70" t="s">
        <v>861</v>
      </c>
      <c r="I164" s="70" t="s">
        <v>114</v>
      </c>
      <c r="J164" s="70" t="s">
        <v>106</v>
      </c>
      <c r="K164" s="70" t="s">
        <v>46</v>
      </c>
      <c r="L164" s="70" t="s">
        <v>78</v>
      </c>
      <c r="M164" s="70">
        <v>1</v>
      </c>
      <c r="N164" s="70">
        <v>1200</v>
      </c>
      <c r="O164" s="71">
        <v>0.05</v>
      </c>
      <c r="P164" s="70">
        <v>1140</v>
      </c>
      <c r="Q164" s="70">
        <v>4</v>
      </c>
      <c r="R164" s="70" t="s">
        <v>79</v>
      </c>
      <c r="S164" s="70" t="s">
        <v>35</v>
      </c>
      <c r="T164" s="70" t="s">
        <v>175</v>
      </c>
      <c r="U164" s="70">
        <v>9274808844</v>
      </c>
      <c r="V164" s="70" t="s">
        <v>38</v>
      </c>
      <c r="AQ164" s="86">
        <v>45915</v>
      </c>
    </row>
    <row r="165" spans="1:43" x14ac:dyDescent="0.5">
      <c r="A165" s="72" t="s">
        <v>863</v>
      </c>
      <c r="B165" s="73" t="s">
        <v>327</v>
      </c>
      <c r="C165" s="73" t="s">
        <v>118</v>
      </c>
      <c r="D165" s="87">
        <v>45965</v>
      </c>
      <c r="E165" s="73" t="s">
        <v>865</v>
      </c>
      <c r="F165" s="70" t="s">
        <v>394</v>
      </c>
      <c r="G165" s="73" t="s">
        <v>76</v>
      </c>
      <c r="H165" s="73" t="s">
        <v>866</v>
      </c>
      <c r="I165" s="73" t="s">
        <v>212</v>
      </c>
      <c r="J165" s="73" t="s">
        <v>45</v>
      </c>
      <c r="K165" s="73" t="s">
        <v>122</v>
      </c>
      <c r="L165" s="73" t="s">
        <v>123</v>
      </c>
      <c r="M165" s="73">
        <v>7</v>
      </c>
      <c r="N165" s="73">
        <v>60</v>
      </c>
      <c r="O165" s="71">
        <v>0</v>
      </c>
      <c r="P165" s="73">
        <v>420</v>
      </c>
      <c r="Q165" s="73">
        <v>2</v>
      </c>
      <c r="R165" s="73" t="s">
        <v>88</v>
      </c>
      <c r="S165" s="73" t="s">
        <v>151</v>
      </c>
      <c r="T165" s="70" t="s">
        <v>332</v>
      </c>
      <c r="U165" s="73">
        <v>9798996063</v>
      </c>
      <c r="V165" s="73" t="s">
        <v>38</v>
      </c>
      <c r="AQ165" s="87">
        <v>45758</v>
      </c>
    </row>
    <row r="166" spans="1:43" x14ac:dyDescent="0.5">
      <c r="A166" s="69" t="s">
        <v>868</v>
      </c>
      <c r="B166" s="70" t="s">
        <v>168</v>
      </c>
      <c r="C166" s="70" t="s">
        <v>24</v>
      </c>
      <c r="D166" s="86">
        <v>45660</v>
      </c>
      <c r="E166" s="70" t="s">
        <v>513</v>
      </c>
      <c r="F166" s="70" t="s">
        <v>361</v>
      </c>
      <c r="G166" s="70" t="s">
        <v>28</v>
      </c>
      <c r="H166" s="70" t="s">
        <v>869</v>
      </c>
      <c r="I166" s="70" t="s">
        <v>114</v>
      </c>
      <c r="J166" s="70" t="s">
        <v>106</v>
      </c>
      <c r="K166" s="70" t="s">
        <v>32</v>
      </c>
      <c r="L166" s="70" t="s">
        <v>33</v>
      </c>
      <c r="M166" s="70">
        <v>14</v>
      </c>
      <c r="N166" s="70">
        <v>2200</v>
      </c>
      <c r="O166" s="71">
        <v>0</v>
      </c>
      <c r="P166" s="70">
        <v>30800</v>
      </c>
      <c r="Q166" s="70">
        <v>2</v>
      </c>
      <c r="R166" s="70" t="s">
        <v>88</v>
      </c>
      <c r="S166" s="70" t="s">
        <v>35</v>
      </c>
      <c r="T166" s="70" t="s">
        <v>175</v>
      </c>
      <c r="U166" s="70">
        <v>9145200936</v>
      </c>
      <c r="V166" s="70" t="s">
        <v>69</v>
      </c>
      <c r="AQ166" s="86">
        <v>45717</v>
      </c>
    </row>
    <row r="167" spans="1:43" x14ac:dyDescent="0.5">
      <c r="A167" s="72" t="s">
        <v>871</v>
      </c>
      <c r="B167" s="73" t="s">
        <v>168</v>
      </c>
      <c r="C167" s="73" t="s">
        <v>92</v>
      </c>
      <c r="D167" s="87">
        <v>45827</v>
      </c>
      <c r="E167" s="73" t="s">
        <v>488</v>
      </c>
      <c r="F167" s="70" t="s">
        <v>361</v>
      </c>
      <c r="G167" s="73" t="s">
        <v>28</v>
      </c>
      <c r="H167" s="73" t="s">
        <v>873</v>
      </c>
      <c r="I167" s="73" t="s">
        <v>138</v>
      </c>
      <c r="J167" s="73" t="s">
        <v>106</v>
      </c>
      <c r="K167" s="73" t="s">
        <v>32</v>
      </c>
      <c r="L167" s="73" t="s">
        <v>97</v>
      </c>
      <c r="M167" s="73">
        <v>15</v>
      </c>
      <c r="N167" s="73">
        <v>3500</v>
      </c>
      <c r="O167" s="71">
        <v>0.15</v>
      </c>
      <c r="P167" s="73">
        <v>44625</v>
      </c>
      <c r="Q167" s="73">
        <v>2</v>
      </c>
      <c r="R167" s="73" t="s">
        <v>88</v>
      </c>
      <c r="S167" s="73" t="s">
        <v>61</v>
      </c>
      <c r="T167" s="70" t="s">
        <v>175</v>
      </c>
      <c r="U167" s="73">
        <v>9697654418</v>
      </c>
      <c r="V167" s="73" t="s">
        <v>64</v>
      </c>
      <c r="AQ167" s="87">
        <v>45827</v>
      </c>
    </row>
    <row r="168" spans="1:43" x14ac:dyDescent="0.5">
      <c r="A168" s="69" t="s">
        <v>875</v>
      </c>
      <c r="B168" s="70" t="s">
        <v>127</v>
      </c>
      <c r="C168" s="70" t="s">
        <v>92</v>
      </c>
      <c r="D168" s="86">
        <v>45742</v>
      </c>
      <c r="E168" s="70" t="s">
        <v>877</v>
      </c>
      <c r="F168" s="70" t="s">
        <v>200</v>
      </c>
      <c r="G168" s="70" t="s">
        <v>76</v>
      </c>
      <c r="H168" s="70" t="s">
        <v>878</v>
      </c>
      <c r="I168" s="70" t="s">
        <v>294</v>
      </c>
      <c r="J168" s="70" t="s">
        <v>295</v>
      </c>
      <c r="K168" s="70" t="s">
        <v>32</v>
      </c>
      <c r="L168" s="70" t="s">
        <v>97</v>
      </c>
      <c r="M168" s="70">
        <v>19</v>
      </c>
      <c r="N168" s="70">
        <v>3500</v>
      </c>
      <c r="O168" s="71">
        <v>0.05</v>
      </c>
      <c r="P168" s="70">
        <v>63175</v>
      </c>
      <c r="Q168" s="70">
        <v>2</v>
      </c>
      <c r="R168" s="70" t="s">
        <v>34</v>
      </c>
      <c r="S168" s="70" t="s">
        <v>115</v>
      </c>
      <c r="T168" s="70" t="s">
        <v>132</v>
      </c>
      <c r="U168" s="70">
        <v>9457923119</v>
      </c>
      <c r="V168" s="70" t="s">
        <v>69</v>
      </c>
      <c r="AQ168" s="86">
        <v>45742</v>
      </c>
    </row>
    <row r="169" spans="1:43" x14ac:dyDescent="0.5">
      <c r="A169" s="72" t="s">
        <v>880</v>
      </c>
      <c r="B169" s="73" t="s">
        <v>327</v>
      </c>
      <c r="C169" s="73" t="s">
        <v>54</v>
      </c>
      <c r="D169" s="87">
        <v>45844</v>
      </c>
      <c r="E169" s="73" t="s">
        <v>640</v>
      </c>
      <c r="F169" s="70" t="s">
        <v>394</v>
      </c>
      <c r="G169" s="73" t="s">
        <v>76</v>
      </c>
      <c r="H169" s="73" t="s">
        <v>882</v>
      </c>
      <c r="I169" s="73" t="s">
        <v>59</v>
      </c>
      <c r="J169" s="73" t="s">
        <v>31</v>
      </c>
      <c r="K169" s="73" t="s">
        <v>46</v>
      </c>
      <c r="L169" s="73" t="s">
        <v>60</v>
      </c>
      <c r="M169" s="73">
        <v>12</v>
      </c>
      <c r="N169" s="73">
        <v>55000</v>
      </c>
      <c r="O169" s="71">
        <v>0.05</v>
      </c>
      <c r="P169" s="73">
        <v>627000</v>
      </c>
      <c r="Q169" s="73">
        <v>4</v>
      </c>
      <c r="R169" s="73" t="s">
        <v>79</v>
      </c>
      <c r="S169" s="73" t="s">
        <v>61</v>
      </c>
      <c r="T169" s="70" t="s">
        <v>332</v>
      </c>
      <c r="U169" s="73">
        <v>9236111271</v>
      </c>
      <c r="V169" s="73" t="s">
        <v>69</v>
      </c>
      <c r="AQ169" s="87">
        <v>45815</v>
      </c>
    </row>
    <row r="170" spans="1:43" x14ac:dyDescent="0.5">
      <c r="A170" s="69" t="s">
        <v>884</v>
      </c>
      <c r="B170" s="70" t="s">
        <v>53</v>
      </c>
      <c r="C170" s="70" t="s">
        <v>72</v>
      </c>
      <c r="D170" s="86">
        <v>46040</v>
      </c>
      <c r="E170" s="70" t="s">
        <v>483</v>
      </c>
      <c r="F170" s="70" t="s">
        <v>163</v>
      </c>
      <c r="G170" s="70" t="s">
        <v>28</v>
      </c>
      <c r="H170" s="70" t="s">
        <v>885</v>
      </c>
      <c r="I170" s="70" t="s">
        <v>105</v>
      </c>
      <c r="J170" s="70" t="s">
        <v>106</v>
      </c>
      <c r="K170" s="70" t="s">
        <v>46</v>
      </c>
      <c r="L170" s="70" t="s">
        <v>78</v>
      </c>
      <c r="M170" s="70">
        <v>6</v>
      </c>
      <c r="N170" s="70">
        <v>1200</v>
      </c>
      <c r="O170" s="71">
        <v>0.1</v>
      </c>
      <c r="P170" s="70">
        <v>6480</v>
      </c>
      <c r="Q170" s="70">
        <v>5</v>
      </c>
      <c r="R170" s="70" t="s">
        <v>48</v>
      </c>
      <c r="S170" s="70" t="s">
        <v>115</v>
      </c>
      <c r="T170" s="70" t="s">
        <v>62</v>
      </c>
      <c r="U170" s="70">
        <v>9402569141</v>
      </c>
      <c r="V170" s="70" t="s">
        <v>69</v>
      </c>
      <c r="AQ170" s="86">
        <v>46040</v>
      </c>
    </row>
    <row r="171" spans="1:43" x14ac:dyDescent="0.5">
      <c r="A171" s="72" t="s">
        <v>887</v>
      </c>
      <c r="B171" s="73" t="s">
        <v>251</v>
      </c>
      <c r="C171" s="73" t="s">
        <v>169</v>
      </c>
      <c r="D171" s="87">
        <v>45919</v>
      </c>
      <c r="E171" s="73" t="s">
        <v>247</v>
      </c>
      <c r="F171" s="70" t="s">
        <v>254</v>
      </c>
      <c r="G171" s="73" t="s">
        <v>28</v>
      </c>
      <c r="H171" s="73" t="s">
        <v>888</v>
      </c>
      <c r="I171" s="73" t="s">
        <v>30</v>
      </c>
      <c r="J171" s="73" t="s">
        <v>31</v>
      </c>
      <c r="K171" s="73" t="s">
        <v>32</v>
      </c>
      <c r="L171" s="73" t="s">
        <v>174</v>
      </c>
      <c r="M171" s="73">
        <v>1</v>
      </c>
      <c r="N171" s="73">
        <v>8500</v>
      </c>
      <c r="O171" s="71">
        <v>0</v>
      </c>
      <c r="P171" s="73">
        <v>8500</v>
      </c>
      <c r="Q171" s="73">
        <v>1</v>
      </c>
      <c r="R171" s="73" t="s">
        <v>88</v>
      </c>
      <c r="S171" s="73" t="s">
        <v>151</v>
      </c>
      <c r="T171" s="70" t="s">
        <v>256</v>
      </c>
      <c r="U171" s="73">
        <v>9138184056</v>
      </c>
      <c r="V171" s="73" t="s">
        <v>69</v>
      </c>
      <c r="AQ171" s="87">
        <v>45919</v>
      </c>
    </row>
    <row r="172" spans="1:43" x14ac:dyDescent="0.5">
      <c r="A172" s="69" t="s">
        <v>890</v>
      </c>
      <c r="B172" s="70" t="s">
        <v>127</v>
      </c>
      <c r="C172" s="70" t="s">
        <v>54</v>
      </c>
      <c r="D172" s="86">
        <v>46113</v>
      </c>
      <c r="E172" s="70" t="s">
        <v>892</v>
      </c>
      <c r="F172" s="70" t="s">
        <v>200</v>
      </c>
      <c r="G172" s="70" t="s">
        <v>76</v>
      </c>
      <c r="H172" s="70" t="s">
        <v>893</v>
      </c>
      <c r="I172" s="70" t="s">
        <v>138</v>
      </c>
      <c r="J172" s="70" t="s">
        <v>106</v>
      </c>
      <c r="K172" s="70" t="s">
        <v>46</v>
      </c>
      <c r="L172" s="70" t="s">
        <v>60</v>
      </c>
      <c r="M172" s="70">
        <v>20</v>
      </c>
      <c r="N172" s="70">
        <v>55000</v>
      </c>
      <c r="O172" s="71">
        <v>0.1</v>
      </c>
      <c r="P172" s="70">
        <v>990000</v>
      </c>
      <c r="Q172" s="70">
        <v>5</v>
      </c>
      <c r="R172" s="70" t="s">
        <v>48</v>
      </c>
      <c r="S172" s="70" t="s">
        <v>151</v>
      </c>
      <c r="T172" s="70" t="s">
        <v>132</v>
      </c>
      <c r="U172" s="70">
        <v>9609598700</v>
      </c>
      <c r="V172" s="70" t="s">
        <v>38</v>
      </c>
      <c r="AQ172" s="86">
        <v>46026</v>
      </c>
    </row>
    <row r="173" spans="1:43" x14ac:dyDescent="0.5">
      <c r="A173" s="72" t="s">
        <v>895</v>
      </c>
      <c r="B173" s="73" t="s">
        <v>221</v>
      </c>
      <c r="C173" s="73" t="s">
        <v>72</v>
      </c>
      <c r="D173" s="87">
        <v>45958</v>
      </c>
      <c r="E173" s="73" t="s">
        <v>896</v>
      </c>
      <c r="F173" s="70" t="s">
        <v>225</v>
      </c>
      <c r="G173" s="73" t="s">
        <v>76</v>
      </c>
      <c r="H173" s="73" t="s">
        <v>897</v>
      </c>
      <c r="I173" s="73" t="s">
        <v>138</v>
      </c>
      <c r="J173" s="73" t="s">
        <v>106</v>
      </c>
      <c r="K173" s="73" t="s">
        <v>46</v>
      </c>
      <c r="L173" s="73" t="s">
        <v>78</v>
      </c>
      <c r="M173" s="73">
        <v>8</v>
      </c>
      <c r="N173" s="73">
        <v>1200</v>
      </c>
      <c r="O173" s="71">
        <v>0.15</v>
      </c>
      <c r="P173" s="73">
        <v>8160</v>
      </c>
      <c r="Q173" s="73">
        <v>2</v>
      </c>
      <c r="R173" s="73" t="s">
        <v>88</v>
      </c>
      <c r="S173" s="73" t="s">
        <v>115</v>
      </c>
      <c r="T173" s="70" t="s">
        <v>228</v>
      </c>
      <c r="U173" s="73">
        <v>9385894399</v>
      </c>
      <c r="V173" s="73" t="s">
        <v>69</v>
      </c>
      <c r="AQ173" s="87">
        <v>45958</v>
      </c>
    </row>
    <row r="174" spans="1:43" x14ac:dyDescent="0.5">
      <c r="A174" s="69" t="s">
        <v>899</v>
      </c>
      <c r="B174" s="70" t="s">
        <v>23</v>
      </c>
      <c r="C174" s="70" t="s">
        <v>92</v>
      </c>
      <c r="D174" s="86">
        <v>45694</v>
      </c>
      <c r="E174" s="70" t="s">
        <v>901</v>
      </c>
      <c r="F174" s="70" t="s">
        <v>27</v>
      </c>
      <c r="G174" s="70" t="s">
        <v>28</v>
      </c>
      <c r="H174" s="70" t="s">
        <v>902</v>
      </c>
      <c r="I174" s="70" t="s">
        <v>212</v>
      </c>
      <c r="J174" s="70" t="s">
        <v>45</v>
      </c>
      <c r="K174" s="70" t="s">
        <v>32</v>
      </c>
      <c r="L174" s="70" t="s">
        <v>97</v>
      </c>
      <c r="M174" s="70">
        <v>19</v>
      </c>
      <c r="N174" s="70">
        <v>3500</v>
      </c>
      <c r="O174" s="71">
        <v>0.05</v>
      </c>
      <c r="P174" s="70">
        <v>63175</v>
      </c>
      <c r="Q174" s="70">
        <v>4</v>
      </c>
      <c r="R174" s="70" t="s">
        <v>88</v>
      </c>
      <c r="S174" s="70" t="s">
        <v>49</v>
      </c>
      <c r="T174" s="70" t="s">
        <v>50</v>
      </c>
      <c r="U174" s="70">
        <v>9329448011</v>
      </c>
      <c r="V174" s="70" t="s">
        <v>64</v>
      </c>
      <c r="AQ174" s="86">
        <v>45810</v>
      </c>
    </row>
    <row r="175" spans="1:43" x14ac:dyDescent="0.5">
      <c r="A175" s="72" t="s">
        <v>904</v>
      </c>
      <c r="B175" s="73" t="s">
        <v>221</v>
      </c>
      <c r="C175" s="73" t="s">
        <v>259</v>
      </c>
      <c r="D175" s="87">
        <v>45774</v>
      </c>
      <c r="E175" s="73" t="s">
        <v>606</v>
      </c>
      <c r="F175" s="70" t="s">
        <v>225</v>
      </c>
      <c r="G175" s="73" t="s">
        <v>76</v>
      </c>
      <c r="H175" s="73" t="s">
        <v>906</v>
      </c>
      <c r="I175" s="73" t="s">
        <v>212</v>
      </c>
      <c r="J175" s="73" t="s">
        <v>45</v>
      </c>
      <c r="K175" s="73" t="s">
        <v>122</v>
      </c>
      <c r="L175" s="73" t="s">
        <v>263</v>
      </c>
      <c r="M175" s="73">
        <v>6</v>
      </c>
      <c r="N175" s="73">
        <v>45</v>
      </c>
      <c r="O175" s="71">
        <v>0.2</v>
      </c>
      <c r="P175" s="73">
        <v>216</v>
      </c>
      <c r="Q175" s="73">
        <v>1</v>
      </c>
      <c r="R175" s="73" t="s">
        <v>79</v>
      </c>
      <c r="S175" s="73" t="s">
        <v>49</v>
      </c>
      <c r="T175" s="70" t="s">
        <v>907</v>
      </c>
      <c r="U175" s="73">
        <v>9889544104</v>
      </c>
      <c r="V175" s="73" t="s">
        <v>64</v>
      </c>
      <c r="AQ175" s="87">
        <v>45774</v>
      </c>
    </row>
    <row r="176" spans="1:43" x14ac:dyDescent="0.5">
      <c r="A176" s="69" t="s">
        <v>909</v>
      </c>
      <c r="B176" s="70" t="s">
        <v>251</v>
      </c>
      <c r="C176" s="70" t="s">
        <v>259</v>
      </c>
      <c r="D176" s="86">
        <v>45730</v>
      </c>
      <c r="E176" s="70" t="s">
        <v>119</v>
      </c>
      <c r="F176" s="70" t="s">
        <v>254</v>
      </c>
      <c r="G176" s="70" t="s">
        <v>28</v>
      </c>
      <c r="H176" s="70" t="s">
        <v>911</v>
      </c>
      <c r="I176" s="70" t="s">
        <v>114</v>
      </c>
      <c r="J176" s="70" t="s">
        <v>106</v>
      </c>
      <c r="K176" s="70" t="s">
        <v>122</v>
      </c>
      <c r="L176" s="70" t="s">
        <v>263</v>
      </c>
      <c r="M176" s="70">
        <v>17</v>
      </c>
      <c r="N176" s="70">
        <v>45</v>
      </c>
      <c r="O176" s="71">
        <v>0.15</v>
      </c>
      <c r="P176" s="70">
        <v>650.25</v>
      </c>
      <c r="Q176" s="70">
        <v>5</v>
      </c>
      <c r="R176" s="70" t="s">
        <v>34</v>
      </c>
      <c r="S176" s="70" t="s">
        <v>115</v>
      </c>
      <c r="T176" s="70" t="s">
        <v>256</v>
      </c>
      <c r="U176" s="70">
        <v>9101861045</v>
      </c>
      <c r="V176" s="70" t="s">
        <v>64</v>
      </c>
      <c r="AQ176" s="86">
        <v>45730</v>
      </c>
    </row>
    <row r="177" spans="1:43" x14ac:dyDescent="0.5">
      <c r="A177" s="72" t="s">
        <v>913</v>
      </c>
      <c r="B177" s="73" t="s">
        <v>23</v>
      </c>
      <c r="C177" s="73" t="s">
        <v>222</v>
      </c>
      <c r="D177" s="87">
        <v>45842</v>
      </c>
      <c r="E177" s="73" t="s">
        <v>914</v>
      </c>
      <c r="F177" s="70" t="s">
        <v>27</v>
      </c>
      <c r="G177" s="73" t="s">
        <v>28</v>
      </c>
      <c r="H177" s="73" t="s">
        <v>915</v>
      </c>
      <c r="I177" s="73" t="s">
        <v>114</v>
      </c>
      <c r="J177" s="73" t="s">
        <v>106</v>
      </c>
      <c r="K177" s="73" t="s">
        <v>122</v>
      </c>
      <c r="L177" s="73" t="s">
        <v>227</v>
      </c>
      <c r="M177" s="73">
        <v>19</v>
      </c>
      <c r="N177" s="73">
        <v>20</v>
      </c>
      <c r="O177" s="71">
        <v>0.05</v>
      </c>
      <c r="P177" s="73">
        <v>361</v>
      </c>
      <c r="Q177" s="73">
        <v>4</v>
      </c>
      <c r="R177" s="73" t="s">
        <v>34</v>
      </c>
      <c r="S177" s="73" t="s">
        <v>35</v>
      </c>
      <c r="T177" s="70" t="s">
        <v>50</v>
      </c>
      <c r="U177" s="73">
        <v>9364712105</v>
      </c>
      <c r="V177" s="73" t="s">
        <v>64</v>
      </c>
      <c r="AQ177" s="87">
        <v>45754</v>
      </c>
    </row>
    <row r="178" spans="1:43" x14ac:dyDescent="0.5">
      <c r="A178" s="69" t="s">
        <v>917</v>
      </c>
      <c r="B178" s="70" t="s">
        <v>251</v>
      </c>
      <c r="C178" s="70" t="s">
        <v>222</v>
      </c>
      <c r="D178" s="86">
        <v>45993</v>
      </c>
      <c r="E178" s="70" t="s">
        <v>352</v>
      </c>
      <c r="F178" s="70" t="s">
        <v>254</v>
      </c>
      <c r="G178" s="70" t="s">
        <v>28</v>
      </c>
      <c r="H178" s="70" t="s">
        <v>920</v>
      </c>
      <c r="I178" s="70" t="s">
        <v>138</v>
      </c>
      <c r="J178" s="70" t="s">
        <v>106</v>
      </c>
      <c r="K178" s="70" t="s">
        <v>122</v>
      </c>
      <c r="L178" s="70" t="s">
        <v>227</v>
      </c>
      <c r="M178" s="70">
        <v>11</v>
      </c>
      <c r="N178" s="70">
        <v>20</v>
      </c>
      <c r="O178" s="71">
        <v>0</v>
      </c>
      <c r="P178" s="70">
        <v>220</v>
      </c>
      <c r="Q178" s="70">
        <v>3</v>
      </c>
      <c r="R178" s="70" t="s">
        <v>48</v>
      </c>
      <c r="S178" s="70" t="s">
        <v>49</v>
      </c>
      <c r="T178" s="70" t="s">
        <v>256</v>
      </c>
      <c r="U178" s="70">
        <v>9950206376</v>
      </c>
      <c r="V178" s="70" t="s">
        <v>38</v>
      </c>
      <c r="AQ178" s="86">
        <v>45700</v>
      </c>
    </row>
    <row r="179" spans="1:43" x14ac:dyDescent="0.5">
      <c r="A179" s="72" t="s">
        <v>922</v>
      </c>
      <c r="B179" s="73" t="s">
        <v>168</v>
      </c>
      <c r="C179" s="73" t="s">
        <v>118</v>
      </c>
      <c r="D179" s="87">
        <v>46067</v>
      </c>
      <c r="E179" s="73" t="s">
        <v>923</v>
      </c>
      <c r="F179" s="70" t="s">
        <v>361</v>
      </c>
      <c r="G179" s="73" t="s">
        <v>28</v>
      </c>
      <c r="H179" s="73" t="s">
        <v>924</v>
      </c>
      <c r="I179" s="73" t="s">
        <v>44</v>
      </c>
      <c r="J179" s="73" t="s">
        <v>45</v>
      </c>
      <c r="K179" s="73" t="s">
        <v>122</v>
      </c>
      <c r="L179" s="73" t="s">
        <v>123</v>
      </c>
      <c r="M179" s="73">
        <v>12</v>
      </c>
      <c r="N179" s="73">
        <v>60</v>
      </c>
      <c r="O179" s="71">
        <v>0</v>
      </c>
      <c r="P179" s="73">
        <v>720</v>
      </c>
      <c r="Q179" s="73">
        <v>2</v>
      </c>
      <c r="R179" s="73" t="s">
        <v>48</v>
      </c>
      <c r="S179" s="73" t="s">
        <v>49</v>
      </c>
      <c r="T179" s="70" t="s">
        <v>175</v>
      </c>
      <c r="U179" s="73">
        <v>9235822094</v>
      </c>
      <c r="V179" s="73" t="s">
        <v>38</v>
      </c>
      <c r="AQ179" s="87">
        <v>46067</v>
      </c>
    </row>
    <row r="180" spans="1:43" x14ac:dyDescent="0.5">
      <c r="A180" s="69" t="s">
        <v>926</v>
      </c>
      <c r="B180" s="70" t="s">
        <v>221</v>
      </c>
      <c r="C180" s="70" t="s">
        <v>259</v>
      </c>
      <c r="D180" s="86">
        <v>45970</v>
      </c>
      <c r="E180" s="70" t="s">
        <v>865</v>
      </c>
      <c r="F180" s="70" t="s">
        <v>103</v>
      </c>
      <c r="G180" s="70" t="s">
        <v>76</v>
      </c>
      <c r="H180" s="70" t="s">
        <v>929</v>
      </c>
      <c r="I180" s="70" t="s">
        <v>294</v>
      </c>
      <c r="J180" s="70" t="s">
        <v>295</v>
      </c>
      <c r="K180" s="70" t="s">
        <v>122</v>
      </c>
      <c r="L180" s="70" t="s">
        <v>263</v>
      </c>
      <c r="M180" s="70">
        <v>14</v>
      </c>
      <c r="N180" s="70">
        <v>45</v>
      </c>
      <c r="O180" s="71">
        <v>0.15</v>
      </c>
      <c r="P180" s="70">
        <v>535.5</v>
      </c>
      <c r="Q180" s="70">
        <v>5</v>
      </c>
      <c r="R180" s="70" t="s">
        <v>88</v>
      </c>
      <c r="S180" s="70" t="s">
        <v>115</v>
      </c>
      <c r="T180" s="70" t="s">
        <v>228</v>
      </c>
      <c r="U180" s="70">
        <v>9311021344</v>
      </c>
      <c r="V180" s="70" t="s">
        <v>64</v>
      </c>
      <c r="AQ180" s="86">
        <v>45911</v>
      </c>
    </row>
    <row r="181" spans="1:43" x14ac:dyDescent="0.5">
      <c r="A181" s="72" t="s">
        <v>931</v>
      </c>
      <c r="B181" s="73" t="s">
        <v>23</v>
      </c>
      <c r="C181" s="73" t="s">
        <v>184</v>
      </c>
      <c r="D181" s="87">
        <v>45695</v>
      </c>
      <c r="E181" s="73" t="s">
        <v>303</v>
      </c>
      <c r="F181" s="70" t="s">
        <v>27</v>
      </c>
      <c r="G181" s="73" t="s">
        <v>28</v>
      </c>
      <c r="H181" s="73" t="s">
        <v>933</v>
      </c>
      <c r="I181" s="73" t="s">
        <v>30</v>
      </c>
      <c r="J181" s="73" t="s">
        <v>31</v>
      </c>
      <c r="K181" s="73" t="s">
        <v>46</v>
      </c>
      <c r="L181" s="73" t="s">
        <v>189</v>
      </c>
      <c r="M181" s="73">
        <v>15</v>
      </c>
      <c r="N181" s="73">
        <v>700</v>
      </c>
      <c r="O181" s="71">
        <v>0.1</v>
      </c>
      <c r="P181" s="73">
        <v>9450</v>
      </c>
      <c r="Q181" s="73">
        <v>3</v>
      </c>
      <c r="R181" s="73" t="s">
        <v>48</v>
      </c>
      <c r="S181" s="73" t="s">
        <v>49</v>
      </c>
      <c r="T181" s="70" t="s">
        <v>50</v>
      </c>
      <c r="U181" s="73">
        <v>9891358505</v>
      </c>
      <c r="V181" s="73" t="s">
        <v>64</v>
      </c>
      <c r="AQ181" s="87">
        <v>45840</v>
      </c>
    </row>
    <row r="182" spans="1:43" x14ac:dyDescent="0.5">
      <c r="A182" s="69" t="s">
        <v>935</v>
      </c>
      <c r="B182" s="70" t="s">
        <v>100</v>
      </c>
      <c r="C182" s="70" t="s">
        <v>169</v>
      </c>
      <c r="D182" s="86">
        <v>45803</v>
      </c>
      <c r="E182" s="70" t="s">
        <v>683</v>
      </c>
      <c r="F182" s="70" t="s">
        <v>103</v>
      </c>
      <c r="G182" s="70" t="s">
        <v>28</v>
      </c>
      <c r="H182" s="70" t="s">
        <v>937</v>
      </c>
      <c r="I182" s="70" t="s">
        <v>138</v>
      </c>
      <c r="J182" s="70" t="s">
        <v>106</v>
      </c>
      <c r="K182" s="70" t="s">
        <v>32</v>
      </c>
      <c r="L182" s="70" t="s">
        <v>174</v>
      </c>
      <c r="M182" s="70">
        <v>19</v>
      </c>
      <c r="N182" s="70">
        <v>8500</v>
      </c>
      <c r="O182" s="71">
        <v>0.15</v>
      </c>
      <c r="P182" s="70">
        <v>137275</v>
      </c>
      <c r="Q182" s="70">
        <v>2</v>
      </c>
      <c r="R182" s="70" t="s">
        <v>34</v>
      </c>
      <c r="S182" s="70" t="s">
        <v>35</v>
      </c>
      <c r="T182" s="70" t="s">
        <v>144</v>
      </c>
      <c r="U182" s="70">
        <v>9910085332</v>
      </c>
      <c r="V182" s="70" t="s">
        <v>69</v>
      </c>
      <c r="AQ182" s="86">
        <v>45803</v>
      </c>
    </row>
    <row r="183" spans="1:43" x14ac:dyDescent="0.5">
      <c r="A183" s="72" t="s">
        <v>939</v>
      </c>
      <c r="B183" s="73" t="s">
        <v>251</v>
      </c>
      <c r="C183" s="73" t="s">
        <v>118</v>
      </c>
      <c r="D183" s="87">
        <v>45934</v>
      </c>
      <c r="E183" s="73" t="s">
        <v>941</v>
      </c>
      <c r="F183" s="70" t="s">
        <v>254</v>
      </c>
      <c r="G183" s="73" t="s">
        <v>28</v>
      </c>
      <c r="H183" s="73" t="s">
        <v>911</v>
      </c>
      <c r="I183" s="73" t="s">
        <v>212</v>
      </c>
      <c r="J183" s="73" t="s">
        <v>45</v>
      </c>
      <c r="K183" s="73" t="s">
        <v>122</v>
      </c>
      <c r="L183" s="73" t="s">
        <v>123</v>
      </c>
      <c r="M183" s="73">
        <v>19</v>
      </c>
      <c r="N183" s="73">
        <v>60</v>
      </c>
      <c r="O183" s="71">
        <v>0.2</v>
      </c>
      <c r="P183" s="73">
        <v>912</v>
      </c>
      <c r="Q183" s="73">
        <v>4</v>
      </c>
      <c r="R183" s="73" t="s">
        <v>79</v>
      </c>
      <c r="S183" s="73" t="s">
        <v>49</v>
      </c>
      <c r="T183" s="70" t="s">
        <v>256</v>
      </c>
      <c r="U183" s="73">
        <v>9756908023</v>
      </c>
      <c r="V183" s="73" t="s">
        <v>64</v>
      </c>
      <c r="AQ183" s="87">
        <v>45757</v>
      </c>
    </row>
    <row r="184" spans="1:43" x14ac:dyDescent="0.5">
      <c r="A184" s="69" t="s">
        <v>943</v>
      </c>
      <c r="B184" s="70" t="s">
        <v>100</v>
      </c>
      <c r="C184" s="70" t="s">
        <v>259</v>
      </c>
      <c r="D184" s="86">
        <v>45792</v>
      </c>
      <c r="E184" s="70" t="s">
        <v>936</v>
      </c>
      <c r="F184" s="70" t="s">
        <v>103</v>
      </c>
      <c r="G184" s="70" t="s">
        <v>28</v>
      </c>
      <c r="H184" s="70" t="s">
        <v>945</v>
      </c>
      <c r="I184" s="70" t="s">
        <v>59</v>
      </c>
      <c r="J184" s="70" t="s">
        <v>31</v>
      </c>
      <c r="K184" s="70" t="s">
        <v>122</v>
      </c>
      <c r="L184" s="70" t="s">
        <v>263</v>
      </c>
      <c r="M184" s="70">
        <v>10</v>
      </c>
      <c r="N184" s="70">
        <v>45</v>
      </c>
      <c r="O184" s="71">
        <v>0.15</v>
      </c>
      <c r="P184" s="70">
        <v>382.5</v>
      </c>
      <c r="Q184" s="70">
        <v>4</v>
      </c>
      <c r="R184" s="70" t="s">
        <v>34</v>
      </c>
      <c r="S184" s="70" t="s">
        <v>151</v>
      </c>
      <c r="T184" s="70" t="s">
        <v>144</v>
      </c>
      <c r="U184" s="70">
        <v>9645913247</v>
      </c>
      <c r="V184" s="70" t="s">
        <v>38</v>
      </c>
      <c r="AQ184" s="86">
        <v>45792</v>
      </c>
    </row>
    <row r="185" spans="1:43" x14ac:dyDescent="0.5">
      <c r="A185" s="72" t="s">
        <v>947</v>
      </c>
      <c r="B185" s="73" t="s">
        <v>71</v>
      </c>
      <c r="C185" s="73" t="s">
        <v>24</v>
      </c>
      <c r="D185" s="87">
        <v>45822</v>
      </c>
      <c r="E185" s="73" t="s">
        <v>949</v>
      </c>
      <c r="F185" s="70" t="s">
        <v>217</v>
      </c>
      <c r="G185" s="73" t="s">
        <v>76</v>
      </c>
      <c r="H185" s="73" t="s">
        <v>950</v>
      </c>
      <c r="I185" s="73" t="s">
        <v>44</v>
      </c>
      <c r="J185" s="73" t="s">
        <v>45</v>
      </c>
      <c r="K185" s="73" t="s">
        <v>32</v>
      </c>
      <c r="L185" s="73" t="s">
        <v>33</v>
      </c>
      <c r="M185" s="73">
        <v>7</v>
      </c>
      <c r="N185" s="73">
        <v>2200</v>
      </c>
      <c r="O185" s="71">
        <v>0.2</v>
      </c>
      <c r="P185" s="73">
        <v>12320</v>
      </c>
      <c r="Q185" s="73">
        <v>5</v>
      </c>
      <c r="R185" s="73" t="s">
        <v>88</v>
      </c>
      <c r="S185" s="73" t="s">
        <v>49</v>
      </c>
      <c r="T185" s="70" t="s">
        <v>80</v>
      </c>
      <c r="U185" s="73">
        <v>9806914795</v>
      </c>
      <c r="V185" s="73" t="s">
        <v>64</v>
      </c>
      <c r="AQ185" s="87">
        <v>45822</v>
      </c>
    </row>
    <row r="186" spans="1:43" x14ac:dyDescent="0.5">
      <c r="A186" s="69" t="s">
        <v>952</v>
      </c>
      <c r="B186" s="70" t="s">
        <v>100</v>
      </c>
      <c r="C186" s="70" t="s">
        <v>169</v>
      </c>
      <c r="D186" s="86">
        <v>45769</v>
      </c>
      <c r="E186" s="70" t="s">
        <v>42</v>
      </c>
      <c r="F186" s="70" t="s">
        <v>103</v>
      </c>
      <c r="G186" s="70" t="s">
        <v>28</v>
      </c>
      <c r="H186" s="70" t="s">
        <v>954</v>
      </c>
      <c r="I186" s="70" t="s">
        <v>294</v>
      </c>
      <c r="J186" s="70" t="s">
        <v>295</v>
      </c>
      <c r="K186" s="70" t="s">
        <v>32</v>
      </c>
      <c r="L186" s="70" t="s">
        <v>174</v>
      </c>
      <c r="M186" s="70">
        <v>20</v>
      </c>
      <c r="N186" s="70">
        <v>8500</v>
      </c>
      <c r="O186" s="71">
        <v>0.2</v>
      </c>
      <c r="P186" s="70">
        <v>136000</v>
      </c>
      <c r="Q186" s="70">
        <v>4</v>
      </c>
      <c r="R186" s="70" t="s">
        <v>48</v>
      </c>
      <c r="S186" s="70" t="s">
        <v>35</v>
      </c>
      <c r="T186" s="70" t="s">
        <v>144</v>
      </c>
      <c r="U186" s="70">
        <v>9276222829</v>
      </c>
      <c r="V186" s="70" t="s">
        <v>38</v>
      </c>
      <c r="AQ186" s="86">
        <v>45769</v>
      </c>
    </row>
    <row r="187" spans="1:43" x14ac:dyDescent="0.5">
      <c r="A187" s="72" t="s">
        <v>956</v>
      </c>
      <c r="B187" s="73" t="s">
        <v>251</v>
      </c>
      <c r="C187" s="73" t="s">
        <v>24</v>
      </c>
      <c r="D187" s="87">
        <v>45679</v>
      </c>
      <c r="E187" s="73" t="s">
        <v>957</v>
      </c>
      <c r="F187" s="70" t="s">
        <v>254</v>
      </c>
      <c r="G187" s="73" t="s">
        <v>28</v>
      </c>
      <c r="H187" s="73" t="s">
        <v>958</v>
      </c>
      <c r="I187" s="73" t="s">
        <v>30</v>
      </c>
      <c r="J187" s="73" t="s">
        <v>31</v>
      </c>
      <c r="K187" s="73" t="s">
        <v>32</v>
      </c>
      <c r="L187" s="73" t="s">
        <v>33</v>
      </c>
      <c r="M187" s="73">
        <v>10</v>
      </c>
      <c r="N187" s="73">
        <v>2200</v>
      </c>
      <c r="O187" s="71">
        <v>0.05</v>
      </c>
      <c r="P187" s="73">
        <v>20900</v>
      </c>
      <c r="Q187" s="73">
        <v>2</v>
      </c>
      <c r="R187" s="73" t="s">
        <v>48</v>
      </c>
      <c r="S187" s="73" t="s">
        <v>49</v>
      </c>
      <c r="T187" s="70" t="s">
        <v>256</v>
      </c>
      <c r="U187" s="73">
        <v>9533835528</v>
      </c>
      <c r="V187" s="73" t="s">
        <v>38</v>
      </c>
      <c r="AQ187" s="87">
        <v>45679</v>
      </c>
    </row>
    <row r="188" spans="1:43" x14ac:dyDescent="0.5">
      <c r="A188" s="69" t="s">
        <v>960</v>
      </c>
      <c r="B188" s="70" t="s">
        <v>127</v>
      </c>
      <c r="C188" s="70" t="s">
        <v>118</v>
      </c>
      <c r="D188" s="86">
        <v>46007</v>
      </c>
      <c r="E188" s="70" t="s">
        <v>961</v>
      </c>
      <c r="F188" s="70" t="s">
        <v>200</v>
      </c>
      <c r="G188" s="70" t="s">
        <v>76</v>
      </c>
      <c r="H188" s="70" t="s">
        <v>962</v>
      </c>
      <c r="I188" s="70" t="s">
        <v>114</v>
      </c>
      <c r="J188" s="70" t="s">
        <v>106</v>
      </c>
      <c r="K188" s="70" t="s">
        <v>122</v>
      </c>
      <c r="L188" s="70" t="s">
        <v>123</v>
      </c>
      <c r="M188" s="70">
        <v>15</v>
      </c>
      <c r="N188" s="70">
        <v>60</v>
      </c>
      <c r="O188" s="71">
        <v>0.2</v>
      </c>
      <c r="P188" s="70">
        <v>720</v>
      </c>
      <c r="Q188" s="70">
        <v>1</v>
      </c>
      <c r="R188" s="70" t="s">
        <v>79</v>
      </c>
      <c r="S188" s="70" t="s">
        <v>35</v>
      </c>
      <c r="T188" s="70" t="s">
        <v>132</v>
      </c>
      <c r="U188" s="70">
        <v>9654885820</v>
      </c>
      <c r="V188" s="70" t="s">
        <v>38</v>
      </c>
      <c r="AQ188" s="86">
        <v>46007</v>
      </c>
    </row>
    <row r="189" spans="1:43" x14ac:dyDescent="0.5">
      <c r="A189" s="72" t="s">
        <v>964</v>
      </c>
      <c r="B189" s="73" t="s">
        <v>221</v>
      </c>
      <c r="C189" s="73" t="s">
        <v>92</v>
      </c>
      <c r="D189" s="87">
        <v>45832</v>
      </c>
      <c r="E189" s="73" t="s">
        <v>965</v>
      </c>
      <c r="F189" s="70" t="s">
        <v>225</v>
      </c>
      <c r="G189" s="73" t="s">
        <v>76</v>
      </c>
      <c r="H189" s="73" t="s">
        <v>966</v>
      </c>
      <c r="I189" s="73" t="s">
        <v>30</v>
      </c>
      <c r="J189" s="73" t="s">
        <v>31</v>
      </c>
      <c r="K189" s="73" t="s">
        <v>32</v>
      </c>
      <c r="L189" s="73" t="s">
        <v>97</v>
      </c>
      <c r="M189" s="73">
        <v>18</v>
      </c>
      <c r="N189" s="73">
        <v>3500</v>
      </c>
      <c r="O189" s="71">
        <v>0.05</v>
      </c>
      <c r="P189" s="73">
        <v>59850</v>
      </c>
      <c r="Q189" s="73">
        <v>1</v>
      </c>
      <c r="R189" s="73" t="s">
        <v>79</v>
      </c>
      <c r="S189" s="73" t="s">
        <v>49</v>
      </c>
      <c r="T189" s="70" t="s">
        <v>228</v>
      </c>
      <c r="U189" s="73">
        <v>9456029544</v>
      </c>
      <c r="V189" s="73" t="s">
        <v>69</v>
      </c>
      <c r="AQ189" s="87">
        <v>45832</v>
      </c>
    </row>
    <row r="190" spans="1:43" x14ac:dyDescent="0.5">
      <c r="A190" s="69" t="s">
        <v>968</v>
      </c>
      <c r="B190" s="70" t="s">
        <v>327</v>
      </c>
      <c r="C190" s="70" t="s">
        <v>40</v>
      </c>
      <c r="D190" s="86">
        <v>46154</v>
      </c>
      <c r="E190" s="70" t="s">
        <v>970</v>
      </c>
      <c r="F190" s="70" t="s">
        <v>394</v>
      </c>
      <c r="G190" s="70" t="s">
        <v>76</v>
      </c>
      <c r="H190" s="70" t="s">
        <v>971</v>
      </c>
      <c r="I190" s="70" t="s">
        <v>114</v>
      </c>
      <c r="J190" s="70" t="s">
        <v>106</v>
      </c>
      <c r="K190" s="70" t="s">
        <v>46</v>
      </c>
      <c r="L190" s="70" t="s">
        <v>47</v>
      </c>
      <c r="M190" s="70">
        <v>6</v>
      </c>
      <c r="N190" s="70">
        <v>12000</v>
      </c>
      <c r="O190" s="71">
        <v>0.05</v>
      </c>
      <c r="P190" s="70">
        <v>68400</v>
      </c>
      <c r="Q190" s="70">
        <v>1</v>
      </c>
      <c r="R190" s="70" t="s">
        <v>48</v>
      </c>
      <c r="S190" s="70" t="s">
        <v>49</v>
      </c>
      <c r="T190" s="70" t="s">
        <v>332</v>
      </c>
      <c r="U190" s="70">
        <v>9914571493</v>
      </c>
      <c r="V190" s="70" t="s">
        <v>69</v>
      </c>
      <c r="AQ190" s="86">
        <v>46361</v>
      </c>
    </row>
    <row r="191" spans="1:43" x14ac:dyDescent="0.5">
      <c r="A191" s="72" t="s">
        <v>973</v>
      </c>
      <c r="B191" s="73" t="s">
        <v>327</v>
      </c>
      <c r="C191" s="73" t="s">
        <v>222</v>
      </c>
      <c r="D191" s="87">
        <v>46067</v>
      </c>
      <c r="E191" s="73" t="s">
        <v>479</v>
      </c>
      <c r="F191" s="70" t="s">
        <v>394</v>
      </c>
      <c r="G191" s="73" t="s">
        <v>76</v>
      </c>
      <c r="H191" s="73" t="s">
        <v>974</v>
      </c>
      <c r="I191" s="73" t="s">
        <v>59</v>
      </c>
      <c r="J191" s="73" t="s">
        <v>31</v>
      </c>
      <c r="K191" s="73" t="s">
        <v>122</v>
      </c>
      <c r="L191" s="73" t="s">
        <v>227</v>
      </c>
      <c r="M191" s="73">
        <v>19</v>
      </c>
      <c r="N191" s="73">
        <v>20</v>
      </c>
      <c r="O191" s="71">
        <v>0.1</v>
      </c>
      <c r="P191" s="73">
        <v>342</v>
      </c>
      <c r="Q191" s="73">
        <v>2</v>
      </c>
      <c r="R191" s="73" t="s">
        <v>48</v>
      </c>
      <c r="S191" s="73" t="s">
        <v>35</v>
      </c>
      <c r="T191" s="70" t="s">
        <v>332</v>
      </c>
      <c r="U191" s="73">
        <v>9270726986</v>
      </c>
      <c r="V191" s="73" t="s">
        <v>64</v>
      </c>
      <c r="AQ191" s="87">
        <v>46067</v>
      </c>
    </row>
    <row r="192" spans="1:43" x14ac:dyDescent="0.5">
      <c r="A192" s="69" t="s">
        <v>976</v>
      </c>
      <c r="B192" s="70" t="s">
        <v>221</v>
      </c>
      <c r="C192" s="70" t="s">
        <v>24</v>
      </c>
      <c r="D192" s="86">
        <v>46155</v>
      </c>
      <c r="E192" s="70" t="s">
        <v>427</v>
      </c>
      <c r="F192" s="70" t="s">
        <v>225</v>
      </c>
      <c r="G192" s="70" t="s">
        <v>76</v>
      </c>
      <c r="H192" s="70" t="s">
        <v>977</v>
      </c>
      <c r="I192" s="70" t="s">
        <v>114</v>
      </c>
      <c r="J192" s="70" t="s">
        <v>106</v>
      </c>
      <c r="K192" s="70" t="s">
        <v>32</v>
      </c>
      <c r="L192" s="70" t="s">
        <v>33</v>
      </c>
      <c r="M192" s="70">
        <v>7</v>
      </c>
      <c r="N192" s="70">
        <v>2200</v>
      </c>
      <c r="O192" s="71">
        <v>0</v>
      </c>
      <c r="P192" s="70">
        <v>15400</v>
      </c>
      <c r="Q192" s="70">
        <v>1</v>
      </c>
      <c r="R192" s="70" t="s">
        <v>79</v>
      </c>
      <c r="S192" s="70" t="s">
        <v>115</v>
      </c>
      <c r="T192" s="70" t="s">
        <v>228</v>
      </c>
      <c r="U192" s="70">
        <v>9570080664</v>
      </c>
      <c r="V192" s="70" t="s">
        <v>69</v>
      </c>
      <c r="AQ192" s="86">
        <v>46155</v>
      </c>
    </row>
    <row r="193" spans="1:43" x14ac:dyDescent="0.5">
      <c r="A193" s="72" t="s">
        <v>979</v>
      </c>
      <c r="B193" s="73" t="s">
        <v>327</v>
      </c>
      <c r="C193" s="73" t="s">
        <v>40</v>
      </c>
      <c r="D193" s="87">
        <v>45977</v>
      </c>
      <c r="E193" s="73" t="s">
        <v>980</v>
      </c>
      <c r="F193" s="70" t="s">
        <v>394</v>
      </c>
      <c r="G193" s="73" t="s">
        <v>76</v>
      </c>
      <c r="H193" s="73" t="s">
        <v>981</v>
      </c>
      <c r="I193" s="73" t="s">
        <v>212</v>
      </c>
      <c r="J193" s="73" t="s">
        <v>45</v>
      </c>
      <c r="K193" s="73" t="s">
        <v>46</v>
      </c>
      <c r="L193" s="73" t="s">
        <v>47</v>
      </c>
      <c r="M193" s="73">
        <v>3</v>
      </c>
      <c r="N193" s="73">
        <v>12000</v>
      </c>
      <c r="O193" s="71">
        <v>0.05</v>
      </c>
      <c r="P193" s="73">
        <v>34200</v>
      </c>
      <c r="Q193" s="73">
        <v>3</v>
      </c>
      <c r="R193" s="73" t="s">
        <v>79</v>
      </c>
      <c r="S193" s="73" t="s">
        <v>61</v>
      </c>
      <c r="T193" s="70" t="s">
        <v>332</v>
      </c>
      <c r="U193" s="73">
        <v>9109009524</v>
      </c>
      <c r="V193" s="73" t="s">
        <v>69</v>
      </c>
      <c r="AQ193" s="87">
        <v>45977</v>
      </c>
    </row>
    <row r="194" spans="1:43" x14ac:dyDescent="0.5">
      <c r="A194" s="69" t="s">
        <v>983</v>
      </c>
      <c r="B194" s="70" t="s">
        <v>168</v>
      </c>
      <c r="C194" s="70" t="s">
        <v>24</v>
      </c>
      <c r="D194" s="86">
        <v>45953</v>
      </c>
      <c r="E194" s="70" t="s">
        <v>864</v>
      </c>
      <c r="F194" s="70" t="s">
        <v>361</v>
      </c>
      <c r="G194" s="70" t="s">
        <v>28</v>
      </c>
      <c r="H194" s="70" t="s">
        <v>984</v>
      </c>
      <c r="I194" s="70" t="s">
        <v>212</v>
      </c>
      <c r="J194" s="70" t="s">
        <v>45</v>
      </c>
      <c r="K194" s="70" t="s">
        <v>32</v>
      </c>
      <c r="L194" s="70" t="s">
        <v>33</v>
      </c>
      <c r="M194" s="70">
        <v>16</v>
      </c>
      <c r="N194" s="70">
        <v>2200</v>
      </c>
      <c r="O194" s="71">
        <v>0</v>
      </c>
      <c r="P194" s="70">
        <v>35200</v>
      </c>
      <c r="Q194" s="70">
        <v>5</v>
      </c>
      <c r="R194" s="70" t="s">
        <v>79</v>
      </c>
      <c r="S194" s="70" t="s">
        <v>35</v>
      </c>
      <c r="T194" s="70" t="s">
        <v>175</v>
      </c>
      <c r="U194" s="70">
        <v>9701276770</v>
      </c>
      <c r="V194" s="70" t="s">
        <v>64</v>
      </c>
      <c r="AQ194" s="86">
        <v>45953</v>
      </c>
    </row>
    <row r="195" spans="1:43" x14ac:dyDescent="0.5">
      <c r="A195" s="72" t="s">
        <v>986</v>
      </c>
      <c r="B195" s="73" t="s">
        <v>251</v>
      </c>
      <c r="C195" s="73" t="s">
        <v>24</v>
      </c>
      <c r="D195" s="87">
        <v>45704</v>
      </c>
      <c r="E195" s="73" t="s">
        <v>988</v>
      </c>
      <c r="F195" s="70" t="s">
        <v>254</v>
      </c>
      <c r="G195" s="73" t="s">
        <v>28</v>
      </c>
      <c r="H195" s="73" t="s">
        <v>989</v>
      </c>
      <c r="I195" s="73" t="s">
        <v>44</v>
      </c>
      <c r="J195" s="73" t="s">
        <v>45</v>
      </c>
      <c r="K195" s="73" t="s">
        <v>32</v>
      </c>
      <c r="L195" s="73" t="s">
        <v>33</v>
      </c>
      <c r="M195" s="73">
        <v>8</v>
      </c>
      <c r="N195" s="73">
        <v>2200</v>
      </c>
      <c r="O195" s="71">
        <v>0.05</v>
      </c>
      <c r="P195" s="73">
        <v>16720</v>
      </c>
      <c r="Q195" s="73">
        <v>2</v>
      </c>
      <c r="R195" s="73" t="s">
        <v>88</v>
      </c>
      <c r="S195" s="73" t="s">
        <v>151</v>
      </c>
      <c r="T195" s="70" t="s">
        <v>256</v>
      </c>
      <c r="U195" s="73">
        <v>9298278507</v>
      </c>
      <c r="V195" s="73" t="s">
        <v>38</v>
      </c>
      <c r="AQ195" s="87">
        <v>45704</v>
      </c>
    </row>
    <row r="196" spans="1:43" x14ac:dyDescent="0.5">
      <c r="A196" s="69" t="s">
        <v>991</v>
      </c>
      <c r="B196" s="70" t="s">
        <v>251</v>
      </c>
      <c r="C196" s="70" t="s">
        <v>24</v>
      </c>
      <c r="D196" s="86">
        <v>46002</v>
      </c>
      <c r="E196" s="70" t="s">
        <v>454</v>
      </c>
      <c r="F196" s="70" t="s">
        <v>254</v>
      </c>
      <c r="G196" s="70" t="s">
        <v>28</v>
      </c>
      <c r="H196" s="70" t="s">
        <v>992</v>
      </c>
      <c r="I196" s="70" t="s">
        <v>138</v>
      </c>
      <c r="J196" s="70" t="s">
        <v>106</v>
      </c>
      <c r="K196" s="70" t="s">
        <v>32</v>
      </c>
      <c r="L196" s="70" t="s">
        <v>33</v>
      </c>
      <c r="M196" s="70">
        <v>10</v>
      </c>
      <c r="N196" s="70">
        <v>2200</v>
      </c>
      <c r="O196" s="71">
        <v>0.1</v>
      </c>
      <c r="P196" s="70">
        <v>19800</v>
      </c>
      <c r="Q196" s="70">
        <v>5</v>
      </c>
      <c r="R196" s="70" t="s">
        <v>48</v>
      </c>
      <c r="S196" s="70" t="s">
        <v>115</v>
      </c>
      <c r="T196" s="70" t="s">
        <v>256</v>
      </c>
      <c r="U196" s="70">
        <v>9895908093</v>
      </c>
      <c r="V196" s="70" t="s">
        <v>64</v>
      </c>
      <c r="AQ196" s="86">
        <v>45973</v>
      </c>
    </row>
    <row r="197" spans="1:43" x14ac:dyDescent="0.5">
      <c r="A197" s="72" t="s">
        <v>994</v>
      </c>
      <c r="B197" s="73" t="s">
        <v>83</v>
      </c>
      <c r="C197" s="73" t="s">
        <v>222</v>
      </c>
      <c r="D197" s="87">
        <v>45775</v>
      </c>
      <c r="E197" s="73" t="s">
        <v>596</v>
      </c>
      <c r="F197" s="70" t="s">
        <v>180</v>
      </c>
      <c r="G197" s="73" t="s">
        <v>76</v>
      </c>
      <c r="H197" s="73" t="s">
        <v>995</v>
      </c>
      <c r="I197" s="73" t="s">
        <v>44</v>
      </c>
      <c r="J197" s="73" t="s">
        <v>45</v>
      </c>
      <c r="K197" s="73" t="s">
        <v>122</v>
      </c>
      <c r="L197" s="73" t="s">
        <v>227</v>
      </c>
      <c r="M197" s="73">
        <v>7</v>
      </c>
      <c r="N197" s="73">
        <v>20</v>
      </c>
      <c r="O197" s="71">
        <v>0.1</v>
      </c>
      <c r="P197" s="73">
        <v>126</v>
      </c>
      <c r="Q197" s="73">
        <v>4</v>
      </c>
      <c r="R197" s="73" t="s">
        <v>79</v>
      </c>
      <c r="S197" s="73" t="s">
        <v>61</v>
      </c>
      <c r="T197" s="70" t="s">
        <v>89</v>
      </c>
      <c r="U197" s="73">
        <v>9734108795</v>
      </c>
      <c r="V197" s="73" t="s">
        <v>38</v>
      </c>
      <c r="AQ197" s="87">
        <v>45775</v>
      </c>
    </row>
    <row r="198" spans="1:43" x14ac:dyDescent="0.5">
      <c r="A198" s="69" t="s">
        <v>997</v>
      </c>
      <c r="B198" s="70" t="s">
        <v>221</v>
      </c>
      <c r="C198" s="70" t="s">
        <v>169</v>
      </c>
      <c r="D198" s="86">
        <v>46033</v>
      </c>
      <c r="E198" s="70" t="s">
        <v>998</v>
      </c>
      <c r="F198" s="70" t="s">
        <v>225</v>
      </c>
      <c r="G198" s="70" t="s">
        <v>76</v>
      </c>
      <c r="H198" s="70" t="s">
        <v>999</v>
      </c>
      <c r="I198" s="70" t="s">
        <v>30</v>
      </c>
      <c r="J198" s="70" t="s">
        <v>31</v>
      </c>
      <c r="K198" s="70" t="s">
        <v>32</v>
      </c>
      <c r="L198" s="70" t="s">
        <v>174</v>
      </c>
      <c r="M198" s="70">
        <v>19</v>
      </c>
      <c r="N198" s="70">
        <v>8500</v>
      </c>
      <c r="O198" s="71">
        <v>0.2</v>
      </c>
      <c r="P198" s="70">
        <v>129200</v>
      </c>
      <c r="Q198" s="70">
        <v>3</v>
      </c>
      <c r="R198" s="70" t="s">
        <v>48</v>
      </c>
      <c r="S198" s="70" t="s">
        <v>61</v>
      </c>
      <c r="T198" s="70" t="s">
        <v>228</v>
      </c>
      <c r="U198" s="70">
        <v>9799597413</v>
      </c>
      <c r="V198" s="70" t="s">
        <v>64</v>
      </c>
      <c r="AQ198" s="86">
        <v>46327</v>
      </c>
    </row>
    <row r="199" spans="1:43" x14ac:dyDescent="0.5">
      <c r="A199" s="72" t="s">
        <v>1001</v>
      </c>
      <c r="B199" s="73" t="s">
        <v>100</v>
      </c>
      <c r="C199" s="73" t="s">
        <v>118</v>
      </c>
      <c r="D199" s="87">
        <v>45717</v>
      </c>
      <c r="E199" s="73" t="s">
        <v>414</v>
      </c>
      <c r="F199" s="70" t="s">
        <v>103</v>
      </c>
      <c r="G199" s="73" t="s">
        <v>28</v>
      </c>
      <c r="H199" s="73" t="s">
        <v>1002</v>
      </c>
      <c r="I199" s="73" t="s">
        <v>114</v>
      </c>
      <c r="J199" s="73" t="s">
        <v>106</v>
      </c>
      <c r="K199" s="73" t="s">
        <v>122</v>
      </c>
      <c r="L199" s="73" t="s">
        <v>123</v>
      </c>
      <c r="M199" s="73">
        <v>16</v>
      </c>
      <c r="N199" s="73">
        <v>60</v>
      </c>
      <c r="O199" s="71">
        <v>0</v>
      </c>
      <c r="P199" s="73">
        <v>960</v>
      </c>
      <c r="Q199" s="73">
        <v>2</v>
      </c>
      <c r="R199" s="73" t="s">
        <v>48</v>
      </c>
      <c r="S199" s="73" t="s">
        <v>115</v>
      </c>
      <c r="T199" s="70" t="s">
        <v>144</v>
      </c>
      <c r="U199" s="73">
        <v>9688987266</v>
      </c>
      <c r="V199" s="73" t="s">
        <v>38</v>
      </c>
      <c r="AQ199" s="87">
        <v>45660</v>
      </c>
    </row>
    <row r="200" spans="1:43" x14ac:dyDescent="0.5">
      <c r="A200" s="69" t="s">
        <v>1004</v>
      </c>
      <c r="B200" s="70" t="s">
        <v>221</v>
      </c>
      <c r="C200" s="70" t="s">
        <v>92</v>
      </c>
      <c r="D200" s="86">
        <v>46127</v>
      </c>
      <c r="E200" s="70" t="s">
        <v>731</v>
      </c>
      <c r="F200" s="70" t="s">
        <v>225</v>
      </c>
      <c r="G200" s="70" t="s">
        <v>76</v>
      </c>
      <c r="H200" s="70" t="s">
        <v>1006</v>
      </c>
      <c r="I200" s="70" t="s">
        <v>59</v>
      </c>
      <c r="J200" s="70" t="s">
        <v>31</v>
      </c>
      <c r="K200" s="70" t="s">
        <v>122</v>
      </c>
      <c r="L200" s="70" t="s">
        <v>97</v>
      </c>
      <c r="M200" s="70">
        <v>18</v>
      </c>
      <c r="N200" s="70">
        <v>3500</v>
      </c>
      <c r="O200" s="71">
        <v>0.05</v>
      </c>
      <c r="P200" s="70">
        <v>59850</v>
      </c>
      <c r="Q200" s="70">
        <v>1</v>
      </c>
      <c r="R200" s="70" t="s">
        <v>88</v>
      </c>
      <c r="S200" s="70" t="s">
        <v>115</v>
      </c>
      <c r="T200" s="70" t="s">
        <v>228</v>
      </c>
      <c r="U200" s="70">
        <v>9867169037</v>
      </c>
      <c r="V200" s="70" t="s">
        <v>64</v>
      </c>
      <c r="AQ200" s="86">
        <v>46127</v>
      </c>
    </row>
    <row r="201" spans="1:43" x14ac:dyDescent="0.5">
      <c r="A201" s="72" t="s">
        <v>1009</v>
      </c>
      <c r="B201" s="73" t="s">
        <v>100</v>
      </c>
      <c r="C201" s="73" t="s">
        <v>54</v>
      </c>
      <c r="D201" s="87">
        <v>45708</v>
      </c>
      <c r="E201" s="73" t="s">
        <v>431</v>
      </c>
      <c r="F201" s="70" t="s">
        <v>103</v>
      </c>
      <c r="G201" s="73" t="s">
        <v>28</v>
      </c>
      <c r="H201" s="73" t="s">
        <v>1011</v>
      </c>
      <c r="I201" s="73" t="s">
        <v>212</v>
      </c>
      <c r="J201" s="73" t="s">
        <v>45</v>
      </c>
      <c r="K201" s="73" t="s">
        <v>46</v>
      </c>
      <c r="L201" s="73" t="s">
        <v>60</v>
      </c>
      <c r="M201" s="73">
        <v>16</v>
      </c>
      <c r="N201" s="73">
        <v>55000</v>
      </c>
      <c r="O201" s="71">
        <v>0</v>
      </c>
      <c r="P201" s="73">
        <v>880000</v>
      </c>
      <c r="Q201" s="73">
        <v>1</v>
      </c>
      <c r="R201" s="73" t="s">
        <v>79</v>
      </c>
      <c r="S201" s="73" t="s">
        <v>61</v>
      </c>
      <c r="T201" s="70" t="s">
        <v>144</v>
      </c>
      <c r="U201" s="73">
        <v>9485547425</v>
      </c>
      <c r="V201" s="73" t="s">
        <v>69</v>
      </c>
      <c r="AQ201" s="87">
        <v>45708</v>
      </c>
    </row>
    <row r="202" spans="1:43" x14ac:dyDescent="0.5">
      <c r="A202" s="69" t="s">
        <v>1013</v>
      </c>
      <c r="B202" s="70" t="s">
        <v>221</v>
      </c>
      <c r="C202" s="70" t="s">
        <v>72</v>
      </c>
      <c r="D202" s="86">
        <v>45694</v>
      </c>
      <c r="E202" s="70" t="s">
        <v>435</v>
      </c>
      <c r="F202" s="70" t="s">
        <v>225</v>
      </c>
      <c r="G202" s="70" t="s">
        <v>76</v>
      </c>
      <c r="H202" s="70" t="s">
        <v>1014</v>
      </c>
      <c r="I202" s="70" t="s">
        <v>138</v>
      </c>
      <c r="J202" s="70" t="s">
        <v>106</v>
      </c>
      <c r="K202" s="70" t="s">
        <v>46</v>
      </c>
      <c r="L202" s="70" t="s">
        <v>78</v>
      </c>
      <c r="M202" s="70">
        <v>18</v>
      </c>
      <c r="N202" s="70">
        <v>1200</v>
      </c>
      <c r="O202" s="71">
        <v>0.15</v>
      </c>
      <c r="P202" s="70">
        <v>18360</v>
      </c>
      <c r="Q202" s="70">
        <v>2</v>
      </c>
      <c r="R202" s="70" t="s">
        <v>48</v>
      </c>
      <c r="S202" s="70" t="s">
        <v>35</v>
      </c>
      <c r="T202" s="70" t="s">
        <v>228</v>
      </c>
      <c r="U202" s="70">
        <v>9889733076</v>
      </c>
      <c r="V202" s="70" t="s">
        <v>69</v>
      </c>
      <c r="AQ202" s="86">
        <v>45810</v>
      </c>
    </row>
    <row r="203" spans="1:43" x14ac:dyDescent="0.5">
      <c r="A203" s="72" t="s">
        <v>1016</v>
      </c>
      <c r="B203" s="73" t="s">
        <v>71</v>
      </c>
      <c r="C203" s="73" t="s">
        <v>259</v>
      </c>
      <c r="D203" s="87">
        <v>45801</v>
      </c>
      <c r="E203" s="73" t="s">
        <v>1018</v>
      </c>
      <c r="F203" s="70" t="s">
        <v>217</v>
      </c>
      <c r="G203" s="73" t="s">
        <v>76</v>
      </c>
      <c r="H203" s="73" t="s">
        <v>1019</v>
      </c>
      <c r="I203" s="73" t="s">
        <v>30</v>
      </c>
      <c r="J203" s="73" t="s">
        <v>31</v>
      </c>
      <c r="K203" s="73" t="s">
        <v>122</v>
      </c>
      <c r="L203" s="73" t="s">
        <v>263</v>
      </c>
      <c r="M203" s="73">
        <v>2</v>
      </c>
      <c r="N203" s="73">
        <v>45</v>
      </c>
      <c r="O203" s="71">
        <v>0.15</v>
      </c>
      <c r="P203" s="73">
        <v>76.5</v>
      </c>
      <c r="Q203" s="73">
        <v>5</v>
      </c>
      <c r="R203" s="73" t="s">
        <v>34</v>
      </c>
      <c r="S203" s="73" t="s">
        <v>61</v>
      </c>
      <c r="T203" s="70" t="s">
        <v>80</v>
      </c>
      <c r="U203" s="73">
        <v>9145434449</v>
      </c>
      <c r="V203" s="73" t="s">
        <v>69</v>
      </c>
      <c r="AQ203" s="87">
        <v>45801</v>
      </c>
    </row>
    <row r="204" spans="1:43" x14ac:dyDescent="0.5">
      <c r="A204" s="69" t="s">
        <v>1021</v>
      </c>
      <c r="B204" s="70" t="s">
        <v>53</v>
      </c>
      <c r="C204" s="70" t="s">
        <v>169</v>
      </c>
      <c r="D204" s="86">
        <v>46028</v>
      </c>
      <c r="E204" s="70" t="s">
        <v>85</v>
      </c>
      <c r="F204" s="70" t="s">
        <v>163</v>
      </c>
      <c r="G204" s="70" t="s">
        <v>28</v>
      </c>
      <c r="H204" s="70" t="s">
        <v>1022</v>
      </c>
      <c r="I204" s="70" t="s">
        <v>59</v>
      </c>
      <c r="J204" s="70" t="s">
        <v>31</v>
      </c>
      <c r="K204" s="70" t="s">
        <v>32</v>
      </c>
      <c r="L204" s="70" t="s">
        <v>174</v>
      </c>
      <c r="M204" s="70">
        <v>20</v>
      </c>
      <c r="N204" s="70">
        <v>8500</v>
      </c>
      <c r="O204" s="71">
        <v>0</v>
      </c>
      <c r="P204" s="70">
        <v>170000</v>
      </c>
      <c r="Q204" s="70">
        <v>4</v>
      </c>
      <c r="R204" s="70" t="s">
        <v>48</v>
      </c>
      <c r="S204" s="70" t="s">
        <v>61</v>
      </c>
      <c r="T204" s="70" t="s">
        <v>62</v>
      </c>
      <c r="U204" s="70">
        <v>9598942148</v>
      </c>
      <c r="V204" s="70" t="s">
        <v>69</v>
      </c>
      <c r="AQ204" s="86">
        <v>46174</v>
      </c>
    </row>
    <row r="205" spans="1:43" x14ac:dyDescent="0.5">
      <c r="A205" s="72" t="s">
        <v>1024</v>
      </c>
      <c r="B205" s="73" t="s">
        <v>127</v>
      </c>
      <c r="C205" s="73" t="s">
        <v>92</v>
      </c>
      <c r="D205" s="87">
        <v>46089</v>
      </c>
      <c r="E205" s="73" t="s">
        <v>1025</v>
      </c>
      <c r="F205" s="70" t="s">
        <v>200</v>
      </c>
      <c r="G205" s="73" t="s">
        <v>76</v>
      </c>
      <c r="H205" s="73" t="s">
        <v>494</v>
      </c>
      <c r="I205" s="73" t="s">
        <v>212</v>
      </c>
      <c r="J205" s="73" t="s">
        <v>45</v>
      </c>
      <c r="K205" s="73" t="s">
        <v>32</v>
      </c>
      <c r="L205" s="73" t="s">
        <v>97</v>
      </c>
      <c r="M205" s="73">
        <v>6</v>
      </c>
      <c r="N205" s="73">
        <v>3500</v>
      </c>
      <c r="O205" s="71">
        <v>0.05</v>
      </c>
      <c r="P205" s="73">
        <v>19950</v>
      </c>
      <c r="Q205" s="73">
        <v>1</v>
      </c>
      <c r="R205" s="73" t="s">
        <v>34</v>
      </c>
      <c r="S205" s="73" t="s">
        <v>151</v>
      </c>
      <c r="T205" s="70" t="s">
        <v>132</v>
      </c>
      <c r="U205" s="73">
        <v>9599252705</v>
      </c>
      <c r="V205" s="73" t="s">
        <v>38</v>
      </c>
      <c r="AQ205" s="87">
        <v>46237</v>
      </c>
    </row>
    <row r="206" spans="1:43" x14ac:dyDescent="0.5">
      <c r="A206" s="69" t="s">
        <v>1027</v>
      </c>
      <c r="B206" s="70" t="s">
        <v>168</v>
      </c>
      <c r="C206" s="70" t="s">
        <v>259</v>
      </c>
      <c r="D206" s="86">
        <v>45935</v>
      </c>
      <c r="E206" s="70" t="s">
        <v>281</v>
      </c>
      <c r="F206" s="70" t="s">
        <v>361</v>
      </c>
      <c r="G206" s="70" t="s">
        <v>28</v>
      </c>
      <c r="H206" s="70" t="s">
        <v>1028</v>
      </c>
      <c r="I206" s="70" t="s">
        <v>114</v>
      </c>
      <c r="J206" s="70" t="s">
        <v>106</v>
      </c>
      <c r="K206" s="70" t="s">
        <v>122</v>
      </c>
      <c r="L206" s="70" t="s">
        <v>263</v>
      </c>
      <c r="M206" s="70">
        <v>8</v>
      </c>
      <c r="N206" s="70">
        <v>45</v>
      </c>
      <c r="O206" s="71">
        <v>0.05</v>
      </c>
      <c r="P206" s="70">
        <v>342</v>
      </c>
      <c r="Q206" s="70">
        <v>2</v>
      </c>
      <c r="R206" s="70" t="s">
        <v>34</v>
      </c>
      <c r="S206" s="70" t="s">
        <v>49</v>
      </c>
      <c r="T206" s="70" t="s">
        <v>175</v>
      </c>
      <c r="U206" s="70">
        <v>9626843681</v>
      </c>
      <c r="V206" s="70" t="s">
        <v>64</v>
      </c>
      <c r="AQ206" s="86">
        <v>45787</v>
      </c>
    </row>
    <row r="207" spans="1:43" x14ac:dyDescent="0.5">
      <c r="A207" s="72" t="s">
        <v>1030</v>
      </c>
      <c r="B207" s="73" t="s">
        <v>327</v>
      </c>
      <c r="C207" s="73" t="s">
        <v>24</v>
      </c>
      <c r="D207" s="87">
        <v>45722</v>
      </c>
      <c r="E207" s="73" t="s">
        <v>1031</v>
      </c>
      <c r="F207" s="70" t="s">
        <v>394</v>
      </c>
      <c r="G207" s="73" t="s">
        <v>76</v>
      </c>
      <c r="H207" s="73" t="s">
        <v>1032</v>
      </c>
      <c r="I207" s="73" t="s">
        <v>105</v>
      </c>
      <c r="J207" s="73" t="s">
        <v>106</v>
      </c>
      <c r="K207" s="73" t="s">
        <v>32</v>
      </c>
      <c r="L207" s="73" t="s">
        <v>33</v>
      </c>
      <c r="M207" s="73">
        <v>18</v>
      </c>
      <c r="N207" s="73">
        <v>2200</v>
      </c>
      <c r="O207" s="71">
        <v>0.15</v>
      </c>
      <c r="P207" s="73">
        <v>33660</v>
      </c>
      <c r="Q207" s="73">
        <v>4</v>
      </c>
      <c r="R207" s="73" t="s">
        <v>79</v>
      </c>
      <c r="S207" s="73" t="s">
        <v>61</v>
      </c>
      <c r="T207" s="70" t="s">
        <v>332</v>
      </c>
      <c r="U207" s="73">
        <v>9934933215</v>
      </c>
      <c r="V207" s="73" t="s">
        <v>64</v>
      </c>
      <c r="AQ207" s="87">
        <v>45811</v>
      </c>
    </row>
    <row r="208" spans="1:43" x14ac:dyDescent="0.5">
      <c r="A208" s="69" t="s">
        <v>1034</v>
      </c>
      <c r="B208" s="70" t="s">
        <v>221</v>
      </c>
      <c r="C208" s="70" t="s">
        <v>184</v>
      </c>
      <c r="D208" s="86">
        <v>46118</v>
      </c>
      <c r="E208" s="70" t="s">
        <v>1005</v>
      </c>
      <c r="F208" s="70" t="s">
        <v>225</v>
      </c>
      <c r="G208" s="70" t="s">
        <v>76</v>
      </c>
      <c r="H208" s="70" t="s">
        <v>1036</v>
      </c>
      <c r="I208" s="70" t="s">
        <v>30</v>
      </c>
      <c r="J208" s="70" t="s">
        <v>31</v>
      </c>
      <c r="K208" s="70" t="s">
        <v>46</v>
      </c>
      <c r="L208" s="70" t="s">
        <v>189</v>
      </c>
      <c r="M208" s="70">
        <v>18</v>
      </c>
      <c r="N208" s="70">
        <v>700</v>
      </c>
      <c r="O208" s="71">
        <v>0.15</v>
      </c>
      <c r="P208" s="70">
        <v>10710</v>
      </c>
      <c r="Q208" s="70">
        <v>3</v>
      </c>
      <c r="R208" s="70" t="s">
        <v>79</v>
      </c>
      <c r="S208" s="70" t="s">
        <v>151</v>
      </c>
      <c r="T208" s="70" t="s">
        <v>228</v>
      </c>
      <c r="U208" s="70">
        <v>9508025585</v>
      </c>
      <c r="V208" s="70" t="s">
        <v>69</v>
      </c>
      <c r="AQ208" s="86">
        <v>46177</v>
      </c>
    </row>
    <row r="209" spans="1:43" x14ac:dyDescent="0.5">
      <c r="A209" s="72" t="s">
        <v>1038</v>
      </c>
      <c r="B209" s="73" t="s">
        <v>327</v>
      </c>
      <c r="C209" s="73" t="s">
        <v>54</v>
      </c>
      <c r="D209" s="87">
        <v>46039</v>
      </c>
      <c r="E209" s="73" t="s">
        <v>1040</v>
      </c>
      <c r="F209" s="70" t="s">
        <v>394</v>
      </c>
      <c r="G209" s="73" t="s">
        <v>76</v>
      </c>
      <c r="H209" s="73" t="s">
        <v>1041</v>
      </c>
      <c r="I209" s="73" t="s">
        <v>114</v>
      </c>
      <c r="J209" s="73" t="s">
        <v>106</v>
      </c>
      <c r="K209" s="73" t="s">
        <v>46</v>
      </c>
      <c r="L209" s="73" t="s">
        <v>60</v>
      </c>
      <c r="M209" s="73">
        <v>12</v>
      </c>
      <c r="N209" s="73">
        <v>55000</v>
      </c>
      <c r="O209" s="71">
        <v>0</v>
      </c>
      <c r="P209" s="73">
        <v>660000</v>
      </c>
      <c r="Q209" s="73">
        <v>2</v>
      </c>
      <c r="R209" s="73" t="s">
        <v>88</v>
      </c>
      <c r="S209" s="73" t="s">
        <v>49</v>
      </c>
      <c r="T209" s="70" t="s">
        <v>332</v>
      </c>
      <c r="U209" s="73">
        <v>9364681052</v>
      </c>
      <c r="V209" s="73" t="s">
        <v>69</v>
      </c>
      <c r="AQ209" s="87">
        <v>46039</v>
      </c>
    </row>
    <row r="210" spans="1:43" x14ac:dyDescent="0.5">
      <c r="A210" s="69" t="s">
        <v>1043</v>
      </c>
      <c r="B210" s="70" t="s">
        <v>23</v>
      </c>
      <c r="C210" s="70" t="s">
        <v>40</v>
      </c>
      <c r="D210" s="86">
        <v>45976</v>
      </c>
      <c r="E210" s="70" t="s">
        <v>1044</v>
      </c>
      <c r="F210" s="70" t="s">
        <v>27</v>
      </c>
      <c r="G210" s="70" t="s">
        <v>28</v>
      </c>
      <c r="H210" s="70" t="s">
        <v>1045</v>
      </c>
      <c r="I210" s="70" t="s">
        <v>105</v>
      </c>
      <c r="J210" s="70" t="s">
        <v>106</v>
      </c>
      <c r="K210" s="70" t="s">
        <v>46</v>
      </c>
      <c r="L210" s="70" t="s">
        <v>47</v>
      </c>
      <c r="M210" s="70">
        <v>7</v>
      </c>
      <c r="N210" s="70">
        <v>12000</v>
      </c>
      <c r="O210" s="71">
        <v>0.05</v>
      </c>
      <c r="P210" s="70">
        <v>79800</v>
      </c>
      <c r="Q210" s="70">
        <v>3</v>
      </c>
      <c r="R210" s="70" t="s">
        <v>79</v>
      </c>
      <c r="S210" s="70" t="s">
        <v>151</v>
      </c>
      <c r="T210" s="70" t="s">
        <v>50</v>
      </c>
      <c r="U210" s="70">
        <v>9117102884</v>
      </c>
      <c r="V210" s="70" t="s">
        <v>64</v>
      </c>
      <c r="AQ210" s="86">
        <v>45976</v>
      </c>
    </row>
    <row r="211" spans="1:43" x14ac:dyDescent="0.5">
      <c r="A211" s="72" t="s">
        <v>1047</v>
      </c>
      <c r="B211" s="73" t="s">
        <v>251</v>
      </c>
      <c r="C211" s="73" t="s">
        <v>40</v>
      </c>
      <c r="D211" s="87">
        <v>45921</v>
      </c>
      <c r="E211" s="73" t="s">
        <v>129</v>
      </c>
      <c r="F211" s="70" t="s">
        <v>254</v>
      </c>
      <c r="G211" s="73" t="s">
        <v>28</v>
      </c>
      <c r="H211" s="73" t="s">
        <v>1049</v>
      </c>
      <c r="I211" s="73" t="s">
        <v>105</v>
      </c>
      <c r="J211" s="73" t="s">
        <v>106</v>
      </c>
      <c r="K211" s="73" t="s">
        <v>46</v>
      </c>
      <c r="L211" s="73" t="s">
        <v>47</v>
      </c>
      <c r="M211" s="73">
        <v>8</v>
      </c>
      <c r="N211" s="73">
        <v>12000</v>
      </c>
      <c r="O211" s="71">
        <v>0.15</v>
      </c>
      <c r="P211" s="73">
        <v>81600</v>
      </c>
      <c r="Q211" s="73">
        <v>4</v>
      </c>
      <c r="R211" s="73" t="s">
        <v>79</v>
      </c>
      <c r="S211" s="73" t="s">
        <v>49</v>
      </c>
      <c r="T211" s="70" t="s">
        <v>256</v>
      </c>
      <c r="U211" s="73">
        <v>9819453185</v>
      </c>
      <c r="V211" s="73" t="s">
        <v>38</v>
      </c>
      <c r="AQ211" s="87">
        <v>45921</v>
      </c>
    </row>
    <row r="212" spans="1:43" x14ac:dyDescent="0.5">
      <c r="A212" s="69" t="s">
        <v>1051</v>
      </c>
      <c r="B212" s="70" t="s">
        <v>327</v>
      </c>
      <c r="C212" s="70" t="s">
        <v>92</v>
      </c>
      <c r="D212" s="86">
        <v>46009</v>
      </c>
      <c r="E212" s="70" t="s">
        <v>1052</v>
      </c>
      <c r="F212" s="70" t="s">
        <v>394</v>
      </c>
      <c r="G212" s="70" t="s">
        <v>76</v>
      </c>
      <c r="H212" s="70" t="s">
        <v>1053</v>
      </c>
      <c r="I212" s="70" t="s">
        <v>105</v>
      </c>
      <c r="J212" s="70" t="s">
        <v>106</v>
      </c>
      <c r="K212" s="70" t="s">
        <v>32</v>
      </c>
      <c r="L212" s="70" t="s">
        <v>97</v>
      </c>
      <c r="M212" s="70">
        <v>19</v>
      </c>
      <c r="N212" s="70">
        <v>3500</v>
      </c>
      <c r="O212" s="71">
        <v>0.05</v>
      </c>
      <c r="P212" s="70">
        <v>63175</v>
      </c>
      <c r="Q212" s="70">
        <v>3</v>
      </c>
      <c r="R212" s="70" t="s">
        <v>79</v>
      </c>
      <c r="S212" s="70" t="s">
        <v>61</v>
      </c>
      <c r="T212" s="70" t="s">
        <v>332</v>
      </c>
      <c r="U212" s="70">
        <v>9511806701</v>
      </c>
      <c r="V212" s="70" t="s">
        <v>64</v>
      </c>
      <c r="AQ212" s="86">
        <v>46009</v>
      </c>
    </row>
    <row r="213" spans="1:43" x14ac:dyDescent="0.5">
      <c r="A213" s="72" t="s">
        <v>1055</v>
      </c>
      <c r="B213" s="73" t="s">
        <v>251</v>
      </c>
      <c r="C213" s="73" t="s">
        <v>259</v>
      </c>
      <c r="D213" s="87">
        <v>45694</v>
      </c>
      <c r="E213" s="73" t="s">
        <v>987</v>
      </c>
      <c r="F213" s="70" t="s">
        <v>254</v>
      </c>
      <c r="G213" s="73" t="s">
        <v>28</v>
      </c>
      <c r="H213" s="73" t="s">
        <v>1056</v>
      </c>
      <c r="I213" s="73" t="s">
        <v>138</v>
      </c>
      <c r="J213" s="73" t="s">
        <v>106</v>
      </c>
      <c r="K213" s="73" t="s">
        <v>122</v>
      </c>
      <c r="L213" s="73" t="s">
        <v>263</v>
      </c>
      <c r="M213" s="73">
        <v>7</v>
      </c>
      <c r="N213" s="73">
        <v>45</v>
      </c>
      <c r="O213" s="71">
        <v>0.05</v>
      </c>
      <c r="P213" s="73">
        <v>299.25</v>
      </c>
      <c r="Q213" s="73">
        <v>3</v>
      </c>
      <c r="R213" s="73" t="s">
        <v>79</v>
      </c>
      <c r="S213" s="73" t="s">
        <v>35</v>
      </c>
      <c r="T213" s="70" t="s">
        <v>256</v>
      </c>
      <c r="U213" s="73">
        <v>9875249891</v>
      </c>
      <c r="V213" s="73" t="s">
        <v>69</v>
      </c>
      <c r="AQ213" s="87">
        <v>45810</v>
      </c>
    </row>
    <row r="214" spans="1:43" x14ac:dyDescent="0.5">
      <c r="A214" s="69" t="s">
        <v>1058</v>
      </c>
      <c r="B214" s="70" t="s">
        <v>23</v>
      </c>
      <c r="C214" s="70" t="s">
        <v>118</v>
      </c>
      <c r="D214" s="86">
        <v>45810</v>
      </c>
      <c r="E214" s="70" t="s">
        <v>750</v>
      </c>
      <c r="F214" s="70" t="s">
        <v>27</v>
      </c>
      <c r="G214" s="70" t="s">
        <v>28</v>
      </c>
      <c r="H214" s="70" t="s">
        <v>331</v>
      </c>
      <c r="I214" s="70" t="s">
        <v>30</v>
      </c>
      <c r="J214" s="70" t="s">
        <v>31</v>
      </c>
      <c r="K214" s="70" t="s">
        <v>122</v>
      </c>
      <c r="L214" s="70" t="s">
        <v>123</v>
      </c>
      <c r="M214" s="70">
        <v>3</v>
      </c>
      <c r="N214" s="70">
        <v>60</v>
      </c>
      <c r="O214" s="71">
        <v>0.15</v>
      </c>
      <c r="P214" s="70">
        <v>153</v>
      </c>
      <c r="Q214" s="70">
        <v>3</v>
      </c>
      <c r="R214" s="70" t="s">
        <v>48</v>
      </c>
      <c r="S214" s="70" t="s">
        <v>49</v>
      </c>
      <c r="T214" s="70" t="s">
        <v>50</v>
      </c>
      <c r="U214" s="70">
        <v>9438232503</v>
      </c>
      <c r="V214" s="70" t="s">
        <v>69</v>
      </c>
      <c r="AQ214" s="86">
        <v>45694</v>
      </c>
    </row>
    <row r="215" spans="1:43" x14ac:dyDescent="0.5">
      <c r="A215" s="72" t="s">
        <v>1060</v>
      </c>
      <c r="B215" s="73" t="s">
        <v>53</v>
      </c>
      <c r="C215" s="73" t="s">
        <v>259</v>
      </c>
      <c r="D215" s="87">
        <v>46134</v>
      </c>
      <c r="E215" s="73" t="s">
        <v>582</v>
      </c>
      <c r="F215" s="70" t="s">
        <v>163</v>
      </c>
      <c r="G215" s="73" t="s">
        <v>28</v>
      </c>
      <c r="H215" s="73" t="s">
        <v>1062</v>
      </c>
      <c r="I215" s="73" t="s">
        <v>114</v>
      </c>
      <c r="J215" s="73" t="s">
        <v>106</v>
      </c>
      <c r="K215" s="73" t="s">
        <v>122</v>
      </c>
      <c r="L215" s="73" t="s">
        <v>263</v>
      </c>
      <c r="M215" s="73">
        <v>19</v>
      </c>
      <c r="N215" s="73">
        <v>45</v>
      </c>
      <c r="O215" s="71">
        <v>0</v>
      </c>
      <c r="P215" s="73">
        <v>855</v>
      </c>
      <c r="Q215" s="73">
        <v>2</v>
      </c>
      <c r="R215" s="73" t="s">
        <v>34</v>
      </c>
      <c r="S215" s="73" t="s">
        <v>61</v>
      </c>
      <c r="T215" s="70" t="s">
        <v>62</v>
      </c>
      <c r="U215" s="73">
        <v>9449953754</v>
      </c>
      <c r="V215" s="73" t="s">
        <v>38</v>
      </c>
      <c r="AQ215" s="87">
        <v>46134</v>
      </c>
    </row>
    <row r="216" spans="1:43" x14ac:dyDescent="0.5">
      <c r="A216" s="69" t="s">
        <v>1064</v>
      </c>
      <c r="B216" s="70" t="s">
        <v>100</v>
      </c>
      <c r="C216" s="70" t="s">
        <v>40</v>
      </c>
      <c r="D216" s="86">
        <v>46087</v>
      </c>
      <c r="E216" s="70" t="s">
        <v>543</v>
      </c>
      <c r="F216" s="70" t="s">
        <v>103</v>
      </c>
      <c r="G216" s="70" t="s">
        <v>28</v>
      </c>
      <c r="H216" s="70" t="s">
        <v>1066</v>
      </c>
      <c r="I216" s="70" t="s">
        <v>59</v>
      </c>
      <c r="J216" s="70" t="s">
        <v>31</v>
      </c>
      <c r="K216" s="70" t="s">
        <v>46</v>
      </c>
      <c r="L216" s="70" t="s">
        <v>47</v>
      </c>
      <c r="M216" s="70">
        <v>10</v>
      </c>
      <c r="N216" s="70">
        <v>12000</v>
      </c>
      <c r="O216" s="71">
        <v>0.05</v>
      </c>
      <c r="P216" s="70">
        <v>114000</v>
      </c>
      <c r="Q216" s="70">
        <v>1</v>
      </c>
      <c r="R216" s="70" t="s">
        <v>79</v>
      </c>
      <c r="S216" s="70" t="s">
        <v>115</v>
      </c>
      <c r="T216" s="70" t="s">
        <v>144</v>
      </c>
      <c r="U216" s="70">
        <v>9833801891</v>
      </c>
      <c r="V216" s="70" t="s">
        <v>69</v>
      </c>
      <c r="AQ216" s="86">
        <v>46176</v>
      </c>
    </row>
    <row r="217" spans="1:43" x14ac:dyDescent="0.5">
      <c r="A217" s="72" t="s">
        <v>1068</v>
      </c>
      <c r="B217" s="73" t="s">
        <v>23</v>
      </c>
      <c r="C217" s="73" t="s">
        <v>72</v>
      </c>
      <c r="D217" s="87">
        <v>45716</v>
      </c>
      <c r="E217" s="73" t="s">
        <v>1031</v>
      </c>
      <c r="F217" s="70" t="s">
        <v>27</v>
      </c>
      <c r="G217" s="73" t="s">
        <v>28</v>
      </c>
      <c r="H217" s="73" t="s">
        <v>1070</v>
      </c>
      <c r="I217" s="73" t="s">
        <v>294</v>
      </c>
      <c r="J217" s="73" t="s">
        <v>295</v>
      </c>
      <c r="K217" s="73" t="s">
        <v>46</v>
      </c>
      <c r="L217" s="73" t="s">
        <v>78</v>
      </c>
      <c r="M217" s="73">
        <v>4</v>
      </c>
      <c r="N217" s="73">
        <v>1200</v>
      </c>
      <c r="O217" s="71">
        <v>0</v>
      </c>
      <c r="P217" s="73">
        <v>4800</v>
      </c>
      <c r="Q217" s="73">
        <v>4</v>
      </c>
      <c r="R217" s="73" t="s">
        <v>34</v>
      </c>
      <c r="S217" s="73" t="s">
        <v>61</v>
      </c>
      <c r="T217" s="70" t="s">
        <v>50</v>
      </c>
      <c r="U217" s="73">
        <v>9183949273</v>
      </c>
      <c r="V217" s="73" t="s">
        <v>38</v>
      </c>
      <c r="AQ217" s="87">
        <v>45716</v>
      </c>
    </row>
    <row r="218" spans="1:43" x14ac:dyDescent="0.5">
      <c r="A218" s="69" t="s">
        <v>1072</v>
      </c>
      <c r="B218" s="70" t="s">
        <v>221</v>
      </c>
      <c r="C218" s="70" t="s">
        <v>169</v>
      </c>
      <c r="D218" s="86">
        <v>45961</v>
      </c>
      <c r="E218" s="70" t="s">
        <v>1073</v>
      </c>
      <c r="F218" s="70" t="s">
        <v>225</v>
      </c>
      <c r="G218" s="70" t="s">
        <v>76</v>
      </c>
      <c r="H218" s="70" t="s">
        <v>1074</v>
      </c>
      <c r="I218" s="70" t="s">
        <v>59</v>
      </c>
      <c r="J218" s="70" t="s">
        <v>31</v>
      </c>
      <c r="K218" s="70" t="s">
        <v>32</v>
      </c>
      <c r="L218" s="70" t="s">
        <v>174</v>
      </c>
      <c r="M218" s="70">
        <v>2</v>
      </c>
      <c r="N218" s="70">
        <v>8500</v>
      </c>
      <c r="O218" s="71">
        <v>0.2</v>
      </c>
      <c r="P218" s="70">
        <v>13600</v>
      </c>
      <c r="Q218" s="70">
        <v>3</v>
      </c>
      <c r="R218" s="70" t="s">
        <v>79</v>
      </c>
      <c r="S218" s="70" t="s">
        <v>151</v>
      </c>
      <c r="T218" s="70" t="s">
        <v>228</v>
      </c>
      <c r="U218" s="70">
        <v>9168257367</v>
      </c>
      <c r="V218" s="70" t="s">
        <v>38</v>
      </c>
      <c r="AQ218" s="86">
        <v>45961</v>
      </c>
    </row>
    <row r="219" spans="1:43" x14ac:dyDescent="0.5">
      <c r="A219" s="72" t="s">
        <v>1076</v>
      </c>
      <c r="B219" s="73" t="s">
        <v>83</v>
      </c>
      <c r="C219" s="73" t="s">
        <v>184</v>
      </c>
      <c r="D219" s="87">
        <v>46052</v>
      </c>
      <c r="E219" s="73" t="s">
        <v>322</v>
      </c>
      <c r="F219" s="70" t="s">
        <v>180</v>
      </c>
      <c r="G219" s="73" t="s">
        <v>76</v>
      </c>
      <c r="H219" s="73" t="s">
        <v>1078</v>
      </c>
      <c r="I219" s="73" t="s">
        <v>294</v>
      </c>
      <c r="J219" s="73" t="s">
        <v>295</v>
      </c>
      <c r="K219" s="73" t="s">
        <v>46</v>
      </c>
      <c r="L219" s="73" t="s">
        <v>189</v>
      </c>
      <c r="M219" s="73">
        <v>7</v>
      </c>
      <c r="N219" s="73">
        <v>700</v>
      </c>
      <c r="O219" s="71">
        <v>0.2</v>
      </c>
      <c r="P219" s="73">
        <v>3920</v>
      </c>
      <c r="Q219" s="73">
        <v>2</v>
      </c>
      <c r="R219" s="73" t="s">
        <v>79</v>
      </c>
      <c r="S219" s="73" t="s">
        <v>151</v>
      </c>
      <c r="T219" s="70" t="s">
        <v>89</v>
      </c>
      <c r="U219" s="73">
        <v>9580903210</v>
      </c>
      <c r="V219" s="73" t="s">
        <v>64</v>
      </c>
      <c r="AQ219" s="87">
        <v>46052</v>
      </c>
    </row>
    <row r="220" spans="1:43" x14ac:dyDescent="0.5">
      <c r="A220" s="69" t="s">
        <v>1080</v>
      </c>
      <c r="B220" s="70" t="s">
        <v>53</v>
      </c>
      <c r="C220" s="70" t="s">
        <v>222</v>
      </c>
      <c r="D220" s="86">
        <v>46141</v>
      </c>
      <c r="E220" s="70" t="s">
        <v>518</v>
      </c>
      <c r="F220" s="70" t="s">
        <v>163</v>
      </c>
      <c r="G220" s="70" t="s">
        <v>28</v>
      </c>
      <c r="H220" s="70" t="s">
        <v>1082</v>
      </c>
      <c r="I220" s="70" t="s">
        <v>114</v>
      </c>
      <c r="J220" s="70" t="s">
        <v>106</v>
      </c>
      <c r="K220" s="70" t="s">
        <v>122</v>
      </c>
      <c r="L220" s="70" t="s">
        <v>227</v>
      </c>
      <c r="M220" s="70">
        <v>9</v>
      </c>
      <c r="N220" s="70">
        <v>20</v>
      </c>
      <c r="O220" s="71">
        <v>0.15</v>
      </c>
      <c r="P220" s="70">
        <v>153</v>
      </c>
      <c r="Q220" s="70">
        <v>3</v>
      </c>
      <c r="R220" s="70" t="s">
        <v>48</v>
      </c>
      <c r="S220" s="70" t="s">
        <v>115</v>
      </c>
      <c r="T220" s="70" t="s">
        <v>62</v>
      </c>
      <c r="U220" s="70">
        <v>9602152945</v>
      </c>
      <c r="V220" s="70" t="s">
        <v>38</v>
      </c>
      <c r="AQ220" s="86">
        <v>46141</v>
      </c>
    </row>
    <row r="221" spans="1:43" x14ac:dyDescent="0.5">
      <c r="A221" s="72" t="s">
        <v>1084</v>
      </c>
      <c r="B221" s="73" t="s">
        <v>100</v>
      </c>
      <c r="C221" s="73" t="s">
        <v>169</v>
      </c>
      <c r="D221" s="87">
        <v>45795</v>
      </c>
      <c r="E221" s="73" t="s">
        <v>1086</v>
      </c>
      <c r="F221" s="70" t="s">
        <v>103</v>
      </c>
      <c r="G221" s="73" t="s">
        <v>28</v>
      </c>
      <c r="H221" s="73" t="s">
        <v>1087</v>
      </c>
      <c r="I221" s="73" t="s">
        <v>294</v>
      </c>
      <c r="J221" s="73" t="s">
        <v>295</v>
      </c>
      <c r="K221" s="73" t="s">
        <v>32</v>
      </c>
      <c r="L221" s="73" t="s">
        <v>174</v>
      </c>
      <c r="M221" s="73">
        <v>16</v>
      </c>
      <c r="N221" s="73">
        <v>8500</v>
      </c>
      <c r="O221" s="71">
        <v>0</v>
      </c>
      <c r="P221" s="73">
        <v>136000</v>
      </c>
      <c r="Q221" s="73">
        <v>4</v>
      </c>
      <c r="R221" s="73" t="s">
        <v>48</v>
      </c>
      <c r="S221" s="73" t="s">
        <v>35</v>
      </c>
      <c r="T221" s="70" t="s">
        <v>144</v>
      </c>
      <c r="U221" s="73">
        <v>9646917552</v>
      </c>
      <c r="V221" s="73" t="s">
        <v>38</v>
      </c>
      <c r="AQ221" s="87">
        <v>45795</v>
      </c>
    </row>
    <row r="222" spans="1:43" x14ac:dyDescent="0.5">
      <c r="A222" s="69" t="s">
        <v>1089</v>
      </c>
      <c r="B222" s="70" t="s">
        <v>251</v>
      </c>
      <c r="C222" s="70" t="s">
        <v>92</v>
      </c>
      <c r="D222" s="86">
        <v>46107</v>
      </c>
      <c r="E222" s="70" t="s">
        <v>1090</v>
      </c>
      <c r="F222" s="70" t="s">
        <v>254</v>
      </c>
      <c r="G222" s="70" t="s">
        <v>28</v>
      </c>
      <c r="H222" s="70" t="s">
        <v>1091</v>
      </c>
      <c r="I222" s="70" t="s">
        <v>44</v>
      </c>
      <c r="J222" s="70" t="s">
        <v>45</v>
      </c>
      <c r="K222" s="70" t="s">
        <v>32</v>
      </c>
      <c r="L222" s="70" t="s">
        <v>97</v>
      </c>
      <c r="M222" s="70">
        <v>10</v>
      </c>
      <c r="N222" s="70">
        <v>3500</v>
      </c>
      <c r="O222" s="71">
        <v>0.05</v>
      </c>
      <c r="P222" s="70">
        <v>33250</v>
      </c>
      <c r="Q222" s="70">
        <v>3</v>
      </c>
      <c r="R222" s="70" t="s">
        <v>48</v>
      </c>
      <c r="S222" s="70" t="s">
        <v>115</v>
      </c>
      <c r="T222" s="70" t="s">
        <v>256</v>
      </c>
      <c r="U222" s="70">
        <v>9127548552</v>
      </c>
      <c r="V222" s="70" t="s">
        <v>38</v>
      </c>
      <c r="AQ222" s="86">
        <v>46107</v>
      </c>
    </row>
    <row r="223" spans="1:43" x14ac:dyDescent="0.5">
      <c r="A223" s="72" t="s">
        <v>1093</v>
      </c>
      <c r="B223" s="73" t="s">
        <v>53</v>
      </c>
      <c r="C223" s="73" t="s">
        <v>40</v>
      </c>
      <c r="D223" s="87">
        <v>46041</v>
      </c>
      <c r="E223" s="73" t="s">
        <v>588</v>
      </c>
      <c r="F223" s="70" t="s">
        <v>163</v>
      </c>
      <c r="G223" s="73" t="s">
        <v>28</v>
      </c>
      <c r="H223" s="73" t="s">
        <v>1095</v>
      </c>
      <c r="I223" s="73" t="s">
        <v>294</v>
      </c>
      <c r="J223" s="73" t="s">
        <v>295</v>
      </c>
      <c r="K223" s="73" t="s">
        <v>46</v>
      </c>
      <c r="L223" s="73" t="s">
        <v>47</v>
      </c>
      <c r="M223" s="73">
        <v>1</v>
      </c>
      <c r="N223" s="73">
        <v>12000</v>
      </c>
      <c r="O223" s="71">
        <v>0</v>
      </c>
      <c r="P223" s="73">
        <v>12000</v>
      </c>
      <c r="Q223" s="73">
        <v>5</v>
      </c>
      <c r="R223" s="73" t="s">
        <v>88</v>
      </c>
      <c r="S223" s="73" t="s">
        <v>115</v>
      </c>
      <c r="T223" s="70" t="s">
        <v>62</v>
      </c>
      <c r="U223" s="73">
        <v>9712805603</v>
      </c>
      <c r="V223" s="73" t="s">
        <v>64</v>
      </c>
      <c r="AQ223" s="87">
        <v>46041</v>
      </c>
    </row>
    <row r="224" spans="1:43" x14ac:dyDescent="0.5">
      <c r="A224" s="69" t="s">
        <v>1097</v>
      </c>
      <c r="B224" s="70" t="s">
        <v>327</v>
      </c>
      <c r="C224" s="70" t="s">
        <v>259</v>
      </c>
      <c r="D224" s="86">
        <v>46144</v>
      </c>
      <c r="E224" s="70" t="s">
        <v>601</v>
      </c>
      <c r="F224" s="70" t="s">
        <v>394</v>
      </c>
      <c r="G224" s="70" t="s">
        <v>76</v>
      </c>
      <c r="H224" s="70" t="s">
        <v>1099</v>
      </c>
      <c r="I224" s="70" t="s">
        <v>294</v>
      </c>
      <c r="J224" s="70" t="s">
        <v>295</v>
      </c>
      <c r="K224" s="70" t="s">
        <v>122</v>
      </c>
      <c r="L224" s="70" t="s">
        <v>263</v>
      </c>
      <c r="M224" s="70">
        <v>19</v>
      </c>
      <c r="N224" s="70">
        <v>45</v>
      </c>
      <c r="O224" s="71">
        <v>0.15</v>
      </c>
      <c r="P224" s="70">
        <v>726.75</v>
      </c>
      <c r="Q224" s="70">
        <v>2</v>
      </c>
      <c r="R224" s="70" t="s">
        <v>88</v>
      </c>
      <c r="S224" s="70" t="s">
        <v>151</v>
      </c>
      <c r="T224" s="70" t="s">
        <v>332</v>
      </c>
      <c r="U224" s="70">
        <v>9798313682</v>
      </c>
      <c r="V224" s="70" t="s">
        <v>64</v>
      </c>
      <c r="AQ224" s="86">
        <v>46058</v>
      </c>
    </row>
    <row r="225" spans="1:43" x14ac:dyDescent="0.5">
      <c r="A225" s="72" t="s">
        <v>1101</v>
      </c>
      <c r="B225" s="73" t="s">
        <v>23</v>
      </c>
      <c r="C225" s="73" t="s">
        <v>54</v>
      </c>
      <c r="D225" s="87">
        <v>45961</v>
      </c>
      <c r="E225" s="73" t="s">
        <v>1102</v>
      </c>
      <c r="F225" s="70" t="s">
        <v>27</v>
      </c>
      <c r="G225" s="73" t="s">
        <v>28</v>
      </c>
      <c r="H225" s="73" t="s">
        <v>1103</v>
      </c>
      <c r="I225" s="73" t="s">
        <v>44</v>
      </c>
      <c r="J225" s="73" t="s">
        <v>45</v>
      </c>
      <c r="K225" s="73" t="s">
        <v>46</v>
      </c>
      <c r="L225" s="73" t="s">
        <v>60</v>
      </c>
      <c r="M225" s="73">
        <v>13</v>
      </c>
      <c r="N225" s="73">
        <v>55000</v>
      </c>
      <c r="O225" s="71">
        <v>0.05</v>
      </c>
      <c r="P225" s="73">
        <v>679250</v>
      </c>
      <c r="Q225" s="73">
        <v>4</v>
      </c>
      <c r="R225" s="73" t="s">
        <v>79</v>
      </c>
      <c r="S225" s="73" t="s">
        <v>49</v>
      </c>
      <c r="T225" s="70" t="s">
        <v>50</v>
      </c>
      <c r="U225" s="73">
        <v>9642822397</v>
      </c>
      <c r="V225" s="73" t="s">
        <v>69</v>
      </c>
      <c r="AQ225" s="87">
        <v>45961</v>
      </c>
    </row>
    <row r="226" spans="1:43" x14ac:dyDescent="0.5">
      <c r="A226" s="69" t="s">
        <v>1105</v>
      </c>
      <c r="B226" s="70" t="s">
        <v>83</v>
      </c>
      <c r="C226" s="70" t="s">
        <v>259</v>
      </c>
      <c r="D226" s="86">
        <v>45858</v>
      </c>
      <c r="E226" s="70" t="s">
        <v>155</v>
      </c>
      <c r="F226" s="70" t="s">
        <v>180</v>
      </c>
      <c r="G226" s="70" t="s">
        <v>76</v>
      </c>
      <c r="H226" s="70" t="s">
        <v>1107</v>
      </c>
      <c r="I226" s="70" t="s">
        <v>105</v>
      </c>
      <c r="J226" s="70" t="s">
        <v>106</v>
      </c>
      <c r="K226" s="70" t="s">
        <v>122</v>
      </c>
      <c r="L226" s="70" t="s">
        <v>263</v>
      </c>
      <c r="M226" s="70">
        <v>2</v>
      </c>
      <c r="N226" s="70">
        <v>45</v>
      </c>
      <c r="O226" s="71">
        <v>0.15</v>
      </c>
      <c r="P226" s="70">
        <v>76.5</v>
      </c>
      <c r="Q226" s="70">
        <v>1</v>
      </c>
      <c r="R226" s="70" t="s">
        <v>48</v>
      </c>
      <c r="S226" s="70" t="s">
        <v>115</v>
      </c>
      <c r="T226" s="70" t="s">
        <v>89</v>
      </c>
      <c r="U226" s="70">
        <v>9490067655</v>
      </c>
      <c r="V226" s="70" t="s">
        <v>38</v>
      </c>
      <c r="AQ226" s="86">
        <v>45858</v>
      </c>
    </row>
    <row r="227" spans="1:43" x14ac:dyDescent="0.5">
      <c r="A227" s="72" t="s">
        <v>1109</v>
      </c>
      <c r="B227" s="73" t="s">
        <v>100</v>
      </c>
      <c r="C227" s="73" t="s">
        <v>222</v>
      </c>
      <c r="D227" s="87">
        <v>45707</v>
      </c>
      <c r="E227" s="73" t="s">
        <v>1110</v>
      </c>
      <c r="F227" s="70" t="s">
        <v>103</v>
      </c>
      <c r="G227" s="73" t="s">
        <v>28</v>
      </c>
      <c r="H227" s="73" t="s">
        <v>1111</v>
      </c>
      <c r="I227" s="73" t="s">
        <v>30</v>
      </c>
      <c r="J227" s="73" t="s">
        <v>31</v>
      </c>
      <c r="K227" s="73" t="s">
        <v>122</v>
      </c>
      <c r="L227" s="73" t="s">
        <v>227</v>
      </c>
      <c r="M227" s="73">
        <v>8</v>
      </c>
      <c r="N227" s="73">
        <v>20</v>
      </c>
      <c r="O227" s="71">
        <v>0.15</v>
      </c>
      <c r="P227" s="73">
        <v>136</v>
      </c>
      <c r="Q227" s="73">
        <v>1</v>
      </c>
      <c r="R227" s="73" t="s">
        <v>79</v>
      </c>
      <c r="S227" s="73" t="s">
        <v>35</v>
      </c>
      <c r="T227" s="70" t="s">
        <v>144</v>
      </c>
      <c r="U227" s="73">
        <v>9389792144</v>
      </c>
      <c r="V227" s="73" t="s">
        <v>64</v>
      </c>
      <c r="AQ227" s="87">
        <v>45707</v>
      </c>
    </row>
    <row r="228" spans="1:43" x14ac:dyDescent="0.5">
      <c r="A228" s="69" t="s">
        <v>1113</v>
      </c>
      <c r="B228" s="70" t="s">
        <v>168</v>
      </c>
      <c r="C228" s="70" t="s">
        <v>40</v>
      </c>
      <c r="D228" s="86">
        <v>45767</v>
      </c>
      <c r="E228" s="70" t="s">
        <v>1115</v>
      </c>
      <c r="F228" s="70" t="s">
        <v>361</v>
      </c>
      <c r="G228" s="70" t="s">
        <v>28</v>
      </c>
      <c r="H228" s="70" t="s">
        <v>1116</v>
      </c>
      <c r="I228" s="70" t="s">
        <v>30</v>
      </c>
      <c r="J228" s="70" t="s">
        <v>31</v>
      </c>
      <c r="K228" s="70" t="s">
        <v>46</v>
      </c>
      <c r="L228" s="70" t="s">
        <v>47</v>
      </c>
      <c r="M228" s="70">
        <v>9</v>
      </c>
      <c r="N228" s="70">
        <v>12000</v>
      </c>
      <c r="O228" s="71">
        <v>0.05</v>
      </c>
      <c r="P228" s="70">
        <v>102600</v>
      </c>
      <c r="Q228" s="70">
        <v>2</v>
      </c>
      <c r="R228" s="70" t="s">
        <v>79</v>
      </c>
      <c r="S228" s="70" t="s">
        <v>35</v>
      </c>
      <c r="T228" s="70" t="s">
        <v>175</v>
      </c>
      <c r="U228" s="70">
        <v>9736113863</v>
      </c>
      <c r="V228" s="70" t="s">
        <v>69</v>
      </c>
      <c r="AQ228" s="86">
        <v>45767</v>
      </c>
    </row>
    <row r="229" spans="1:43" x14ac:dyDescent="0.5">
      <c r="A229" s="72" t="s">
        <v>1118</v>
      </c>
      <c r="B229" s="73" t="s">
        <v>71</v>
      </c>
      <c r="C229" s="73" t="s">
        <v>92</v>
      </c>
      <c r="D229" s="87">
        <v>45813</v>
      </c>
      <c r="E229" s="73" t="s">
        <v>1120</v>
      </c>
      <c r="F229" s="70" t="s">
        <v>217</v>
      </c>
      <c r="G229" s="73" t="s">
        <v>76</v>
      </c>
      <c r="H229" s="73" t="s">
        <v>1121</v>
      </c>
      <c r="I229" s="73" t="s">
        <v>294</v>
      </c>
      <c r="J229" s="73" t="s">
        <v>295</v>
      </c>
      <c r="K229" s="73" t="s">
        <v>32</v>
      </c>
      <c r="L229" s="73" t="s">
        <v>97</v>
      </c>
      <c r="M229" s="73">
        <v>3</v>
      </c>
      <c r="N229" s="73">
        <v>3500</v>
      </c>
      <c r="O229" s="71">
        <v>0.15</v>
      </c>
      <c r="P229" s="73">
        <v>8925</v>
      </c>
      <c r="Q229" s="73">
        <v>1</v>
      </c>
      <c r="R229" s="73" t="s">
        <v>34</v>
      </c>
      <c r="S229" s="73" t="s">
        <v>49</v>
      </c>
      <c r="T229" s="70" t="s">
        <v>80</v>
      </c>
      <c r="U229" s="73">
        <v>9324634732</v>
      </c>
      <c r="V229" s="73" t="s">
        <v>69</v>
      </c>
      <c r="AQ229" s="87">
        <v>45783</v>
      </c>
    </row>
    <row r="230" spans="1:43" x14ac:dyDescent="0.5">
      <c r="A230" s="69" t="s">
        <v>1123</v>
      </c>
      <c r="B230" s="70" t="s">
        <v>100</v>
      </c>
      <c r="C230" s="70" t="s">
        <v>184</v>
      </c>
      <c r="D230" s="86">
        <v>45797</v>
      </c>
      <c r="E230" s="70" t="s">
        <v>1124</v>
      </c>
      <c r="F230" s="70" t="s">
        <v>103</v>
      </c>
      <c r="G230" s="70" t="s">
        <v>28</v>
      </c>
      <c r="H230" s="70" t="s">
        <v>1125</v>
      </c>
      <c r="I230" s="70" t="s">
        <v>30</v>
      </c>
      <c r="J230" s="70" t="s">
        <v>31</v>
      </c>
      <c r="K230" s="70" t="s">
        <v>46</v>
      </c>
      <c r="L230" s="70" t="s">
        <v>189</v>
      </c>
      <c r="M230" s="70">
        <v>18</v>
      </c>
      <c r="N230" s="70">
        <v>700</v>
      </c>
      <c r="O230" s="71">
        <v>0.2</v>
      </c>
      <c r="P230" s="70">
        <v>10080</v>
      </c>
      <c r="Q230" s="70">
        <v>1</v>
      </c>
      <c r="R230" s="70" t="s">
        <v>79</v>
      </c>
      <c r="S230" s="70" t="s">
        <v>151</v>
      </c>
      <c r="T230" s="70" t="s">
        <v>144</v>
      </c>
      <c r="U230" s="70">
        <v>9529968110</v>
      </c>
      <c r="V230" s="70" t="s">
        <v>38</v>
      </c>
      <c r="AQ230" s="86">
        <v>45797</v>
      </c>
    </row>
    <row r="231" spans="1:43" x14ac:dyDescent="0.5">
      <c r="A231" s="72" t="s">
        <v>1127</v>
      </c>
      <c r="B231" s="73" t="s">
        <v>71</v>
      </c>
      <c r="C231" s="73" t="s">
        <v>92</v>
      </c>
      <c r="D231" s="87">
        <v>46046</v>
      </c>
      <c r="E231" s="73" t="s">
        <v>110</v>
      </c>
      <c r="F231" s="70" t="s">
        <v>217</v>
      </c>
      <c r="G231" s="73" t="s">
        <v>76</v>
      </c>
      <c r="H231" s="73" t="s">
        <v>1129</v>
      </c>
      <c r="I231" s="73" t="s">
        <v>114</v>
      </c>
      <c r="J231" s="73" t="s">
        <v>106</v>
      </c>
      <c r="K231" s="73" t="s">
        <v>32</v>
      </c>
      <c r="L231" s="73" t="s">
        <v>97</v>
      </c>
      <c r="M231" s="73">
        <v>14</v>
      </c>
      <c r="N231" s="73">
        <v>3500</v>
      </c>
      <c r="O231" s="71">
        <v>0.05</v>
      </c>
      <c r="P231" s="73">
        <v>46550</v>
      </c>
      <c r="Q231" s="73">
        <v>1</v>
      </c>
      <c r="R231" s="73" t="s">
        <v>34</v>
      </c>
      <c r="S231" s="73" t="s">
        <v>61</v>
      </c>
      <c r="T231" s="70" t="s">
        <v>80</v>
      </c>
      <c r="U231" s="73">
        <v>9102417647</v>
      </c>
      <c r="V231" s="73" t="s">
        <v>38</v>
      </c>
      <c r="AQ231" s="87">
        <v>46046</v>
      </c>
    </row>
    <row r="232" spans="1:43" x14ac:dyDescent="0.5">
      <c r="A232" s="69" t="s">
        <v>1131</v>
      </c>
      <c r="B232" s="70" t="s">
        <v>100</v>
      </c>
      <c r="C232" s="70" t="s">
        <v>184</v>
      </c>
      <c r="D232" s="86">
        <v>45810</v>
      </c>
      <c r="E232" s="70" t="s">
        <v>318</v>
      </c>
      <c r="F232" s="70" t="s">
        <v>103</v>
      </c>
      <c r="G232" s="70" t="s">
        <v>28</v>
      </c>
      <c r="H232" s="70" t="s">
        <v>1132</v>
      </c>
      <c r="I232" s="70" t="s">
        <v>294</v>
      </c>
      <c r="J232" s="70" t="s">
        <v>295</v>
      </c>
      <c r="K232" s="70" t="s">
        <v>46</v>
      </c>
      <c r="L232" s="70" t="s">
        <v>189</v>
      </c>
      <c r="M232" s="70">
        <v>6</v>
      </c>
      <c r="N232" s="70">
        <v>700</v>
      </c>
      <c r="O232" s="71">
        <v>0.05</v>
      </c>
      <c r="P232" s="70">
        <v>3990</v>
      </c>
      <c r="Q232" s="70">
        <v>5</v>
      </c>
      <c r="R232" s="70" t="s">
        <v>34</v>
      </c>
      <c r="S232" s="70" t="s">
        <v>35</v>
      </c>
      <c r="T232" s="70" t="s">
        <v>144</v>
      </c>
      <c r="U232" s="70">
        <v>9630302865</v>
      </c>
      <c r="V232" s="70" t="s">
        <v>38</v>
      </c>
      <c r="AQ232" s="86">
        <v>45694</v>
      </c>
    </row>
    <row r="233" spans="1:43" x14ac:dyDescent="0.5">
      <c r="A233" s="72" t="s">
        <v>1134</v>
      </c>
      <c r="B233" s="73" t="s">
        <v>100</v>
      </c>
      <c r="C233" s="73" t="s">
        <v>92</v>
      </c>
      <c r="D233" s="87">
        <v>45819</v>
      </c>
      <c r="E233" s="73" t="s">
        <v>872</v>
      </c>
      <c r="F233" s="70" t="s">
        <v>103</v>
      </c>
      <c r="G233" s="73" t="s">
        <v>28</v>
      </c>
      <c r="H233" s="73" t="s">
        <v>1135</v>
      </c>
      <c r="I233" s="73" t="s">
        <v>105</v>
      </c>
      <c r="J233" s="73" t="s">
        <v>106</v>
      </c>
      <c r="K233" s="73" t="s">
        <v>32</v>
      </c>
      <c r="L233" s="73" t="s">
        <v>97</v>
      </c>
      <c r="M233" s="73">
        <v>17</v>
      </c>
      <c r="N233" s="73">
        <v>3500</v>
      </c>
      <c r="O233" s="71">
        <v>0.15</v>
      </c>
      <c r="P233" s="73">
        <v>50575</v>
      </c>
      <c r="Q233" s="73">
        <v>3</v>
      </c>
      <c r="R233" s="73" t="s">
        <v>48</v>
      </c>
      <c r="S233" s="73" t="s">
        <v>49</v>
      </c>
      <c r="T233" s="70" t="s">
        <v>144</v>
      </c>
      <c r="U233" s="73">
        <v>9465353780</v>
      </c>
      <c r="V233" s="73" t="s">
        <v>64</v>
      </c>
      <c r="AQ233" s="87">
        <v>45967</v>
      </c>
    </row>
    <row r="234" spans="1:43" x14ac:dyDescent="0.5">
      <c r="A234" s="69" t="s">
        <v>1137</v>
      </c>
      <c r="B234" s="70" t="s">
        <v>251</v>
      </c>
      <c r="C234" s="70" t="s">
        <v>222</v>
      </c>
      <c r="D234" s="86">
        <v>46038</v>
      </c>
      <c r="E234" s="70" t="s">
        <v>1128</v>
      </c>
      <c r="F234" s="70" t="s">
        <v>254</v>
      </c>
      <c r="G234" s="70" t="s">
        <v>28</v>
      </c>
      <c r="H234" s="70" t="s">
        <v>1138</v>
      </c>
      <c r="I234" s="70" t="s">
        <v>294</v>
      </c>
      <c r="J234" s="70" t="s">
        <v>295</v>
      </c>
      <c r="K234" s="70" t="s">
        <v>122</v>
      </c>
      <c r="L234" s="70" t="s">
        <v>227</v>
      </c>
      <c r="M234" s="70">
        <v>7</v>
      </c>
      <c r="N234" s="70">
        <v>20</v>
      </c>
      <c r="O234" s="71">
        <v>0.05</v>
      </c>
      <c r="P234" s="70">
        <v>133</v>
      </c>
      <c r="Q234" s="70">
        <v>2</v>
      </c>
      <c r="R234" s="70" t="s">
        <v>88</v>
      </c>
      <c r="S234" s="70" t="s">
        <v>151</v>
      </c>
      <c r="T234" s="70" t="s">
        <v>256</v>
      </c>
      <c r="U234" s="70">
        <v>9837426414</v>
      </c>
      <c r="V234" s="70" t="s">
        <v>38</v>
      </c>
      <c r="AQ234" s="86">
        <v>46038</v>
      </c>
    </row>
    <row r="235" spans="1:43" x14ac:dyDescent="0.5">
      <c r="A235" s="72" t="s">
        <v>1140</v>
      </c>
      <c r="B235" s="73" t="s">
        <v>23</v>
      </c>
      <c r="C235" s="73" t="s">
        <v>24</v>
      </c>
      <c r="D235" s="87">
        <v>46073</v>
      </c>
      <c r="E235" s="73" t="s">
        <v>1142</v>
      </c>
      <c r="F235" s="70" t="s">
        <v>27</v>
      </c>
      <c r="G235" s="73" t="s">
        <v>28</v>
      </c>
      <c r="H235" s="73" t="s">
        <v>1143</v>
      </c>
      <c r="I235" s="73" t="s">
        <v>59</v>
      </c>
      <c r="J235" s="73" t="s">
        <v>31</v>
      </c>
      <c r="K235" s="73" t="s">
        <v>32</v>
      </c>
      <c r="L235" s="73" t="s">
        <v>33</v>
      </c>
      <c r="M235" s="73">
        <v>15</v>
      </c>
      <c r="N235" s="73">
        <v>2200</v>
      </c>
      <c r="O235" s="71">
        <v>0.2</v>
      </c>
      <c r="P235" s="73">
        <v>26400</v>
      </c>
      <c r="Q235" s="73">
        <v>2</v>
      </c>
      <c r="R235" s="73" t="s">
        <v>34</v>
      </c>
      <c r="S235" s="73" t="s">
        <v>61</v>
      </c>
      <c r="T235" s="70" t="s">
        <v>50</v>
      </c>
      <c r="U235" s="73">
        <v>9249918272</v>
      </c>
      <c r="V235" s="73" t="s">
        <v>38</v>
      </c>
      <c r="AQ235" s="87">
        <v>46073</v>
      </c>
    </row>
    <row r="236" spans="1:43" x14ac:dyDescent="0.5">
      <c r="A236" s="69" t="s">
        <v>1145</v>
      </c>
      <c r="B236" s="70" t="s">
        <v>71</v>
      </c>
      <c r="C236" s="70" t="s">
        <v>222</v>
      </c>
      <c r="D236" s="86">
        <v>46070</v>
      </c>
      <c r="E236" s="70" t="s">
        <v>94</v>
      </c>
      <c r="F236" s="70" t="s">
        <v>217</v>
      </c>
      <c r="G236" s="70" t="s">
        <v>76</v>
      </c>
      <c r="H236" s="70" t="s">
        <v>1146</v>
      </c>
      <c r="I236" s="70" t="s">
        <v>105</v>
      </c>
      <c r="J236" s="70" t="s">
        <v>106</v>
      </c>
      <c r="K236" s="70" t="s">
        <v>122</v>
      </c>
      <c r="L236" s="70" t="s">
        <v>227</v>
      </c>
      <c r="M236" s="70">
        <v>5</v>
      </c>
      <c r="N236" s="70">
        <v>20</v>
      </c>
      <c r="O236" s="71">
        <v>0</v>
      </c>
      <c r="P236" s="70">
        <v>100</v>
      </c>
      <c r="Q236" s="70">
        <v>3</v>
      </c>
      <c r="R236" s="70" t="s">
        <v>34</v>
      </c>
      <c r="S236" s="70" t="s">
        <v>151</v>
      </c>
      <c r="T236" s="70" t="s">
        <v>80</v>
      </c>
      <c r="U236" s="70">
        <v>9265580582</v>
      </c>
      <c r="V236" s="70" t="s">
        <v>38</v>
      </c>
      <c r="AQ236" s="86">
        <v>46070</v>
      </c>
    </row>
    <row r="237" spans="1:43" x14ac:dyDescent="0.5">
      <c r="A237" s="72" t="s">
        <v>1148</v>
      </c>
      <c r="B237" s="73" t="s">
        <v>127</v>
      </c>
      <c r="C237" s="73" t="s">
        <v>40</v>
      </c>
      <c r="D237" s="87">
        <v>45847</v>
      </c>
      <c r="E237" s="73" t="s">
        <v>779</v>
      </c>
      <c r="F237" s="70" t="s">
        <v>200</v>
      </c>
      <c r="G237" s="73" t="s">
        <v>76</v>
      </c>
      <c r="H237" s="73" t="s">
        <v>1150</v>
      </c>
      <c r="I237" s="73" t="s">
        <v>44</v>
      </c>
      <c r="J237" s="73" t="s">
        <v>45</v>
      </c>
      <c r="K237" s="73" t="s">
        <v>46</v>
      </c>
      <c r="L237" s="73" t="s">
        <v>47</v>
      </c>
      <c r="M237" s="73">
        <v>8</v>
      </c>
      <c r="N237" s="73">
        <v>12000</v>
      </c>
      <c r="O237" s="71">
        <v>0.2</v>
      </c>
      <c r="P237" s="73">
        <v>76800</v>
      </c>
      <c r="Q237" s="73">
        <v>3</v>
      </c>
      <c r="R237" s="73" t="s">
        <v>79</v>
      </c>
      <c r="S237" s="73" t="s">
        <v>61</v>
      </c>
      <c r="T237" s="70" t="s">
        <v>132</v>
      </c>
      <c r="U237" s="73">
        <v>9751049833</v>
      </c>
      <c r="V237" s="73" t="s">
        <v>64</v>
      </c>
      <c r="AQ237" s="87">
        <v>45907</v>
      </c>
    </row>
    <row r="238" spans="1:43" x14ac:dyDescent="0.5">
      <c r="A238" s="69" t="s">
        <v>1152</v>
      </c>
      <c r="B238" s="70" t="s">
        <v>127</v>
      </c>
      <c r="C238" s="70" t="s">
        <v>92</v>
      </c>
      <c r="D238" s="86">
        <v>45696</v>
      </c>
      <c r="E238" s="70" t="s">
        <v>987</v>
      </c>
      <c r="F238" s="70" t="s">
        <v>200</v>
      </c>
      <c r="G238" s="70" t="s">
        <v>76</v>
      </c>
      <c r="H238" s="70" t="s">
        <v>1154</v>
      </c>
      <c r="I238" s="70" t="s">
        <v>105</v>
      </c>
      <c r="J238" s="70" t="s">
        <v>106</v>
      </c>
      <c r="K238" s="70" t="s">
        <v>32</v>
      </c>
      <c r="L238" s="70" t="s">
        <v>97</v>
      </c>
      <c r="M238" s="70">
        <v>4</v>
      </c>
      <c r="N238" s="70">
        <v>3500</v>
      </c>
      <c r="O238" s="71">
        <v>0.2</v>
      </c>
      <c r="P238" s="70">
        <v>11200</v>
      </c>
      <c r="Q238" s="70">
        <v>1</v>
      </c>
      <c r="R238" s="70" t="s">
        <v>79</v>
      </c>
      <c r="S238" s="70" t="s">
        <v>115</v>
      </c>
      <c r="T238" s="70" t="s">
        <v>132</v>
      </c>
      <c r="U238" s="70">
        <v>9741671507</v>
      </c>
      <c r="V238" s="70" t="s">
        <v>38</v>
      </c>
      <c r="AQ238" s="86">
        <v>45871</v>
      </c>
    </row>
    <row r="239" spans="1:43" x14ac:dyDescent="0.5">
      <c r="A239" s="72" t="s">
        <v>1156</v>
      </c>
      <c r="B239" s="73" t="s">
        <v>221</v>
      </c>
      <c r="C239" s="73" t="s">
        <v>259</v>
      </c>
      <c r="D239" s="87">
        <v>45713</v>
      </c>
      <c r="E239" s="73" t="s">
        <v>1157</v>
      </c>
      <c r="F239" s="70" t="s">
        <v>225</v>
      </c>
      <c r="G239" s="73" t="s">
        <v>76</v>
      </c>
      <c r="H239" s="73" t="s">
        <v>1158</v>
      </c>
      <c r="I239" s="73" t="s">
        <v>30</v>
      </c>
      <c r="J239" s="73" t="s">
        <v>31</v>
      </c>
      <c r="K239" s="73" t="s">
        <v>122</v>
      </c>
      <c r="L239" s="73" t="s">
        <v>263</v>
      </c>
      <c r="M239" s="73">
        <v>19</v>
      </c>
      <c r="N239" s="73">
        <v>45</v>
      </c>
      <c r="O239" s="71">
        <v>0.1</v>
      </c>
      <c r="P239" s="73">
        <v>769.5</v>
      </c>
      <c r="Q239" s="73">
        <v>1</v>
      </c>
      <c r="R239" s="73" t="s">
        <v>34</v>
      </c>
      <c r="S239" s="73" t="s">
        <v>115</v>
      </c>
      <c r="T239" s="70" t="s">
        <v>228</v>
      </c>
      <c r="U239" s="73">
        <v>9367541035</v>
      </c>
      <c r="V239" s="73" t="s">
        <v>38</v>
      </c>
      <c r="AQ239" s="87">
        <v>45713</v>
      </c>
    </row>
    <row r="240" spans="1:43" x14ac:dyDescent="0.5">
      <c r="A240" s="69" t="s">
        <v>1160</v>
      </c>
      <c r="B240" s="70" t="s">
        <v>53</v>
      </c>
      <c r="C240" s="70" t="s">
        <v>259</v>
      </c>
      <c r="D240" s="86">
        <v>46049</v>
      </c>
      <c r="E240" s="70" t="s">
        <v>1161</v>
      </c>
      <c r="F240" s="70" t="s">
        <v>163</v>
      </c>
      <c r="G240" s="70" t="s">
        <v>28</v>
      </c>
      <c r="H240" s="70" t="s">
        <v>1162</v>
      </c>
      <c r="I240" s="70" t="s">
        <v>114</v>
      </c>
      <c r="J240" s="70" t="s">
        <v>106</v>
      </c>
      <c r="K240" s="70" t="s">
        <v>122</v>
      </c>
      <c r="L240" s="70" t="s">
        <v>263</v>
      </c>
      <c r="M240" s="70">
        <v>10</v>
      </c>
      <c r="N240" s="70">
        <v>45</v>
      </c>
      <c r="O240" s="71">
        <v>0</v>
      </c>
      <c r="P240" s="70">
        <v>450</v>
      </c>
      <c r="Q240" s="70">
        <v>4</v>
      </c>
      <c r="R240" s="70" t="s">
        <v>88</v>
      </c>
      <c r="S240" s="70" t="s">
        <v>61</v>
      </c>
      <c r="T240" s="70" t="s">
        <v>62</v>
      </c>
      <c r="U240" s="70">
        <v>9323696971</v>
      </c>
      <c r="V240" s="70" t="s">
        <v>38</v>
      </c>
      <c r="AQ240" s="86">
        <v>46049</v>
      </c>
    </row>
    <row r="241" spans="1:43" x14ac:dyDescent="0.5">
      <c r="A241" s="72" t="s">
        <v>1164</v>
      </c>
      <c r="B241" s="73" t="s">
        <v>53</v>
      </c>
      <c r="C241" s="73" t="s">
        <v>259</v>
      </c>
      <c r="D241" s="87">
        <v>46030</v>
      </c>
      <c r="E241" s="73" t="s">
        <v>1039</v>
      </c>
      <c r="F241" s="70" t="s">
        <v>163</v>
      </c>
      <c r="G241" s="73" t="s">
        <v>28</v>
      </c>
      <c r="H241" s="73" t="s">
        <v>1166</v>
      </c>
      <c r="I241" s="73" t="s">
        <v>30</v>
      </c>
      <c r="J241" s="73" t="s">
        <v>31</v>
      </c>
      <c r="K241" s="73" t="s">
        <v>122</v>
      </c>
      <c r="L241" s="73" t="s">
        <v>263</v>
      </c>
      <c r="M241" s="73">
        <v>16</v>
      </c>
      <c r="N241" s="73">
        <v>45</v>
      </c>
      <c r="O241" s="71">
        <v>0.15</v>
      </c>
      <c r="P241" s="73">
        <v>612</v>
      </c>
      <c r="Q241" s="73">
        <v>3</v>
      </c>
      <c r="R241" s="73" t="s">
        <v>34</v>
      </c>
      <c r="S241" s="73" t="s">
        <v>115</v>
      </c>
      <c r="T241" s="70" t="s">
        <v>62</v>
      </c>
      <c r="U241" s="73">
        <v>9786384529</v>
      </c>
      <c r="V241" s="73" t="s">
        <v>69</v>
      </c>
      <c r="AQ241" s="87">
        <v>46235</v>
      </c>
    </row>
    <row r="242" spans="1:43" x14ac:dyDescent="0.5">
      <c r="A242" s="69" t="s">
        <v>1168</v>
      </c>
      <c r="B242" s="70" t="s">
        <v>168</v>
      </c>
      <c r="C242" s="70" t="s">
        <v>169</v>
      </c>
      <c r="D242" s="86">
        <v>45741</v>
      </c>
      <c r="E242" s="70" t="s">
        <v>120</v>
      </c>
      <c r="F242" s="70" t="s">
        <v>361</v>
      </c>
      <c r="G242" s="70" t="s">
        <v>28</v>
      </c>
      <c r="H242" s="70" t="s">
        <v>1169</v>
      </c>
      <c r="I242" s="70" t="s">
        <v>114</v>
      </c>
      <c r="J242" s="70" t="s">
        <v>106</v>
      </c>
      <c r="K242" s="70" t="s">
        <v>32</v>
      </c>
      <c r="L242" s="70" t="s">
        <v>174</v>
      </c>
      <c r="M242" s="70">
        <v>16</v>
      </c>
      <c r="N242" s="70">
        <v>8500</v>
      </c>
      <c r="O242" s="71">
        <v>0.15</v>
      </c>
      <c r="P242" s="70">
        <v>115600</v>
      </c>
      <c r="Q242" s="70">
        <v>4</v>
      </c>
      <c r="R242" s="70" t="s">
        <v>48</v>
      </c>
      <c r="S242" s="70" t="s">
        <v>35</v>
      </c>
      <c r="T242" s="70" t="s">
        <v>175</v>
      </c>
      <c r="U242" s="70">
        <v>9444900541</v>
      </c>
      <c r="V242" s="70" t="s">
        <v>69</v>
      </c>
      <c r="AQ242" s="86">
        <v>45741</v>
      </c>
    </row>
    <row r="243" spans="1:43" x14ac:dyDescent="0.5">
      <c r="A243" s="72" t="s">
        <v>1171</v>
      </c>
      <c r="B243" s="73" t="s">
        <v>168</v>
      </c>
      <c r="C243" s="73" t="s">
        <v>222</v>
      </c>
      <c r="D243" s="87">
        <v>45901</v>
      </c>
      <c r="E243" s="73" t="s">
        <v>1172</v>
      </c>
      <c r="F243" s="70" t="s">
        <v>361</v>
      </c>
      <c r="G243" s="73" t="s">
        <v>28</v>
      </c>
      <c r="H243" s="73" t="s">
        <v>1173</v>
      </c>
      <c r="I243" s="73" t="s">
        <v>294</v>
      </c>
      <c r="J243" s="73" t="s">
        <v>295</v>
      </c>
      <c r="K243" s="73" t="s">
        <v>122</v>
      </c>
      <c r="L243" s="73" t="s">
        <v>227</v>
      </c>
      <c r="M243" s="73">
        <v>15</v>
      </c>
      <c r="N243" s="73">
        <v>20</v>
      </c>
      <c r="O243" s="71">
        <v>0.2</v>
      </c>
      <c r="P243" s="73">
        <v>240</v>
      </c>
      <c r="Q243" s="73">
        <v>3</v>
      </c>
      <c r="R243" s="73" t="s">
        <v>48</v>
      </c>
      <c r="S243" s="73" t="s">
        <v>49</v>
      </c>
      <c r="T243" s="70" t="s">
        <v>175</v>
      </c>
      <c r="U243" s="73">
        <v>9108024911</v>
      </c>
      <c r="V243" s="73" t="s">
        <v>69</v>
      </c>
      <c r="AQ243" s="87">
        <v>45666</v>
      </c>
    </row>
    <row r="244" spans="1:43" x14ac:dyDescent="0.5">
      <c r="A244" s="69" t="s">
        <v>1175</v>
      </c>
      <c r="B244" s="70" t="s">
        <v>83</v>
      </c>
      <c r="C244" s="70" t="s">
        <v>118</v>
      </c>
      <c r="D244" s="86">
        <v>46031</v>
      </c>
      <c r="E244" s="70" t="s">
        <v>1176</v>
      </c>
      <c r="F244" s="70" t="s">
        <v>180</v>
      </c>
      <c r="G244" s="70" t="s">
        <v>76</v>
      </c>
      <c r="H244" s="70" t="s">
        <v>1177</v>
      </c>
      <c r="I244" s="70" t="s">
        <v>59</v>
      </c>
      <c r="J244" s="70" t="s">
        <v>31</v>
      </c>
      <c r="K244" s="70" t="s">
        <v>122</v>
      </c>
      <c r="L244" s="70" t="s">
        <v>123</v>
      </c>
      <c r="M244" s="70">
        <v>14</v>
      </c>
      <c r="N244" s="70">
        <v>60</v>
      </c>
      <c r="O244" s="71">
        <v>0.05</v>
      </c>
      <c r="P244" s="70">
        <v>798</v>
      </c>
      <c r="Q244" s="70">
        <v>4</v>
      </c>
      <c r="R244" s="70" t="s">
        <v>34</v>
      </c>
      <c r="S244" s="70" t="s">
        <v>49</v>
      </c>
      <c r="T244" s="70" t="s">
        <v>89</v>
      </c>
      <c r="U244" s="70">
        <v>9897181325</v>
      </c>
      <c r="V244" s="70" t="s">
        <v>38</v>
      </c>
      <c r="AQ244" s="86">
        <v>46266</v>
      </c>
    </row>
    <row r="245" spans="1:43" x14ac:dyDescent="0.5">
      <c r="A245" s="72" t="s">
        <v>1179</v>
      </c>
      <c r="B245" s="73" t="s">
        <v>53</v>
      </c>
      <c r="C245" s="73" t="s">
        <v>72</v>
      </c>
      <c r="D245" s="87">
        <v>46158</v>
      </c>
      <c r="E245" s="73" t="s">
        <v>1181</v>
      </c>
      <c r="F245" s="70" t="s">
        <v>163</v>
      </c>
      <c r="G245" s="73" t="s">
        <v>28</v>
      </c>
      <c r="H245" s="73" t="s">
        <v>1182</v>
      </c>
      <c r="I245" s="73" t="s">
        <v>105</v>
      </c>
      <c r="J245" s="73" t="s">
        <v>106</v>
      </c>
      <c r="K245" s="73" t="s">
        <v>46</v>
      </c>
      <c r="L245" s="73" t="s">
        <v>78</v>
      </c>
      <c r="M245" s="73">
        <v>19</v>
      </c>
      <c r="N245" s="73">
        <v>1200</v>
      </c>
      <c r="O245" s="71">
        <v>0.2</v>
      </c>
      <c r="P245" s="73">
        <v>18240</v>
      </c>
      <c r="Q245" s="73">
        <v>2</v>
      </c>
      <c r="R245" s="73" t="s">
        <v>34</v>
      </c>
      <c r="S245" s="73" t="s">
        <v>115</v>
      </c>
      <c r="T245" s="70" t="s">
        <v>62</v>
      </c>
      <c r="U245" s="73">
        <v>9554719621</v>
      </c>
      <c r="V245" s="73" t="s">
        <v>69</v>
      </c>
      <c r="AQ245" s="87">
        <v>46158</v>
      </c>
    </row>
    <row r="246" spans="1:43" x14ac:dyDescent="0.5">
      <c r="A246" s="69" t="s">
        <v>1184</v>
      </c>
      <c r="B246" s="70" t="s">
        <v>23</v>
      </c>
      <c r="C246" s="70" t="s">
        <v>259</v>
      </c>
      <c r="D246" s="86">
        <v>45943</v>
      </c>
      <c r="E246" s="70" t="s">
        <v>346</v>
      </c>
      <c r="F246" s="70" t="s">
        <v>27</v>
      </c>
      <c r="G246" s="70" t="s">
        <v>28</v>
      </c>
      <c r="H246" s="70" t="s">
        <v>1185</v>
      </c>
      <c r="I246" s="70" t="s">
        <v>59</v>
      </c>
      <c r="J246" s="70" t="s">
        <v>31</v>
      </c>
      <c r="K246" s="70" t="s">
        <v>122</v>
      </c>
      <c r="L246" s="70" t="s">
        <v>263</v>
      </c>
      <c r="M246" s="70">
        <v>5</v>
      </c>
      <c r="N246" s="70">
        <v>45</v>
      </c>
      <c r="O246" s="71">
        <v>0.15</v>
      </c>
      <c r="P246" s="70">
        <v>191.25</v>
      </c>
      <c r="Q246" s="70">
        <v>2</v>
      </c>
      <c r="R246" s="70" t="s">
        <v>34</v>
      </c>
      <c r="S246" s="70" t="s">
        <v>61</v>
      </c>
      <c r="T246" s="70" t="s">
        <v>50</v>
      </c>
      <c r="U246" s="70">
        <v>9815899217</v>
      </c>
      <c r="V246" s="70" t="s">
        <v>69</v>
      </c>
      <c r="AQ246" s="86">
        <v>45943</v>
      </c>
    </row>
    <row r="247" spans="1:43" x14ac:dyDescent="0.5">
      <c r="A247" s="72" t="s">
        <v>1187</v>
      </c>
      <c r="B247" s="73" t="s">
        <v>327</v>
      </c>
      <c r="C247" s="73" t="s">
        <v>184</v>
      </c>
      <c r="D247" s="87">
        <v>45802</v>
      </c>
      <c r="E247" s="73" t="s">
        <v>1188</v>
      </c>
      <c r="F247" s="70" t="s">
        <v>394</v>
      </c>
      <c r="G247" s="73" t="s">
        <v>76</v>
      </c>
      <c r="H247" s="73" t="s">
        <v>1189</v>
      </c>
      <c r="I247" s="73" t="s">
        <v>30</v>
      </c>
      <c r="J247" s="73" t="s">
        <v>31</v>
      </c>
      <c r="K247" s="73" t="s">
        <v>46</v>
      </c>
      <c r="L247" s="73" t="s">
        <v>189</v>
      </c>
      <c r="M247" s="73">
        <v>19</v>
      </c>
      <c r="N247" s="73">
        <v>700</v>
      </c>
      <c r="O247" s="71">
        <v>0.05</v>
      </c>
      <c r="P247" s="73">
        <v>12635</v>
      </c>
      <c r="Q247" s="73">
        <v>5</v>
      </c>
      <c r="R247" s="73" t="s">
        <v>88</v>
      </c>
      <c r="S247" s="73" t="s">
        <v>151</v>
      </c>
      <c r="T247" s="70" t="s">
        <v>332</v>
      </c>
      <c r="U247" s="73">
        <v>9308497039</v>
      </c>
      <c r="V247" s="73" t="s">
        <v>38</v>
      </c>
      <c r="AQ247" s="87">
        <v>45802</v>
      </c>
    </row>
    <row r="248" spans="1:43" x14ac:dyDescent="0.5">
      <c r="A248" s="69" t="s">
        <v>1191</v>
      </c>
      <c r="B248" s="70" t="s">
        <v>127</v>
      </c>
      <c r="C248" s="70" t="s">
        <v>118</v>
      </c>
      <c r="D248" s="86">
        <v>46025</v>
      </c>
      <c r="E248" s="70" t="s">
        <v>84</v>
      </c>
      <c r="F248" s="70" t="s">
        <v>200</v>
      </c>
      <c r="G248" s="70" t="s">
        <v>76</v>
      </c>
      <c r="H248" s="70" t="s">
        <v>1192</v>
      </c>
      <c r="I248" s="70" t="s">
        <v>294</v>
      </c>
      <c r="J248" s="70" t="s">
        <v>295</v>
      </c>
      <c r="K248" s="70" t="s">
        <v>122</v>
      </c>
      <c r="L248" s="70" t="s">
        <v>123</v>
      </c>
      <c r="M248" s="70">
        <v>7</v>
      </c>
      <c r="N248" s="70">
        <v>60</v>
      </c>
      <c r="O248" s="71">
        <v>0</v>
      </c>
      <c r="P248" s="70">
        <v>420</v>
      </c>
      <c r="Q248" s="70">
        <v>4</v>
      </c>
      <c r="R248" s="70" t="s">
        <v>34</v>
      </c>
      <c r="S248" s="70" t="s">
        <v>115</v>
      </c>
      <c r="T248" s="70" t="s">
        <v>132</v>
      </c>
      <c r="U248" s="70">
        <v>9882054354</v>
      </c>
      <c r="V248" s="70" t="s">
        <v>64</v>
      </c>
      <c r="AQ248" s="86">
        <v>46082</v>
      </c>
    </row>
    <row r="249" spans="1:43" x14ac:dyDescent="0.5">
      <c r="A249" s="72" t="s">
        <v>1194</v>
      </c>
      <c r="B249" s="73" t="s">
        <v>71</v>
      </c>
      <c r="C249" s="73" t="s">
        <v>24</v>
      </c>
      <c r="D249" s="87">
        <v>46013</v>
      </c>
      <c r="E249" s="73" t="s">
        <v>711</v>
      </c>
      <c r="F249" s="70" t="s">
        <v>217</v>
      </c>
      <c r="G249" s="73" t="s">
        <v>76</v>
      </c>
      <c r="H249" s="73" t="s">
        <v>1195</v>
      </c>
      <c r="I249" s="73" t="s">
        <v>105</v>
      </c>
      <c r="J249" s="73" t="s">
        <v>106</v>
      </c>
      <c r="K249" s="73" t="s">
        <v>32</v>
      </c>
      <c r="L249" s="73" t="s">
        <v>33</v>
      </c>
      <c r="M249" s="73">
        <v>13</v>
      </c>
      <c r="N249" s="73">
        <v>2200</v>
      </c>
      <c r="O249" s="71">
        <v>0.1</v>
      </c>
      <c r="P249" s="73">
        <v>25740</v>
      </c>
      <c r="Q249" s="73">
        <v>1</v>
      </c>
      <c r="R249" s="73" t="s">
        <v>79</v>
      </c>
      <c r="S249" s="73" t="s">
        <v>151</v>
      </c>
      <c r="T249" s="70" t="s">
        <v>80</v>
      </c>
      <c r="U249" s="73">
        <v>9193016830</v>
      </c>
      <c r="V249" s="73" t="s">
        <v>38</v>
      </c>
      <c r="AQ249" s="87">
        <v>46013</v>
      </c>
    </row>
    <row r="250" spans="1:43" x14ac:dyDescent="0.5">
      <c r="A250" s="69" t="s">
        <v>1197</v>
      </c>
      <c r="B250" s="70" t="s">
        <v>71</v>
      </c>
      <c r="C250" s="70" t="s">
        <v>24</v>
      </c>
      <c r="D250" s="86">
        <v>46019</v>
      </c>
      <c r="E250" s="70" t="s">
        <v>1199</v>
      </c>
      <c r="F250" s="70" t="s">
        <v>217</v>
      </c>
      <c r="G250" s="70" t="s">
        <v>76</v>
      </c>
      <c r="H250" s="70" t="s">
        <v>1200</v>
      </c>
      <c r="I250" s="70" t="s">
        <v>59</v>
      </c>
      <c r="J250" s="70" t="s">
        <v>31</v>
      </c>
      <c r="K250" s="70" t="s">
        <v>32</v>
      </c>
      <c r="L250" s="70" t="s">
        <v>33</v>
      </c>
      <c r="M250" s="70">
        <v>9</v>
      </c>
      <c r="N250" s="70">
        <v>2200</v>
      </c>
      <c r="O250" s="71">
        <v>0.1</v>
      </c>
      <c r="P250" s="70">
        <v>17820</v>
      </c>
      <c r="Q250" s="70">
        <v>2</v>
      </c>
      <c r="R250" s="70" t="s">
        <v>1201</v>
      </c>
      <c r="S250" s="70" t="s">
        <v>61</v>
      </c>
      <c r="T250" s="70" t="s">
        <v>80</v>
      </c>
      <c r="U250" s="70">
        <v>9921470418</v>
      </c>
      <c r="V250" s="70" t="s">
        <v>69</v>
      </c>
      <c r="AQ250" s="86">
        <v>46019</v>
      </c>
    </row>
    <row r="251" spans="1:43" x14ac:dyDescent="0.5">
      <c r="A251" s="72" t="s">
        <v>1203</v>
      </c>
      <c r="B251" s="73" t="s">
        <v>327</v>
      </c>
      <c r="C251" s="73" t="s">
        <v>169</v>
      </c>
      <c r="D251" s="87">
        <v>45792</v>
      </c>
      <c r="E251" s="73" t="s">
        <v>1204</v>
      </c>
      <c r="F251" s="70" t="s">
        <v>394</v>
      </c>
      <c r="G251" s="73" t="s">
        <v>76</v>
      </c>
      <c r="H251" s="73" t="s">
        <v>1205</v>
      </c>
      <c r="I251" s="73" t="s">
        <v>59</v>
      </c>
      <c r="J251" s="73" t="s">
        <v>31</v>
      </c>
      <c r="K251" s="73" t="s">
        <v>32</v>
      </c>
      <c r="L251" s="73" t="s">
        <v>174</v>
      </c>
      <c r="M251" s="73">
        <v>6</v>
      </c>
      <c r="N251" s="73">
        <v>8500</v>
      </c>
      <c r="O251" s="71">
        <v>0.15</v>
      </c>
      <c r="P251" s="73">
        <v>43350</v>
      </c>
      <c r="Q251" s="73">
        <v>2</v>
      </c>
      <c r="R251" s="73" t="s">
        <v>34</v>
      </c>
      <c r="S251" s="73" t="s">
        <v>151</v>
      </c>
      <c r="T251" s="70" t="s">
        <v>332</v>
      </c>
      <c r="U251" s="73">
        <v>9686979026</v>
      </c>
      <c r="V251" s="73" t="s">
        <v>69</v>
      </c>
      <c r="AQ251" s="87">
        <v>45792</v>
      </c>
    </row>
    <row r="252" spans="1:43" x14ac:dyDescent="0.5">
      <c r="A252" s="69" t="s">
        <v>1207</v>
      </c>
      <c r="B252" s="70" t="s">
        <v>221</v>
      </c>
      <c r="C252" s="70" t="s">
        <v>24</v>
      </c>
      <c r="D252" s="86">
        <v>46070</v>
      </c>
      <c r="E252" s="70" t="s">
        <v>94</v>
      </c>
      <c r="F252" s="70" t="s">
        <v>225</v>
      </c>
      <c r="G252" s="70" t="s">
        <v>76</v>
      </c>
      <c r="H252" s="70" t="s">
        <v>1208</v>
      </c>
      <c r="I252" s="70" t="s">
        <v>44</v>
      </c>
      <c r="J252" s="70" t="s">
        <v>45</v>
      </c>
      <c r="K252" s="70" t="s">
        <v>32</v>
      </c>
      <c r="L252" s="70" t="s">
        <v>33</v>
      </c>
      <c r="M252" s="70">
        <v>9</v>
      </c>
      <c r="N252" s="70">
        <v>2200</v>
      </c>
      <c r="O252" s="71">
        <v>0.1</v>
      </c>
      <c r="P252" s="70">
        <v>17820</v>
      </c>
      <c r="Q252" s="70">
        <v>3</v>
      </c>
      <c r="R252" s="70" t="s">
        <v>79</v>
      </c>
      <c r="S252" s="70" t="s">
        <v>35</v>
      </c>
      <c r="T252" s="70" t="s">
        <v>228</v>
      </c>
      <c r="U252" s="70">
        <v>9569007422</v>
      </c>
      <c r="V252" s="70" t="s">
        <v>64</v>
      </c>
      <c r="AQ252" s="86">
        <v>46070</v>
      </c>
    </row>
    <row r="253" spans="1:43" x14ac:dyDescent="0.5">
      <c r="A253" s="72" t="s">
        <v>1210</v>
      </c>
      <c r="B253" s="73" t="s">
        <v>23</v>
      </c>
      <c r="C253" s="73" t="s">
        <v>169</v>
      </c>
      <c r="D253" s="87">
        <v>45739</v>
      </c>
      <c r="E253" s="73" t="s">
        <v>876</v>
      </c>
      <c r="F253" s="70" t="s">
        <v>27</v>
      </c>
      <c r="G253" s="73" t="s">
        <v>28</v>
      </c>
      <c r="H253" s="73" t="s">
        <v>1211</v>
      </c>
      <c r="I253" s="73" t="s">
        <v>294</v>
      </c>
      <c r="J253" s="73" t="s">
        <v>295</v>
      </c>
      <c r="K253" s="73" t="s">
        <v>32</v>
      </c>
      <c r="L253" s="73" t="s">
        <v>174</v>
      </c>
      <c r="M253" s="73">
        <v>16</v>
      </c>
      <c r="N253" s="73">
        <v>8500</v>
      </c>
      <c r="O253" s="71">
        <v>0</v>
      </c>
      <c r="P253" s="73">
        <v>136000</v>
      </c>
      <c r="Q253" s="73">
        <v>5</v>
      </c>
      <c r="R253" s="73" t="s">
        <v>88</v>
      </c>
      <c r="S253" s="73" t="s">
        <v>115</v>
      </c>
      <c r="T253" s="70" t="s">
        <v>50</v>
      </c>
      <c r="U253" s="73">
        <v>9180820441</v>
      </c>
      <c r="V253" s="73" t="s">
        <v>69</v>
      </c>
      <c r="AQ253" s="87">
        <v>45739</v>
      </c>
    </row>
    <row r="254" spans="1:43" x14ac:dyDescent="0.5">
      <c r="A254" s="69" t="s">
        <v>1213</v>
      </c>
      <c r="B254" s="70" t="s">
        <v>327</v>
      </c>
      <c r="C254" s="70" t="s">
        <v>72</v>
      </c>
      <c r="D254" s="86">
        <v>46006</v>
      </c>
      <c r="E254" s="70" t="s">
        <v>692</v>
      </c>
      <c r="F254" s="70" t="s">
        <v>394</v>
      </c>
      <c r="G254" s="70" t="s">
        <v>76</v>
      </c>
      <c r="H254" s="70" t="s">
        <v>1215</v>
      </c>
      <c r="I254" s="70" t="s">
        <v>44</v>
      </c>
      <c r="J254" s="70" t="s">
        <v>45</v>
      </c>
      <c r="K254" s="70" t="s">
        <v>46</v>
      </c>
      <c r="L254" s="70" t="s">
        <v>78</v>
      </c>
      <c r="M254" s="70">
        <v>10</v>
      </c>
      <c r="N254" s="70">
        <v>1200</v>
      </c>
      <c r="O254" s="71">
        <v>0.15</v>
      </c>
      <c r="P254" s="70">
        <v>10200</v>
      </c>
      <c r="Q254" s="70">
        <v>5</v>
      </c>
      <c r="R254" s="70" t="s">
        <v>34</v>
      </c>
      <c r="S254" s="70" t="s">
        <v>49</v>
      </c>
      <c r="T254" s="70" t="s">
        <v>332</v>
      </c>
      <c r="U254" s="70">
        <v>9769075826</v>
      </c>
      <c r="V254" s="70" t="s">
        <v>38</v>
      </c>
      <c r="AQ254" s="86">
        <v>46006</v>
      </c>
    </row>
    <row r="255" spans="1:43" x14ac:dyDescent="0.5">
      <c r="A255" s="72" t="s">
        <v>1217</v>
      </c>
      <c r="B255" s="73" t="s">
        <v>127</v>
      </c>
      <c r="C255" s="73" t="s">
        <v>40</v>
      </c>
      <c r="D255" s="87">
        <v>45721</v>
      </c>
      <c r="E255" s="73" t="s">
        <v>136</v>
      </c>
      <c r="F255" s="70" t="s">
        <v>200</v>
      </c>
      <c r="G255" s="73" t="s">
        <v>76</v>
      </c>
      <c r="H255" s="73" t="s">
        <v>1218</v>
      </c>
      <c r="I255" s="73" t="s">
        <v>294</v>
      </c>
      <c r="J255" s="73" t="s">
        <v>295</v>
      </c>
      <c r="K255" s="73" t="s">
        <v>46</v>
      </c>
      <c r="L255" s="73" t="s">
        <v>47</v>
      </c>
      <c r="M255" s="73">
        <v>7</v>
      </c>
      <c r="N255" s="73">
        <v>12000</v>
      </c>
      <c r="O255" s="71">
        <v>0</v>
      </c>
      <c r="P255" s="73">
        <v>84000</v>
      </c>
      <c r="Q255" s="73">
        <v>1</v>
      </c>
      <c r="R255" s="73" t="s">
        <v>88</v>
      </c>
      <c r="S255" s="73" t="s">
        <v>151</v>
      </c>
      <c r="T255" s="70" t="s">
        <v>132</v>
      </c>
      <c r="U255" s="73">
        <v>9467916296</v>
      </c>
      <c r="V255" s="73" t="s">
        <v>64</v>
      </c>
      <c r="AQ255" s="87">
        <v>45780</v>
      </c>
    </row>
    <row r="256" spans="1:43" x14ac:dyDescent="0.5">
      <c r="A256" s="69" t="s">
        <v>1220</v>
      </c>
      <c r="B256" s="70" t="s">
        <v>221</v>
      </c>
      <c r="C256" s="70" t="s">
        <v>40</v>
      </c>
      <c r="D256" s="86">
        <v>45919</v>
      </c>
      <c r="E256" s="70" t="s">
        <v>1221</v>
      </c>
      <c r="F256" s="70" t="s">
        <v>225</v>
      </c>
      <c r="G256" s="70" t="s">
        <v>76</v>
      </c>
      <c r="H256" s="70" t="s">
        <v>1222</v>
      </c>
      <c r="I256" s="70" t="s">
        <v>114</v>
      </c>
      <c r="J256" s="70" t="s">
        <v>106</v>
      </c>
      <c r="K256" s="70" t="s">
        <v>46</v>
      </c>
      <c r="L256" s="70" t="s">
        <v>47</v>
      </c>
      <c r="M256" s="70">
        <v>3</v>
      </c>
      <c r="N256" s="70">
        <v>12000</v>
      </c>
      <c r="O256" s="71">
        <v>0.1</v>
      </c>
      <c r="P256" s="70">
        <v>32400</v>
      </c>
      <c r="Q256" s="70">
        <v>4</v>
      </c>
      <c r="R256" s="70" t="s">
        <v>79</v>
      </c>
      <c r="S256" s="70" t="s">
        <v>151</v>
      </c>
      <c r="T256" s="70" t="s">
        <v>228</v>
      </c>
      <c r="U256" s="70">
        <v>9477052923</v>
      </c>
      <c r="V256" s="70" t="s">
        <v>38</v>
      </c>
      <c r="AQ256" s="86">
        <v>45919</v>
      </c>
    </row>
    <row r="257" spans="1:43" x14ac:dyDescent="0.5">
      <c r="A257" s="72" t="s">
        <v>1224</v>
      </c>
      <c r="B257" s="73" t="s">
        <v>221</v>
      </c>
      <c r="C257" s="73" t="s">
        <v>40</v>
      </c>
      <c r="D257" s="87">
        <v>45964</v>
      </c>
      <c r="E257" s="73" t="s">
        <v>927</v>
      </c>
      <c r="F257" s="70" t="s">
        <v>225</v>
      </c>
      <c r="G257" s="73" t="s">
        <v>76</v>
      </c>
      <c r="H257" s="73" t="s">
        <v>1226</v>
      </c>
      <c r="I257" s="73" t="s">
        <v>30</v>
      </c>
      <c r="J257" s="73" t="s">
        <v>31</v>
      </c>
      <c r="K257" s="73" t="s">
        <v>46</v>
      </c>
      <c r="L257" s="73" t="s">
        <v>47</v>
      </c>
      <c r="M257" s="73">
        <v>4</v>
      </c>
      <c r="N257" s="73">
        <v>12000</v>
      </c>
      <c r="O257" s="71">
        <v>0.15</v>
      </c>
      <c r="P257" s="73">
        <v>40800</v>
      </c>
      <c r="Q257" s="73">
        <v>3</v>
      </c>
      <c r="R257" s="73" t="s">
        <v>79</v>
      </c>
      <c r="S257" s="73" t="s">
        <v>35</v>
      </c>
      <c r="T257" s="70" t="s">
        <v>228</v>
      </c>
      <c r="U257" s="73">
        <v>9184311420</v>
      </c>
      <c r="V257" s="73" t="s">
        <v>64</v>
      </c>
      <c r="AQ257" s="87">
        <v>45727</v>
      </c>
    </row>
    <row r="258" spans="1:43" x14ac:dyDescent="0.5">
      <c r="A258" s="69" t="s">
        <v>1228</v>
      </c>
      <c r="B258" s="70" t="s">
        <v>127</v>
      </c>
      <c r="C258" s="70" t="s">
        <v>40</v>
      </c>
      <c r="D258" s="86">
        <v>45824</v>
      </c>
      <c r="E258" s="70" t="s">
        <v>498</v>
      </c>
      <c r="F258" s="70" t="s">
        <v>200</v>
      </c>
      <c r="G258" s="70" t="s">
        <v>76</v>
      </c>
      <c r="H258" s="70" t="s">
        <v>1229</v>
      </c>
      <c r="I258" s="70" t="s">
        <v>30</v>
      </c>
      <c r="J258" s="70" t="s">
        <v>31</v>
      </c>
      <c r="K258" s="70" t="s">
        <v>46</v>
      </c>
      <c r="L258" s="70" t="s">
        <v>47</v>
      </c>
      <c r="M258" s="70">
        <v>13</v>
      </c>
      <c r="N258" s="70">
        <v>12000</v>
      </c>
      <c r="O258" s="71">
        <v>0.1</v>
      </c>
      <c r="P258" s="70">
        <v>140400</v>
      </c>
      <c r="Q258" s="70">
        <v>2</v>
      </c>
      <c r="R258" s="70" t="s">
        <v>34</v>
      </c>
      <c r="S258" s="70" t="s">
        <v>151</v>
      </c>
      <c r="T258" s="70" t="s">
        <v>132</v>
      </c>
      <c r="U258" s="70">
        <v>9630913127</v>
      </c>
      <c r="V258" s="70" t="s">
        <v>69</v>
      </c>
      <c r="AQ258" s="86">
        <v>45824</v>
      </c>
    </row>
    <row r="259" spans="1:43" x14ac:dyDescent="0.5">
      <c r="A259" s="72" t="s">
        <v>1231</v>
      </c>
      <c r="B259" s="73" t="s">
        <v>23</v>
      </c>
      <c r="C259" s="73" t="s">
        <v>92</v>
      </c>
      <c r="D259" s="87">
        <v>45812</v>
      </c>
      <c r="E259" s="73" t="s">
        <v>679</v>
      </c>
      <c r="F259" s="70" t="s">
        <v>27</v>
      </c>
      <c r="G259" s="73" t="s">
        <v>28</v>
      </c>
      <c r="H259" s="73" t="s">
        <v>1232</v>
      </c>
      <c r="I259" s="73" t="s">
        <v>59</v>
      </c>
      <c r="J259" s="73" t="s">
        <v>31</v>
      </c>
      <c r="K259" s="73" t="s">
        <v>32</v>
      </c>
      <c r="L259" s="73" t="s">
        <v>97</v>
      </c>
      <c r="M259" s="73">
        <v>19</v>
      </c>
      <c r="N259" s="73">
        <v>3500</v>
      </c>
      <c r="O259" s="71">
        <v>0.2</v>
      </c>
      <c r="P259" s="73">
        <v>53200</v>
      </c>
      <c r="Q259" s="73">
        <v>1</v>
      </c>
      <c r="R259" s="73" t="s">
        <v>34</v>
      </c>
      <c r="S259" s="73" t="s">
        <v>61</v>
      </c>
      <c r="T259" s="70" t="s">
        <v>50</v>
      </c>
      <c r="U259" s="73">
        <v>9997515828</v>
      </c>
      <c r="V259" s="73" t="s">
        <v>69</v>
      </c>
      <c r="AQ259" s="87">
        <v>45753</v>
      </c>
    </row>
    <row r="260" spans="1:43" x14ac:dyDescent="0.5">
      <c r="A260" s="69" t="s">
        <v>1234</v>
      </c>
      <c r="B260" s="70" t="s">
        <v>23</v>
      </c>
      <c r="C260" s="70" t="s">
        <v>24</v>
      </c>
      <c r="D260" s="86">
        <v>45695</v>
      </c>
      <c r="E260" s="70" t="s">
        <v>436</v>
      </c>
      <c r="F260" s="70" t="s">
        <v>27</v>
      </c>
      <c r="G260" s="70" t="s">
        <v>28</v>
      </c>
      <c r="H260" s="70" t="s">
        <v>1235</v>
      </c>
      <c r="I260" s="70" t="s">
        <v>105</v>
      </c>
      <c r="J260" s="70" t="s">
        <v>106</v>
      </c>
      <c r="K260" s="70" t="s">
        <v>32</v>
      </c>
      <c r="L260" s="70" t="s">
        <v>33</v>
      </c>
      <c r="M260" s="70">
        <v>7</v>
      </c>
      <c r="N260" s="70">
        <v>2200</v>
      </c>
      <c r="O260" s="71">
        <v>0.05</v>
      </c>
      <c r="P260" s="70">
        <v>14630</v>
      </c>
      <c r="Q260" s="70">
        <v>3</v>
      </c>
      <c r="R260" s="70" t="s">
        <v>88</v>
      </c>
      <c r="S260" s="70" t="s">
        <v>61</v>
      </c>
      <c r="T260" s="70" t="s">
        <v>50</v>
      </c>
      <c r="U260" s="70">
        <v>9394291182</v>
      </c>
      <c r="V260" s="70" t="s">
        <v>69</v>
      </c>
      <c r="AQ260" s="86">
        <v>45840</v>
      </c>
    </row>
    <row r="261" spans="1:43" x14ac:dyDescent="0.5">
      <c r="A261" s="72" t="s">
        <v>1237</v>
      </c>
      <c r="B261" s="73" t="s">
        <v>83</v>
      </c>
      <c r="C261" s="73" t="s">
        <v>184</v>
      </c>
      <c r="D261" s="87">
        <v>46151</v>
      </c>
      <c r="E261" s="73" t="s">
        <v>426</v>
      </c>
      <c r="F261" s="70" t="s">
        <v>180</v>
      </c>
      <c r="G261" s="73" t="s">
        <v>76</v>
      </c>
      <c r="H261" s="73" t="s">
        <v>1239</v>
      </c>
      <c r="I261" s="73" t="s">
        <v>212</v>
      </c>
      <c r="J261" s="73" t="s">
        <v>45</v>
      </c>
      <c r="K261" s="73" t="s">
        <v>46</v>
      </c>
      <c r="L261" s="73" t="s">
        <v>189</v>
      </c>
      <c r="M261" s="73">
        <v>18</v>
      </c>
      <c r="N261" s="73">
        <v>700</v>
      </c>
      <c r="O261" s="71">
        <v>0.05</v>
      </c>
      <c r="P261" s="73">
        <v>11970</v>
      </c>
      <c r="Q261" s="73">
        <v>2</v>
      </c>
      <c r="R261" s="73" t="s">
        <v>88</v>
      </c>
      <c r="S261" s="73" t="s">
        <v>61</v>
      </c>
      <c r="T261" s="70" t="s">
        <v>89</v>
      </c>
      <c r="U261" s="73">
        <v>9616853220</v>
      </c>
      <c r="V261" s="73" t="s">
        <v>69</v>
      </c>
      <c r="AQ261" s="87">
        <v>46270</v>
      </c>
    </row>
    <row r="262" spans="1:43" x14ac:dyDescent="0.5">
      <c r="A262" s="69" t="s">
        <v>1241</v>
      </c>
      <c r="B262" s="70" t="s">
        <v>23</v>
      </c>
      <c r="C262" s="70" t="s">
        <v>222</v>
      </c>
      <c r="D262" s="86">
        <v>45858</v>
      </c>
      <c r="E262" s="70" t="s">
        <v>1242</v>
      </c>
      <c r="F262" s="70" t="s">
        <v>27</v>
      </c>
      <c r="G262" s="70" t="s">
        <v>28</v>
      </c>
      <c r="H262" s="70" t="s">
        <v>1243</v>
      </c>
      <c r="I262" s="70" t="s">
        <v>294</v>
      </c>
      <c r="J262" s="70" t="s">
        <v>295</v>
      </c>
      <c r="K262" s="70" t="s">
        <v>122</v>
      </c>
      <c r="L262" s="70" t="s">
        <v>227</v>
      </c>
      <c r="M262" s="70">
        <v>11</v>
      </c>
      <c r="N262" s="70">
        <v>20</v>
      </c>
      <c r="O262" s="71">
        <v>0</v>
      </c>
      <c r="P262" s="70">
        <v>220</v>
      </c>
      <c r="Q262" s="70">
        <v>2</v>
      </c>
      <c r="R262" s="70" t="s">
        <v>48</v>
      </c>
      <c r="S262" s="70" t="s">
        <v>115</v>
      </c>
      <c r="T262" s="70" t="s">
        <v>50</v>
      </c>
      <c r="U262" s="70">
        <v>9147552626</v>
      </c>
      <c r="V262" s="70" t="s">
        <v>69</v>
      </c>
      <c r="AQ262" s="86">
        <v>45858</v>
      </c>
    </row>
    <row r="263" spans="1:43" x14ac:dyDescent="0.5">
      <c r="A263" s="72" t="s">
        <v>1245</v>
      </c>
      <c r="B263" s="73" t="s">
        <v>327</v>
      </c>
      <c r="C263" s="73" t="s">
        <v>40</v>
      </c>
      <c r="D263" s="87">
        <v>45716</v>
      </c>
      <c r="E263" s="73" t="s">
        <v>272</v>
      </c>
      <c r="F263" s="70" t="s">
        <v>394</v>
      </c>
      <c r="G263" s="73" t="s">
        <v>76</v>
      </c>
      <c r="H263" s="73" t="s">
        <v>1246</v>
      </c>
      <c r="I263" s="73" t="s">
        <v>114</v>
      </c>
      <c r="J263" s="73" t="s">
        <v>106</v>
      </c>
      <c r="K263" s="73" t="s">
        <v>46</v>
      </c>
      <c r="L263" s="73" t="s">
        <v>47</v>
      </c>
      <c r="M263" s="73">
        <v>17</v>
      </c>
      <c r="N263" s="73">
        <v>12000</v>
      </c>
      <c r="O263" s="71">
        <v>0.2</v>
      </c>
      <c r="P263" s="73">
        <v>163200</v>
      </c>
      <c r="Q263" s="73">
        <v>4</v>
      </c>
      <c r="R263" s="73" t="s">
        <v>88</v>
      </c>
      <c r="S263" s="73" t="s">
        <v>151</v>
      </c>
      <c r="T263" s="70" t="s">
        <v>332</v>
      </c>
      <c r="U263" s="73">
        <v>9724197033</v>
      </c>
      <c r="V263" s="73" t="s">
        <v>38</v>
      </c>
      <c r="AQ263" s="87">
        <v>45716</v>
      </c>
    </row>
    <row r="264" spans="1:43" x14ac:dyDescent="0.5">
      <c r="A264" s="69" t="s">
        <v>1248</v>
      </c>
      <c r="B264" s="70" t="s">
        <v>251</v>
      </c>
      <c r="C264" s="70" t="s">
        <v>24</v>
      </c>
      <c r="D264" s="86">
        <v>45846</v>
      </c>
      <c r="E264" s="70" t="s">
        <v>267</v>
      </c>
      <c r="F264" s="70" t="s">
        <v>254</v>
      </c>
      <c r="G264" s="70" t="s">
        <v>28</v>
      </c>
      <c r="H264" s="70" t="s">
        <v>1250</v>
      </c>
      <c r="I264" s="70" t="s">
        <v>294</v>
      </c>
      <c r="J264" s="70" t="s">
        <v>295</v>
      </c>
      <c r="K264" s="70" t="s">
        <v>32</v>
      </c>
      <c r="L264" s="70" t="s">
        <v>33</v>
      </c>
      <c r="M264" s="70">
        <v>4</v>
      </c>
      <c r="N264" s="70">
        <v>2200</v>
      </c>
      <c r="O264" s="71">
        <v>0.05</v>
      </c>
      <c r="P264" s="70">
        <v>8360</v>
      </c>
      <c r="Q264" s="70">
        <v>2</v>
      </c>
      <c r="R264" s="70" t="s">
        <v>34</v>
      </c>
      <c r="S264" s="70" t="s">
        <v>35</v>
      </c>
      <c r="T264" s="70" t="s">
        <v>256</v>
      </c>
      <c r="U264" s="70">
        <v>9130666128</v>
      </c>
      <c r="V264" s="70" t="s">
        <v>38</v>
      </c>
      <c r="AQ264" s="86">
        <v>45876</v>
      </c>
    </row>
    <row r="265" spans="1:43" x14ac:dyDescent="0.5">
      <c r="A265" s="72" t="s">
        <v>1252</v>
      </c>
      <c r="B265" s="73" t="s">
        <v>23</v>
      </c>
      <c r="C265" s="73" t="s">
        <v>54</v>
      </c>
      <c r="D265" s="87">
        <v>46003</v>
      </c>
      <c r="E265" s="73" t="s">
        <v>455</v>
      </c>
      <c r="F265" s="70" t="s">
        <v>27</v>
      </c>
      <c r="G265" s="73" t="s">
        <v>28</v>
      </c>
      <c r="H265" s="73" t="s">
        <v>1254</v>
      </c>
      <c r="I265" s="73" t="s">
        <v>138</v>
      </c>
      <c r="J265" s="73" t="s">
        <v>106</v>
      </c>
      <c r="K265" s="73" t="s">
        <v>46</v>
      </c>
      <c r="L265" s="73" t="s">
        <v>60</v>
      </c>
      <c r="M265" s="73">
        <v>6</v>
      </c>
      <c r="N265" s="73">
        <v>55000</v>
      </c>
      <c r="O265" s="71">
        <v>0.2</v>
      </c>
      <c r="P265" s="73">
        <v>264000</v>
      </c>
      <c r="Q265" s="73">
        <v>2</v>
      </c>
      <c r="R265" s="73" t="s">
        <v>88</v>
      </c>
      <c r="S265" s="73" t="s">
        <v>151</v>
      </c>
      <c r="T265" s="70" t="s">
        <v>50</v>
      </c>
      <c r="U265" s="73">
        <v>9866567601</v>
      </c>
      <c r="V265" s="73" t="s">
        <v>69</v>
      </c>
      <c r="AQ265" s="87">
        <v>46003</v>
      </c>
    </row>
    <row r="266" spans="1:43" x14ac:dyDescent="0.5">
      <c r="A266" s="69" t="s">
        <v>1256</v>
      </c>
      <c r="B266" s="70" t="s">
        <v>71</v>
      </c>
      <c r="C266" s="70" t="s">
        <v>169</v>
      </c>
      <c r="D266" s="86">
        <v>46026</v>
      </c>
      <c r="E266" s="70" t="s">
        <v>998</v>
      </c>
      <c r="F266" s="70" t="s">
        <v>217</v>
      </c>
      <c r="G266" s="70" t="s">
        <v>76</v>
      </c>
      <c r="H266" s="70" t="s">
        <v>1257</v>
      </c>
      <c r="I266" s="70" t="s">
        <v>44</v>
      </c>
      <c r="J266" s="70" t="s">
        <v>45</v>
      </c>
      <c r="K266" s="70" t="s">
        <v>32</v>
      </c>
      <c r="L266" s="70" t="s">
        <v>174</v>
      </c>
      <c r="M266" s="70">
        <v>6</v>
      </c>
      <c r="N266" s="70">
        <v>8500</v>
      </c>
      <c r="O266" s="71">
        <v>0.1</v>
      </c>
      <c r="P266" s="70">
        <v>45900</v>
      </c>
      <c r="Q266" s="70">
        <v>5</v>
      </c>
      <c r="R266" s="70" t="s">
        <v>88</v>
      </c>
      <c r="S266" s="70" t="s">
        <v>61</v>
      </c>
      <c r="T266" s="70" t="s">
        <v>80</v>
      </c>
      <c r="U266" s="70">
        <v>9477282450</v>
      </c>
      <c r="V266" s="70" t="s">
        <v>38</v>
      </c>
      <c r="AQ266" s="86">
        <v>46113</v>
      </c>
    </row>
    <row r="267" spans="1:43" x14ac:dyDescent="0.5">
      <c r="A267" s="72" t="s">
        <v>1259</v>
      </c>
      <c r="B267" s="73" t="s">
        <v>23</v>
      </c>
      <c r="C267" s="73" t="s">
        <v>222</v>
      </c>
      <c r="D267" s="87">
        <v>45889</v>
      </c>
      <c r="E267" s="73" t="s">
        <v>371</v>
      </c>
      <c r="F267" s="70" t="s">
        <v>27</v>
      </c>
      <c r="G267" s="73" t="s">
        <v>28</v>
      </c>
      <c r="H267" s="73" t="s">
        <v>1260</v>
      </c>
      <c r="I267" s="73" t="s">
        <v>212</v>
      </c>
      <c r="J267" s="73" t="s">
        <v>45</v>
      </c>
      <c r="K267" s="73" t="s">
        <v>122</v>
      </c>
      <c r="L267" s="73" t="s">
        <v>227</v>
      </c>
      <c r="M267" s="73">
        <v>6</v>
      </c>
      <c r="N267" s="73">
        <v>20</v>
      </c>
      <c r="O267" s="71">
        <v>0.15</v>
      </c>
      <c r="P267" s="73">
        <v>102</v>
      </c>
      <c r="Q267" s="73">
        <v>2</v>
      </c>
      <c r="R267" s="73" t="s">
        <v>88</v>
      </c>
      <c r="S267" s="73" t="s">
        <v>49</v>
      </c>
      <c r="T267" s="70" t="s">
        <v>50</v>
      </c>
      <c r="U267" s="73">
        <v>9857621478</v>
      </c>
      <c r="V267" s="73" t="s">
        <v>69</v>
      </c>
      <c r="AQ267" s="87">
        <v>45889</v>
      </c>
    </row>
    <row r="268" spans="1:43" x14ac:dyDescent="0.5">
      <c r="A268" s="69" t="s">
        <v>1262</v>
      </c>
      <c r="B268" s="70" t="s">
        <v>53</v>
      </c>
      <c r="C268" s="70" t="s">
        <v>118</v>
      </c>
      <c r="D268" s="86">
        <v>45780</v>
      </c>
      <c r="E268" s="70" t="s">
        <v>597</v>
      </c>
      <c r="F268" s="70" t="s">
        <v>163</v>
      </c>
      <c r="G268" s="70" t="s">
        <v>28</v>
      </c>
      <c r="H268" s="70" t="s">
        <v>1264</v>
      </c>
      <c r="I268" s="70" t="s">
        <v>105</v>
      </c>
      <c r="J268" s="70" t="s">
        <v>106</v>
      </c>
      <c r="K268" s="70" t="s">
        <v>122</v>
      </c>
      <c r="L268" s="70" t="s">
        <v>123</v>
      </c>
      <c r="M268" s="70">
        <v>6</v>
      </c>
      <c r="N268" s="70">
        <v>60</v>
      </c>
      <c r="O268" s="71">
        <v>0.05</v>
      </c>
      <c r="P268" s="70">
        <v>342</v>
      </c>
      <c r="Q268" s="70">
        <v>1</v>
      </c>
      <c r="R268" s="70" t="s">
        <v>48</v>
      </c>
      <c r="S268" s="70" t="s">
        <v>61</v>
      </c>
      <c r="T268" s="70" t="s">
        <v>62</v>
      </c>
      <c r="U268" s="70">
        <v>9753869055</v>
      </c>
      <c r="V268" s="70" t="s">
        <v>38</v>
      </c>
      <c r="AQ268" s="86">
        <v>45721</v>
      </c>
    </row>
    <row r="269" spans="1:43" x14ac:dyDescent="0.5">
      <c r="A269" s="72" t="s">
        <v>1266</v>
      </c>
      <c r="B269" s="73" t="s">
        <v>127</v>
      </c>
      <c r="C269" s="73" t="s">
        <v>169</v>
      </c>
      <c r="D269" s="87">
        <v>45666</v>
      </c>
      <c r="E269" s="73" t="s">
        <v>1268</v>
      </c>
      <c r="F269" s="70" t="s">
        <v>200</v>
      </c>
      <c r="G269" s="73" t="s">
        <v>76</v>
      </c>
      <c r="H269" s="73" t="s">
        <v>1269</v>
      </c>
      <c r="I269" s="73" t="s">
        <v>30</v>
      </c>
      <c r="J269" s="73" t="s">
        <v>31</v>
      </c>
      <c r="K269" s="73" t="s">
        <v>32</v>
      </c>
      <c r="L269" s="73" t="s">
        <v>174</v>
      </c>
      <c r="M269" s="73">
        <v>19</v>
      </c>
      <c r="N269" s="73">
        <v>8500</v>
      </c>
      <c r="O269" s="71">
        <v>0</v>
      </c>
      <c r="P269" s="73">
        <v>161500</v>
      </c>
      <c r="Q269" s="73">
        <v>5</v>
      </c>
      <c r="R269" s="73" t="s">
        <v>88</v>
      </c>
      <c r="S269" s="73" t="s">
        <v>151</v>
      </c>
      <c r="T269" s="70" t="s">
        <v>132</v>
      </c>
      <c r="U269" s="73">
        <v>9663266204</v>
      </c>
      <c r="V269" s="73" t="s">
        <v>38</v>
      </c>
      <c r="AQ269" s="87">
        <v>45901</v>
      </c>
    </row>
    <row r="270" spans="1:43" x14ac:dyDescent="0.5">
      <c r="A270" s="69" t="s">
        <v>1271</v>
      </c>
      <c r="B270" s="70" t="s">
        <v>251</v>
      </c>
      <c r="C270" s="70" t="s">
        <v>54</v>
      </c>
      <c r="D270" s="86">
        <v>45901</v>
      </c>
      <c r="E270" s="70" t="s">
        <v>573</v>
      </c>
      <c r="F270" s="70" t="s">
        <v>254</v>
      </c>
      <c r="G270" s="70" t="s">
        <v>28</v>
      </c>
      <c r="H270" s="70" t="s">
        <v>1272</v>
      </c>
      <c r="I270" s="70" t="s">
        <v>212</v>
      </c>
      <c r="J270" s="70" t="s">
        <v>45</v>
      </c>
      <c r="K270" s="70" t="s">
        <v>46</v>
      </c>
      <c r="L270" s="70" t="s">
        <v>60</v>
      </c>
      <c r="M270" s="70">
        <v>8</v>
      </c>
      <c r="N270" s="70">
        <v>55000</v>
      </c>
      <c r="O270" s="71">
        <v>0</v>
      </c>
      <c r="P270" s="70">
        <v>440000</v>
      </c>
      <c r="Q270" s="70">
        <v>3</v>
      </c>
      <c r="R270" s="70" t="s">
        <v>79</v>
      </c>
      <c r="S270" s="70" t="s">
        <v>115</v>
      </c>
      <c r="T270" s="70" t="s">
        <v>256</v>
      </c>
      <c r="U270" s="70">
        <v>9675208616</v>
      </c>
      <c r="V270" s="70" t="s">
        <v>64</v>
      </c>
      <c r="AQ270" s="86">
        <v>45666</v>
      </c>
    </row>
    <row r="271" spans="1:43" x14ac:dyDescent="0.5">
      <c r="A271" s="72" t="s">
        <v>1274</v>
      </c>
      <c r="B271" s="73" t="s">
        <v>71</v>
      </c>
      <c r="C271" s="73" t="s">
        <v>40</v>
      </c>
      <c r="D271" s="87">
        <v>46144</v>
      </c>
      <c r="E271" s="73" t="s">
        <v>583</v>
      </c>
      <c r="F271" s="70" t="s">
        <v>217</v>
      </c>
      <c r="G271" s="73" t="s">
        <v>76</v>
      </c>
      <c r="H271" s="73" t="s">
        <v>1275</v>
      </c>
      <c r="I271" s="73" t="s">
        <v>294</v>
      </c>
      <c r="J271" s="73" t="s">
        <v>295</v>
      </c>
      <c r="K271" s="73" t="s">
        <v>46</v>
      </c>
      <c r="L271" s="73" t="s">
        <v>47</v>
      </c>
      <c r="M271" s="73">
        <v>18</v>
      </c>
      <c r="N271" s="73">
        <v>12000</v>
      </c>
      <c r="O271" s="71">
        <v>0.2</v>
      </c>
      <c r="P271" s="73">
        <v>172800</v>
      </c>
      <c r="Q271" s="73">
        <v>5</v>
      </c>
      <c r="R271" s="73" t="s">
        <v>88</v>
      </c>
      <c r="S271" s="73" t="s">
        <v>61</v>
      </c>
      <c r="T271" s="70" t="s">
        <v>80</v>
      </c>
      <c r="U271" s="73">
        <v>9618393586</v>
      </c>
      <c r="V271" s="73" t="s">
        <v>69</v>
      </c>
      <c r="AQ271" s="87">
        <v>46058</v>
      </c>
    </row>
    <row r="272" spans="1:43" x14ac:dyDescent="0.5">
      <c r="A272" s="69" t="s">
        <v>1277</v>
      </c>
      <c r="B272" s="70" t="s">
        <v>127</v>
      </c>
      <c r="C272" s="70" t="s">
        <v>169</v>
      </c>
      <c r="D272" s="86">
        <v>45764</v>
      </c>
      <c r="E272" s="70" t="s">
        <v>198</v>
      </c>
      <c r="F272" s="70" t="s">
        <v>200</v>
      </c>
      <c r="G272" s="70" t="s">
        <v>76</v>
      </c>
      <c r="H272" s="70" t="s">
        <v>1279</v>
      </c>
      <c r="I272" s="70" t="s">
        <v>138</v>
      </c>
      <c r="J272" s="70" t="s">
        <v>106</v>
      </c>
      <c r="K272" s="70" t="s">
        <v>32</v>
      </c>
      <c r="L272" s="70" t="s">
        <v>174</v>
      </c>
      <c r="M272" s="70">
        <v>8</v>
      </c>
      <c r="N272" s="70">
        <v>8500</v>
      </c>
      <c r="O272" s="71">
        <v>0.05</v>
      </c>
      <c r="P272" s="70">
        <v>64600</v>
      </c>
      <c r="Q272" s="70">
        <v>2</v>
      </c>
      <c r="R272" s="70" t="s">
        <v>79</v>
      </c>
      <c r="S272" s="70" t="s">
        <v>61</v>
      </c>
      <c r="T272" s="70" t="s">
        <v>132</v>
      </c>
      <c r="U272" s="70">
        <v>9137027840</v>
      </c>
      <c r="V272" s="70" t="s">
        <v>69</v>
      </c>
      <c r="AQ272" s="86">
        <v>45764</v>
      </c>
    </row>
    <row r="273" spans="1:43" x14ac:dyDescent="0.5">
      <c r="A273" s="72" t="s">
        <v>1281</v>
      </c>
      <c r="B273" s="73" t="s">
        <v>23</v>
      </c>
      <c r="C273" s="73" t="s">
        <v>222</v>
      </c>
      <c r="D273" s="87">
        <v>45878</v>
      </c>
      <c r="E273" s="73" t="s">
        <v>724</v>
      </c>
      <c r="F273" s="70" t="s">
        <v>27</v>
      </c>
      <c r="G273" s="73" t="s">
        <v>28</v>
      </c>
      <c r="H273" s="73" t="s">
        <v>1283</v>
      </c>
      <c r="I273" s="73" t="s">
        <v>105</v>
      </c>
      <c r="J273" s="73" t="s">
        <v>106</v>
      </c>
      <c r="K273" s="73" t="s">
        <v>122</v>
      </c>
      <c r="L273" s="73" t="s">
        <v>227</v>
      </c>
      <c r="M273" s="73">
        <v>13</v>
      </c>
      <c r="N273" s="73">
        <v>20</v>
      </c>
      <c r="O273" s="71">
        <v>0.05</v>
      </c>
      <c r="P273" s="73">
        <v>247</v>
      </c>
      <c r="Q273" s="73">
        <v>3</v>
      </c>
      <c r="R273" s="73" t="s">
        <v>48</v>
      </c>
      <c r="S273" s="73" t="s">
        <v>115</v>
      </c>
      <c r="T273" s="70" t="s">
        <v>50</v>
      </c>
      <c r="U273" s="73">
        <v>9362758134</v>
      </c>
      <c r="V273" s="73" t="s">
        <v>64</v>
      </c>
      <c r="AQ273" s="87">
        <v>45908</v>
      </c>
    </row>
    <row r="274" spans="1:43" x14ac:dyDescent="0.5">
      <c r="A274" s="69" t="s">
        <v>1285</v>
      </c>
      <c r="B274" s="70" t="s">
        <v>83</v>
      </c>
      <c r="C274" s="70" t="s">
        <v>118</v>
      </c>
      <c r="D274" s="86">
        <v>46116</v>
      </c>
      <c r="E274" s="70" t="s">
        <v>1286</v>
      </c>
      <c r="F274" s="70" t="s">
        <v>180</v>
      </c>
      <c r="G274" s="70" t="s">
        <v>76</v>
      </c>
      <c r="H274" s="70" t="s">
        <v>1287</v>
      </c>
      <c r="I274" s="70" t="s">
        <v>212</v>
      </c>
      <c r="J274" s="70" t="s">
        <v>45</v>
      </c>
      <c r="K274" s="70" t="s">
        <v>122</v>
      </c>
      <c r="L274" s="70" t="s">
        <v>123</v>
      </c>
      <c r="M274" s="70">
        <v>1</v>
      </c>
      <c r="N274" s="70">
        <v>60</v>
      </c>
      <c r="O274" s="71">
        <v>0.15</v>
      </c>
      <c r="P274" s="70">
        <v>51</v>
      </c>
      <c r="Q274" s="70">
        <v>2</v>
      </c>
      <c r="R274" s="70" t="s">
        <v>79</v>
      </c>
      <c r="S274" s="70" t="s">
        <v>61</v>
      </c>
      <c r="T274" s="70" t="s">
        <v>89</v>
      </c>
      <c r="U274" s="70">
        <v>9648541985</v>
      </c>
      <c r="V274" s="70" t="s">
        <v>69</v>
      </c>
      <c r="AQ274" s="86">
        <v>46116</v>
      </c>
    </row>
    <row r="275" spans="1:43" x14ac:dyDescent="0.5">
      <c r="A275" s="72" t="s">
        <v>1289</v>
      </c>
      <c r="B275" s="73" t="s">
        <v>53</v>
      </c>
      <c r="C275" s="73" t="s">
        <v>222</v>
      </c>
      <c r="D275" s="87">
        <v>45830</v>
      </c>
      <c r="E275" s="73" t="s">
        <v>965</v>
      </c>
      <c r="F275" s="70" t="s">
        <v>163</v>
      </c>
      <c r="G275" s="73" t="s">
        <v>28</v>
      </c>
      <c r="H275" s="73" t="s">
        <v>1291</v>
      </c>
      <c r="I275" s="73" t="s">
        <v>114</v>
      </c>
      <c r="J275" s="73" t="s">
        <v>106</v>
      </c>
      <c r="K275" s="73" t="s">
        <v>122</v>
      </c>
      <c r="L275" s="73" t="s">
        <v>227</v>
      </c>
      <c r="M275" s="73">
        <v>5</v>
      </c>
      <c r="N275" s="73">
        <v>20</v>
      </c>
      <c r="O275" s="71">
        <v>0.05</v>
      </c>
      <c r="P275" s="73">
        <v>95</v>
      </c>
      <c r="Q275" s="73">
        <v>2</v>
      </c>
      <c r="R275" s="73" t="s">
        <v>48</v>
      </c>
      <c r="S275" s="73" t="s">
        <v>49</v>
      </c>
      <c r="T275" s="70" t="s">
        <v>62</v>
      </c>
      <c r="U275" s="73">
        <v>9175002781</v>
      </c>
      <c r="V275" s="73" t="s">
        <v>64</v>
      </c>
      <c r="AQ275" s="87">
        <v>45830</v>
      </c>
    </row>
    <row r="276" spans="1:43" x14ac:dyDescent="0.5">
      <c r="A276" s="69" t="s">
        <v>1293</v>
      </c>
      <c r="B276" s="70" t="s">
        <v>221</v>
      </c>
      <c r="C276" s="70" t="s">
        <v>222</v>
      </c>
      <c r="D276" s="86">
        <v>45796</v>
      </c>
      <c r="E276" s="70" t="s">
        <v>1017</v>
      </c>
      <c r="F276" s="70" t="s">
        <v>225</v>
      </c>
      <c r="G276" s="70" t="s">
        <v>76</v>
      </c>
      <c r="H276" s="70" t="s">
        <v>1295</v>
      </c>
      <c r="I276" s="70" t="s">
        <v>294</v>
      </c>
      <c r="J276" s="70" t="s">
        <v>295</v>
      </c>
      <c r="K276" s="70" t="s">
        <v>122</v>
      </c>
      <c r="L276" s="70" t="s">
        <v>227</v>
      </c>
      <c r="M276" s="70">
        <v>19</v>
      </c>
      <c r="N276" s="70">
        <v>20</v>
      </c>
      <c r="O276" s="71">
        <v>0.2</v>
      </c>
      <c r="P276" s="70">
        <v>304</v>
      </c>
      <c r="Q276" s="70">
        <v>3</v>
      </c>
      <c r="R276" s="70" t="s">
        <v>34</v>
      </c>
      <c r="S276" s="70" t="s">
        <v>35</v>
      </c>
      <c r="T276" s="70" t="s">
        <v>228</v>
      </c>
      <c r="U276" s="70">
        <v>9786241263</v>
      </c>
      <c r="V276" s="70" t="s">
        <v>69</v>
      </c>
      <c r="AQ276" s="86">
        <v>45796</v>
      </c>
    </row>
    <row r="277" spans="1:43" x14ac:dyDescent="0.5">
      <c r="A277" s="72" t="s">
        <v>1297</v>
      </c>
      <c r="B277" s="73" t="s">
        <v>100</v>
      </c>
      <c r="C277" s="73" t="s">
        <v>259</v>
      </c>
      <c r="D277" s="87">
        <v>45745</v>
      </c>
      <c r="E277" s="73" t="s">
        <v>366</v>
      </c>
      <c r="F277" s="70" t="s">
        <v>103</v>
      </c>
      <c r="G277" s="73" t="s">
        <v>28</v>
      </c>
      <c r="H277" s="73" t="s">
        <v>1299</v>
      </c>
      <c r="I277" s="73" t="s">
        <v>138</v>
      </c>
      <c r="J277" s="73" t="s">
        <v>106</v>
      </c>
      <c r="K277" s="73" t="s">
        <v>122</v>
      </c>
      <c r="L277" s="73" t="s">
        <v>263</v>
      </c>
      <c r="M277" s="73">
        <v>17</v>
      </c>
      <c r="N277" s="73">
        <v>45</v>
      </c>
      <c r="O277" s="71">
        <v>0.05</v>
      </c>
      <c r="P277" s="73">
        <v>726.75</v>
      </c>
      <c r="Q277" s="73">
        <v>4</v>
      </c>
      <c r="R277" s="73" t="s">
        <v>34</v>
      </c>
      <c r="S277" s="73" t="s">
        <v>115</v>
      </c>
      <c r="T277" s="70" t="s">
        <v>144</v>
      </c>
      <c r="U277" s="73">
        <v>9691078176</v>
      </c>
      <c r="V277" s="73" t="s">
        <v>64</v>
      </c>
      <c r="AQ277" s="87">
        <v>45745</v>
      </c>
    </row>
    <row r="278" spans="1:43" x14ac:dyDescent="0.5">
      <c r="A278" s="69" t="s">
        <v>1301</v>
      </c>
      <c r="B278" s="70" t="s">
        <v>83</v>
      </c>
      <c r="C278" s="70" t="s">
        <v>184</v>
      </c>
      <c r="D278" s="86">
        <v>46071</v>
      </c>
      <c r="E278" s="70" t="s">
        <v>170</v>
      </c>
      <c r="F278" s="70" t="s">
        <v>180</v>
      </c>
      <c r="G278" s="70" t="s">
        <v>76</v>
      </c>
      <c r="H278" s="70" t="s">
        <v>1303</v>
      </c>
      <c r="I278" s="70" t="s">
        <v>59</v>
      </c>
      <c r="J278" s="70" t="s">
        <v>31</v>
      </c>
      <c r="K278" s="70" t="s">
        <v>46</v>
      </c>
      <c r="L278" s="70" t="s">
        <v>189</v>
      </c>
      <c r="M278" s="70">
        <v>8</v>
      </c>
      <c r="N278" s="70">
        <v>700</v>
      </c>
      <c r="O278" s="71">
        <v>0.15</v>
      </c>
      <c r="P278" s="70">
        <v>4760</v>
      </c>
      <c r="Q278" s="70">
        <v>4</v>
      </c>
      <c r="R278" s="70" t="s">
        <v>48</v>
      </c>
      <c r="S278" s="70" t="s">
        <v>35</v>
      </c>
      <c r="T278" s="70" t="s">
        <v>89</v>
      </c>
      <c r="U278" s="70">
        <v>9336679085</v>
      </c>
      <c r="V278" s="70" t="s">
        <v>64</v>
      </c>
      <c r="AQ278" s="86">
        <v>46071</v>
      </c>
    </row>
    <row r="279" spans="1:43" x14ac:dyDescent="0.5">
      <c r="A279" s="72" t="s">
        <v>1305</v>
      </c>
      <c r="B279" s="73" t="s">
        <v>168</v>
      </c>
      <c r="C279" s="73" t="s">
        <v>24</v>
      </c>
      <c r="D279" s="87">
        <v>46043</v>
      </c>
      <c r="E279" s="73" t="s">
        <v>1307</v>
      </c>
      <c r="F279" s="70" t="s">
        <v>361</v>
      </c>
      <c r="G279" s="73" t="s">
        <v>28</v>
      </c>
      <c r="H279" s="73" t="s">
        <v>1308</v>
      </c>
      <c r="I279" s="73" t="s">
        <v>105</v>
      </c>
      <c r="J279" s="73" t="s">
        <v>106</v>
      </c>
      <c r="K279" s="73" t="s">
        <v>32</v>
      </c>
      <c r="L279" s="73" t="s">
        <v>33</v>
      </c>
      <c r="M279" s="73">
        <v>15</v>
      </c>
      <c r="N279" s="73">
        <v>2200</v>
      </c>
      <c r="O279" s="71">
        <v>0.1</v>
      </c>
      <c r="P279" s="73">
        <v>29700</v>
      </c>
      <c r="Q279" s="73">
        <v>5</v>
      </c>
      <c r="R279" s="73" t="s">
        <v>88</v>
      </c>
      <c r="S279" s="73" t="s">
        <v>151</v>
      </c>
      <c r="T279" s="70" t="s">
        <v>175</v>
      </c>
      <c r="U279" s="73">
        <v>9497351043</v>
      </c>
      <c r="V279" s="73" t="s">
        <v>38</v>
      </c>
      <c r="AQ279" s="87">
        <v>46043</v>
      </c>
    </row>
    <row r="280" spans="1:43" x14ac:dyDescent="0.5">
      <c r="A280" s="69" t="s">
        <v>1310</v>
      </c>
      <c r="B280" s="70" t="s">
        <v>100</v>
      </c>
      <c r="C280" s="70" t="s">
        <v>24</v>
      </c>
      <c r="D280" s="86">
        <v>45917</v>
      </c>
      <c r="E280" s="70" t="s">
        <v>1311</v>
      </c>
      <c r="F280" s="70" t="s">
        <v>103</v>
      </c>
      <c r="G280" s="70" t="s">
        <v>28</v>
      </c>
      <c r="H280" s="70" t="s">
        <v>1312</v>
      </c>
      <c r="I280" s="70" t="s">
        <v>105</v>
      </c>
      <c r="J280" s="70" t="s">
        <v>106</v>
      </c>
      <c r="K280" s="70" t="s">
        <v>32</v>
      </c>
      <c r="L280" s="70" t="s">
        <v>33</v>
      </c>
      <c r="M280" s="70">
        <v>1</v>
      </c>
      <c r="N280" s="70">
        <v>2200</v>
      </c>
      <c r="O280" s="71">
        <v>0</v>
      </c>
      <c r="P280" s="70">
        <v>2200</v>
      </c>
      <c r="Q280" s="70">
        <v>4</v>
      </c>
      <c r="R280" s="70" t="s">
        <v>34</v>
      </c>
      <c r="S280" s="70" t="s">
        <v>49</v>
      </c>
      <c r="T280" s="70" t="s">
        <v>144</v>
      </c>
      <c r="U280" s="70">
        <v>9357038998</v>
      </c>
      <c r="V280" s="70" t="s">
        <v>69</v>
      </c>
      <c r="AQ280" s="86">
        <v>45917</v>
      </c>
    </row>
    <row r="281" spans="1:43" x14ac:dyDescent="0.5">
      <c r="A281" s="72" t="s">
        <v>1314</v>
      </c>
      <c r="B281" s="73" t="s">
        <v>251</v>
      </c>
      <c r="C281" s="73" t="s">
        <v>92</v>
      </c>
      <c r="D281" s="87">
        <v>45827</v>
      </c>
      <c r="E281" s="73" t="s">
        <v>1315</v>
      </c>
      <c r="F281" s="70" t="s">
        <v>254</v>
      </c>
      <c r="G281" s="73" t="s">
        <v>28</v>
      </c>
      <c r="H281" s="73" t="s">
        <v>1316</v>
      </c>
      <c r="I281" s="73" t="s">
        <v>138</v>
      </c>
      <c r="J281" s="73" t="s">
        <v>106</v>
      </c>
      <c r="K281" s="73" t="s">
        <v>32</v>
      </c>
      <c r="L281" s="73" t="s">
        <v>97</v>
      </c>
      <c r="M281" s="73">
        <v>10</v>
      </c>
      <c r="N281" s="73">
        <v>3500</v>
      </c>
      <c r="O281" s="71">
        <v>0.1</v>
      </c>
      <c r="P281" s="73">
        <v>31500</v>
      </c>
      <c r="Q281" s="73">
        <v>4</v>
      </c>
      <c r="R281" s="73" t="s">
        <v>48</v>
      </c>
      <c r="S281" s="73" t="s">
        <v>35</v>
      </c>
      <c r="T281" s="70" t="s">
        <v>256</v>
      </c>
      <c r="U281" s="73">
        <v>9986371291</v>
      </c>
      <c r="V281" s="73" t="s">
        <v>69</v>
      </c>
      <c r="AQ281" s="87">
        <v>45827</v>
      </c>
    </row>
    <row r="282" spans="1:43" x14ac:dyDescent="0.5">
      <c r="A282" s="69" t="s">
        <v>1318</v>
      </c>
      <c r="B282" s="70" t="s">
        <v>71</v>
      </c>
      <c r="C282" s="70" t="s">
        <v>92</v>
      </c>
      <c r="D282" s="86">
        <v>45789</v>
      </c>
      <c r="E282" s="70" t="s">
        <v>1320</v>
      </c>
      <c r="F282" s="70" t="s">
        <v>217</v>
      </c>
      <c r="G282" s="70" t="s">
        <v>76</v>
      </c>
      <c r="H282" s="70" t="s">
        <v>1321</v>
      </c>
      <c r="I282" s="70" t="s">
        <v>212</v>
      </c>
      <c r="J282" s="70" t="s">
        <v>45</v>
      </c>
      <c r="K282" s="70" t="s">
        <v>32</v>
      </c>
      <c r="L282" s="70" t="s">
        <v>97</v>
      </c>
      <c r="M282" s="70">
        <v>16</v>
      </c>
      <c r="N282" s="70">
        <v>3500</v>
      </c>
      <c r="O282" s="71">
        <v>0.15</v>
      </c>
      <c r="P282" s="70">
        <v>47600</v>
      </c>
      <c r="Q282" s="70">
        <v>1</v>
      </c>
      <c r="R282" s="70" t="s">
        <v>79</v>
      </c>
      <c r="S282" s="70" t="s">
        <v>115</v>
      </c>
      <c r="T282" s="70" t="s">
        <v>80</v>
      </c>
      <c r="U282" s="70">
        <v>9397839191</v>
      </c>
      <c r="V282" s="70" t="s">
        <v>64</v>
      </c>
      <c r="AQ282" s="86">
        <v>45996</v>
      </c>
    </row>
    <row r="283" spans="1:43" x14ac:dyDescent="0.5">
      <c r="A283" s="72" t="s">
        <v>1323</v>
      </c>
      <c r="B283" s="73" t="s">
        <v>251</v>
      </c>
      <c r="C283" s="73" t="s">
        <v>40</v>
      </c>
      <c r="D283" s="87">
        <v>45906</v>
      </c>
      <c r="E283" s="73" t="s">
        <v>25</v>
      </c>
      <c r="F283" s="70" t="s">
        <v>254</v>
      </c>
      <c r="G283" s="73" t="s">
        <v>28</v>
      </c>
      <c r="H283" s="73" t="s">
        <v>1325</v>
      </c>
      <c r="I283" s="73" t="s">
        <v>212</v>
      </c>
      <c r="J283" s="73" t="s">
        <v>45</v>
      </c>
      <c r="K283" s="73" t="s">
        <v>46</v>
      </c>
      <c r="L283" s="73" t="s">
        <v>47</v>
      </c>
      <c r="M283" s="73">
        <v>1</v>
      </c>
      <c r="N283" s="73">
        <v>12000</v>
      </c>
      <c r="O283" s="71">
        <v>0</v>
      </c>
      <c r="P283" s="73">
        <v>12000</v>
      </c>
      <c r="Q283" s="73">
        <v>4</v>
      </c>
      <c r="R283" s="73" t="s">
        <v>48</v>
      </c>
      <c r="S283" s="73" t="s">
        <v>115</v>
      </c>
      <c r="T283" s="70" t="s">
        <v>256</v>
      </c>
      <c r="U283" s="73">
        <v>9162975843</v>
      </c>
      <c r="V283" s="73" t="s">
        <v>69</v>
      </c>
      <c r="AQ283" s="87">
        <v>45817</v>
      </c>
    </row>
    <row r="284" spans="1:43" x14ac:dyDescent="0.5">
      <c r="A284" s="69" t="s">
        <v>1327</v>
      </c>
      <c r="B284" s="70" t="s">
        <v>83</v>
      </c>
      <c r="C284" s="70" t="s">
        <v>184</v>
      </c>
      <c r="D284" s="86">
        <v>45770</v>
      </c>
      <c r="E284" s="70" t="s">
        <v>606</v>
      </c>
      <c r="F284" s="70" t="s">
        <v>180</v>
      </c>
      <c r="G284" s="70" t="s">
        <v>76</v>
      </c>
      <c r="H284" s="70" t="s">
        <v>1329</v>
      </c>
      <c r="I284" s="70" t="s">
        <v>105</v>
      </c>
      <c r="J284" s="70" t="s">
        <v>106</v>
      </c>
      <c r="K284" s="70" t="s">
        <v>46</v>
      </c>
      <c r="L284" s="70" t="s">
        <v>189</v>
      </c>
      <c r="M284" s="70">
        <v>6</v>
      </c>
      <c r="N284" s="70">
        <v>700</v>
      </c>
      <c r="O284" s="71">
        <v>0.2</v>
      </c>
      <c r="P284" s="70">
        <v>3360</v>
      </c>
      <c r="Q284" s="70">
        <v>2</v>
      </c>
      <c r="R284" s="70" t="s">
        <v>48</v>
      </c>
      <c r="S284" s="70" t="s">
        <v>115</v>
      </c>
      <c r="T284" s="70" t="s">
        <v>89</v>
      </c>
      <c r="U284" s="70">
        <v>9237616558</v>
      </c>
      <c r="V284" s="70" t="s">
        <v>64</v>
      </c>
      <c r="AQ284" s="86">
        <v>45770</v>
      </c>
    </row>
    <row r="285" spans="1:43" x14ac:dyDescent="0.5">
      <c r="A285" s="72" t="s">
        <v>1331</v>
      </c>
      <c r="B285" s="73" t="s">
        <v>71</v>
      </c>
      <c r="C285" s="73" t="s">
        <v>24</v>
      </c>
      <c r="D285" s="87">
        <v>46074</v>
      </c>
      <c r="E285" s="73" t="s">
        <v>1332</v>
      </c>
      <c r="F285" s="70" t="s">
        <v>217</v>
      </c>
      <c r="G285" s="73" t="s">
        <v>76</v>
      </c>
      <c r="H285" s="73" t="s">
        <v>1333</v>
      </c>
      <c r="I285" s="73" t="s">
        <v>138</v>
      </c>
      <c r="J285" s="73" t="s">
        <v>106</v>
      </c>
      <c r="K285" s="73" t="s">
        <v>32</v>
      </c>
      <c r="L285" s="73" t="s">
        <v>33</v>
      </c>
      <c r="M285" s="73">
        <v>3</v>
      </c>
      <c r="N285" s="73">
        <v>2200</v>
      </c>
      <c r="O285" s="71">
        <v>0</v>
      </c>
      <c r="P285" s="73">
        <v>6600</v>
      </c>
      <c r="Q285" s="73">
        <v>4</v>
      </c>
      <c r="R285" s="73" t="s">
        <v>79</v>
      </c>
      <c r="S285" s="73" t="s">
        <v>35</v>
      </c>
      <c r="T285" s="70" t="s">
        <v>80</v>
      </c>
      <c r="U285" s="73">
        <v>9935063989</v>
      </c>
      <c r="V285" s="73" t="s">
        <v>38</v>
      </c>
      <c r="AQ285" s="87">
        <v>46074</v>
      </c>
    </row>
    <row r="286" spans="1:43" x14ac:dyDescent="0.5">
      <c r="A286" s="69" t="s">
        <v>1335</v>
      </c>
      <c r="B286" s="70" t="s">
        <v>251</v>
      </c>
      <c r="C286" s="70" t="s">
        <v>259</v>
      </c>
      <c r="D286" s="86">
        <v>46019</v>
      </c>
      <c r="E286" s="70" t="s">
        <v>216</v>
      </c>
      <c r="F286" s="70" t="s">
        <v>254</v>
      </c>
      <c r="G286" s="70" t="s">
        <v>28</v>
      </c>
      <c r="H286" s="70" t="s">
        <v>1336</v>
      </c>
      <c r="I286" s="70" t="s">
        <v>30</v>
      </c>
      <c r="J286" s="70" t="s">
        <v>31</v>
      </c>
      <c r="K286" s="70" t="s">
        <v>122</v>
      </c>
      <c r="L286" s="70" t="s">
        <v>263</v>
      </c>
      <c r="M286" s="70">
        <v>6</v>
      </c>
      <c r="N286" s="70">
        <v>45</v>
      </c>
      <c r="O286" s="71">
        <v>0.15</v>
      </c>
      <c r="P286" s="70">
        <v>229.5</v>
      </c>
      <c r="Q286" s="70">
        <v>1</v>
      </c>
      <c r="R286" s="70" t="s">
        <v>88</v>
      </c>
      <c r="S286" s="70" t="s">
        <v>49</v>
      </c>
      <c r="T286" s="70" t="s">
        <v>256</v>
      </c>
      <c r="U286" s="70">
        <v>9167376169</v>
      </c>
      <c r="V286" s="70" t="s">
        <v>38</v>
      </c>
      <c r="AQ286" s="86">
        <v>46019</v>
      </c>
    </row>
    <row r="287" spans="1:43" x14ac:dyDescent="0.5">
      <c r="A287" s="72" t="s">
        <v>1338</v>
      </c>
      <c r="B287" s="73" t="s">
        <v>251</v>
      </c>
      <c r="C287" s="73" t="s">
        <v>72</v>
      </c>
      <c r="D287" s="87">
        <v>45922</v>
      </c>
      <c r="E287" s="73" t="s">
        <v>1339</v>
      </c>
      <c r="F287" s="70" t="s">
        <v>254</v>
      </c>
      <c r="G287" s="73" t="s">
        <v>28</v>
      </c>
      <c r="H287" s="73" t="s">
        <v>1340</v>
      </c>
      <c r="I287" s="73" t="s">
        <v>59</v>
      </c>
      <c r="J287" s="73" t="s">
        <v>31</v>
      </c>
      <c r="K287" s="73" t="s">
        <v>46</v>
      </c>
      <c r="L287" s="73" t="s">
        <v>78</v>
      </c>
      <c r="M287" s="73">
        <v>2</v>
      </c>
      <c r="N287" s="73">
        <v>1200</v>
      </c>
      <c r="O287" s="71">
        <v>0</v>
      </c>
      <c r="P287" s="73">
        <v>2400</v>
      </c>
      <c r="Q287" s="73">
        <v>1</v>
      </c>
      <c r="R287" s="73" t="s">
        <v>34</v>
      </c>
      <c r="S287" s="73" t="s">
        <v>151</v>
      </c>
      <c r="T287" s="70" t="s">
        <v>256</v>
      </c>
      <c r="U287" s="73">
        <v>9231845497</v>
      </c>
      <c r="V287" s="73" t="s">
        <v>69</v>
      </c>
      <c r="AQ287" s="87">
        <v>45922</v>
      </c>
    </row>
    <row r="288" spans="1:43" x14ac:dyDescent="0.5">
      <c r="A288" s="69" t="s">
        <v>1342</v>
      </c>
      <c r="B288" s="70" t="s">
        <v>168</v>
      </c>
      <c r="C288" s="70" t="s">
        <v>184</v>
      </c>
      <c r="D288" s="86">
        <v>46150</v>
      </c>
      <c r="E288" s="70" t="s">
        <v>1344</v>
      </c>
      <c r="F288" s="70" t="s">
        <v>361</v>
      </c>
      <c r="G288" s="70" t="s">
        <v>28</v>
      </c>
      <c r="H288" s="70" t="s">
        <v>1345</v>
      </c>
      <c r="I288" s="70" t="s">
        <v>30</v>
      </c>
      <c r="J288" s="70" t="s">
        <v>31</v>
      </c>
      <c r="K288" s="70" t="s">
        <v>46</v>
      </c>
      <c r="L288" s="70" t="s">
        <v>189</v>
      </c>
      <c r="M288" s="70">
        <v>14</v>
      </c>
      <c r="N288" s="70">
        <v>700</v>
      </c>
      <c r="O288" s="71">
        <v>0.15</v>
      </c>
      <c r="P288" s="70">
        <v>8330</v>
      </c>
      <c r="Q288" s="70">
        <v>5</v>
      </c>
      <c r="R288" s="70" t="s">
        <v>34</v>
      </c>
      <c r="S288" s="70" t="s">
        <v>115</v>
      </c>
      <c r="T288" s="70" t="s">
        <v>175</v>
      </c>
      <c r="U288" s="70">
        <v>9409415805</v>
      </c>
      <c r="V288" s="70" t="s">
        <v>64</v>
      </c>
      <c r="AQ288" s="86">
        <v>46239</v>
      </c>
    </row>
    <row r="289" spans="1:43" x14ac:dyDescent="0.5">
      <c r="A289" s="72" t="s">
        <v>1347</v>
      </c>
      <c r="B289" s="73" t="s">
        <v>100</v>
      </c>
      <c r="C289" s="73" t="s">
        <v>222</v>
      </c>
      <c r="D289" s="87">
        <v>45966</v>
      </c>
      <c r="E289" s="73" t="s">
        <v>507</v>
      </c>
      <c r="F289" s="70" t="s">
        <v>103</v>
      </c>
      <c r="G289" s="73" t="s">
        <v>28</v>
      </c>
      <c r="H289" s="73" t="s">
        <v>1348</v>
      </c>
      <c r="I289" s="73" t="s">
        <v>105</v>
      </c>
      <c r="J289" s="73" t="s">
        <v>106</v>
      </c>
      <c r="K289" s="73" t="s">
        <v>122</v>
      </c>
      <c r="L289" s="73" t="s">
        <v>227</v>
      </c>
      <c r="M289" s="73">
        <v>13</v>
      </c>
      <c r="N289" s="73">
        <v>20</v>
      </c>
      <c r="O289" s="71">
        <v>0.05</v>
      </c>
      <c r="P289" s="73">
        <v>247</v>
      </c>
      <c r="Q289" s="73">
        <v>1</v>
      </c>
      <c r="R289" s="73" t="s">
        <v>79</v>
      </c>
      <c r="S289" s="73" t="s">
        <v>35</v>
      </c>
      <c r="T289" s="70" t="s">
        <v>1349</v>
      </c>
      <c r="U289" s="73">
        <v>9240800508</v>
      </c>
      <c r="V289" s="73" t="s">
        <v>64</v>
      </c>
      <c r="AQ289" s="87">
        <v>45788</v>
      </c>
    </row>
    <row r="290" spans="1:43" x14ac:dyDescent="0.5">
      <c r="A290" s="69" t="s">
        <v>1351</v>
      </c>
      <c r="B290" s="70" t="s">
        <v>71</v>
      </c>
      <c r="C290" s="70" t="s">
        <v>24</v>
      </c>
      <c r="D290" s="86">
        <v>45724</v>
      </c>
      <c r="E290" s="70" t="s">
        <v>136</v>
      </c>
      <c r="F290" s="70" t="s">
        <v>217</v>
      </c>
      <c r="G290" s="70" t="s">
        <v>76</v>
      </c>
      <c r="H290" s="70" t="s">
        <v>1352</v>
      </c>
      <c r="I290" s="70" t="s">
        <v>114</v>
      </c>
      <c r="J290" s="70" t="s">
        <v>106</v>
      </c>
      <c r="K290" s="70" t="s">
        <v>32</v>
      </c>
      <c r="L290" s="70" t="s">
        <v>33</v>
      </c>
      <c r="M290" s="70">
        <v>3</v>
      </c>
      <c r="N290" s="70">
        <v>2200</v>
      </c>
      <c r="O290" s="71">
        <v>0</v>
      </c>
      <c r="P290" s="70">
        <v>6600</v>
      </c>
      <c r="Q290" s="70">
        <v>4</v>
      </c>
      <c r="R290" s="70" t="s">
        <v>48</v>
      </c>
      <c r="S290" s="70" t="s">
        <v>61</v>
      </c>
      <c r="T290" s="70" t="s">
        <v>80</v>
      </c>
      <c r="U290" s="70">
        <v>9764609936</v>
      </c>
      <c r="V290" s="70" t="s">
        <v>69</v>
      </c>
      <c r="AQ290" s="86">
        <v>45872</v>
      </c>
    </row>
    <row r="291" spans="1:43" x14ac:dyDescent="0.5">
      <c r="A291" s="72" t="s">
        <v>1354</v>
      </c>
      <c r="B291" s="73" t="s">
        <v>71</v>
      </c>
      <c r="C291" s="73" t="s">
        <v>118</v>
      </c>
      <c r="D291" s="87">
        <v>46062</v>
      </c>
      <c r="E291" s="73" t="s">
        <v>923</v>
      </c>
      <c r="F291" s="70" t="s">
        <v>217</v>
      </c>
      <c r="G291" s="73" t="s">
        <v>76</v>
      </c>
      <c r="H291" s="73" t="s">
        <v>1355</v>
      </c>
      <c r="I291" s="73" t="s">
        <v>114</v>
      </c>
      <c r="J291" s="73" t="s">
        <v>106</v>
      </c>
      <c r="K291" s="73" t="s">
        <v>122</v>
      </c>
      <c r="L291" s="73" t="s">
        <v>123</v>
      </c>
      <c r="M291" s="73">
        <v>3</v>
      </c>
      <c r="N291" s="73">
        <v>60</v>
      </c>
      <c r="O291" s="71">
        <v>0.15</v>
      </c>
      <c r="P291" s="73">
        <v>153</v>
      </c>
      <c r="Q291" s="73">
        <v>4</v>
      </c>
      <c r="R291" s="73" t="s">
        <v>88</v>
      </c>
      <c r="S291" s="73" t="s">
        <v>115</v>
      </c>
      <c r="T291" s="70" t="s">
        <v>80</v>
      </c>
      <c r="U291" s="73">
        <v>9362733217</v>
      </c>
      <c r="V291" s="73" t="s">
        <v>38</v>
      </c>
      <c r="AQ291" s="87">
        <v>46267</v>
      </c>
    </row>
    <row r="292" spans="1:43" x14ac:dyDescent="0.5">
      <c r="A292" s="69" t="s">
        <v>1357</v>
      </c>
      <c r="B292" s="70" t="s">
        <v>127</v>
      </c>
      <c r="C292" s="70" t="s">
        <v>92</v>
      </c>
      <c r="D292" s="86">
        <v>45733</v>
      </c>
      <c r="E292" s="70" t="s">
        <v>825</v>
      </c>
      <c r="F292" s="70" t="s">
        <v>200</v>
      </c>
      <c r="G292" s="70" t="s">
        <v>76</v>
      </c>
      <c r="H292" s="70" t="s">
        <v>584</v>
      </c>
      <c r="I292" s="70" t="s">
        <v>105</v>
      </c>
      <c r="J292" s="70" t="s">
        <v>106</v>
      </c>
      <c r="K292" s="70" t="s">
        <v>32</v>
      </c>
      <c r="L292" s="70" t="s">
        <v>97</v>
      </c>
      <c r="M292" s="70">
        <v>9</v>
      </c>
      <c r="N292" s="70">
        <v>3500</v>
      </c>
      <c r="O292" s="71">
        <v>0.05</v>
      </c>
      <c r="P292" s="70">
        <v>29925</v>
      </c>
      <c r="Q292" s="70">
        <v>1</v>
      </c>
      <c r="R292" s="70" t="s">
        <v>34</v>
      </c>
      <c r="S292" s="70" t="s">
        <v>61</v>
      </c>
      <c r="T292" s="70" t="s">
        <v>132</v>
      </c>
      <c r="U292" s="70">
        <v>9270466205</v>
      </c>
      <c r="V292" s="70" t="s">
        <v>64</v>
      </c>
      <c r="AQ292" s="86">
        <v>45733</v>
      </c>
    </row>
    <row r="293" spans="1:43" x14ac:dyDescent="0.5">
      <c r="A293" s="72" t="s">
        <v>1359</v>
      </c>
      <c r="B293" s="73" t="s">
        <v>327</v>
      </c>
      <c r="C293" s="73" t="s">
        <v>72</v>
      </c>
      <c r="D293" s="87">
        <v>45743</v>
      </c>
      <c r="E293" s="73" t="s">
        <v>1360</v>
      </c>
      <c r="F293" s="70" t="s">
        <v>394</v>
      </c>
      <c r="G293" s="73" t="s">
        <v>76</v>
      </c>
      <c r="H293" s="73" t="s">
        <v>1361</v>
      </c>
      <c r="I293" s="73" t="s">
        <v>212</v>
      </c>
      <c r="J293" s="73" t="s">
        <v>45</v>
      </c>
      <c r="K293" s="73" t="s">
        <v>46</v>
      </c>
      <c r="L293" s="73" t="s">
        <v>78</v>
      </c>
      <c r="M293" s="73">
        <v>5</v>
      </c>
      <c r="N293" s="73">
        <v>1200</v>
      </c>
      <c r="O293" s="71">
        <v>0.2</v>
      </c>
      <c r="P293" s="73">
        <v>4800</v>
      </c>
      <c r="Q293" s="73">
        <v>2</v>
      </c>
      <c r="R293" s="73" t="s">
        <v>88</v>
      </c>
      <c r="S293" s="73" t="s">
        <v>115</v>
      </c>
      <c r="T293" s="70" t="s">
        <v>332</v>
      </c>
      <c r="U293" s="73">
        <v>9571436865</v>
      </c>
      <c r="V293" s="73" t="s">
        <v>64</v>
      </c>
      <c r="AQ293" s="87">
        <v>45743</v>
      </c>
    </row>
    <row r="294" spans="1:43" x14ac:dyDescent="0.5">
      <c r="A294" s="69" t="s">
        <v>1363</v>
      </c>
      <c r="B294" s="70" t="s">
        <v>53</v>
      </c>
      <c r="C294" s="70" t="s">
        <v>72</v>
      </c>
      <c r="D294" s="86">
        <v>45728</v>
      </c>
      <c r="E294" s="70" t="s">
        <v>910</v>
      </c>
      <c r="F294" s="70" t="s">
        <v>163</v>
      </c>
      <c r="G294" s="70" t="s">
        <v>28</v>
      </c>
      <c r="H294" s="70" t="s">
        <v>1364</v>
      </c>
      <c r="I294" s="70" t="s">
        <v>212</v>
      </c>
      <c r="J294" s="70" t="s">
        <v>45</v>
      </c>
      <c r="K294" s="70" t="s">
        <v>46</v>
      </c>
      <c r="L294" s="70" t="s">
        <v>78</v>
      </c>
      <c r="M294" s="70">
        <v>10</v>
      </c>
      <c r="N294" s="70">
        <v>1200</v>
      </c>
      <c r="O294" s="71">
        <v>0.2</v>
      </c>
      <c r="P294" s="70">
        <v>9600</v>
      </c>
      <c r="Q294" s="70">
        <v>4</v>
      </c>
      <c r="R294" s="70" t="s">
        <v>34</v>
      </c>
      <c r="S294" s="70" t="s">
        <v>49</v>
      </c>
      <c r="T294" s="70" t="s">
        <v>62</v>
      </c>
      <c r="U294" s="70">
        <v>9307011171</v>
      </c>
      <c r="V294" s="70" t="s">
        <v>38</v>
      </c>
      <c r="AQ294" s="86">
        <v>45994</v>
      </c>
    </row>
    <row r="295" spans="1:43" x14ac:dyDescent="0.5">
      <c r="A295" s="72" t="s">
        <v>1367</v>
      </c>
      <c r="B295" s="73" t="s">
        <v>23</v>
      </c>
      <c r="C295" s="73" t="s">
        <v>72</v>
      </c>
      <c r="D295" s="87">
        <v>46066</v>
      </c>
      <c r="E295" s="73" t="s">
        <v>1369</v>
      </c>
      <c r="F295" s="70" t="s">
        <v>27</v>
      </c>
      <c r="G295" s="73" t="s">
        <v>28</v>
      </c>
      <c r="H295" s="73" t="s">
        <v>1370</v>
      </c>
      <c r="I295" s="73" t="s">
        <v>138</v>
      </c>
      <c r="J295" s="73" t="s">
        <v>106</v>
      </c>
      <c r="K295" s="73" t="s">
        <v>46</v>
      </c>
      <c r="L295" s="73" t="s">
        <v>78</v>
      </c>
      <c r="M295" s="73">
        <v>5</v>
      </c>
      <c r="N295" s="73">
        <v>1200</v>
      </c>
      <c r="O295" s="71">
        <v>0.2</v>
      </c>
      <c r="P295" s="73">
        <v>4800</v>
      </c>
      <c r="Q295" s="73">
        <v>3</v>
      </c>
      <c r="R295" s="73" t="s">
        <v>48</v>
      </c>
      <c r="S295" s="73" t="s">
        <v>151</v>
      </c>
      <c r="T295" s="70" t="s">
        <v>50</v>
      </c>
      <c r="U295" s="73">
        <v>9922380435</v>
      </c>
      <c r="V295" s="73" t="s">
        <v>38</v>
      </c>
      <c r="AQ295" s="87">
        <v>46066</v>
      </c>
    </row>
    <row r="296" spans="1:43" x14ac:dyDescent="0.5">
      <c r="A296" s="69" t="s">
        <v>1372</v>
      </c>
      <c r="B296" s="70" t="s">
        <v>168</v>
      </c>
      <c r="C296" s="70" t="s">
        <v>222</v>
      </c>
      <c r="D296" s="86">
        <v>45699</v>
      </c>
      <c r="E296" s="70" t="s">
        <v>1374</v>
      </c>
      <c r="F296" s="70" t="s">
        <v>361</v>
      </c>
      <c r="G296" s="70" t="s">
        <v>28</v>
      </c>
      <c r="H296" s="70" t="s">
        <v>1375</v>
      </c>
      <c r="I296" s="70" t="s">
        <v>105</v>
      </c>
      <c r="J296" s="70" t="s">
        <v>106</v>
      </c>
      <c r="K296" s="70" t="s">
        <v>122</v>
      </c>
      <c r="L296" s="70" t="s">
        <v>227</v>
      </c>
      <c r="M296" s="70">
        <v>10</v>
      </c>
      <c r="N296" s="70">
        <v>20</v>
      </c>
      <c r="O296" s="71">
        <v>0.05</v>
      </c>
      <c r="P296" s="70">
        <v>190</v>
      </c>
      <c r="Q296" s="70">
        <v>4</v>
      </c>
      <c r="R296" s="70" t="s">
        <v>34</v>
      </c>
      <c r="S296" s="70" t="s">
        <v>151</v>
      </c>
      <c r="T296" s="70" t="s">
        <v>175</v>
      </c>
      <c r="U296" s="70">
        <v>9463618792</v>
      </c>
      <c r="V296" s="70" t="s">
        <v>64</v>
      </c>
      <c r="AQ296" s="86">
        <v>45963</v>
      </c>
    </row>
    <row r="297" spans="1:43" x14ac:dyDescent="0.5">
      <c r="A297" s="72" t="s">
        <v>1377</v>
      </c>
      <c r="B297" s="73" t="s">
        <v>100</v>
      </c>
      <c r="C297" s="73" t="s">
        <v>118</v>
      </c>
      <c r="D297" s="87">
        <v>45674</v>
      </c>
      <c r="E297" s="73" t="s">
        <v>1379</v>
      </c>
      <c r="F297" s="70" t="s">
        <v>103</v>
      </c>
      <c r="G297" s="73" t="s">
        <v>28</v>
      </c>
      <c r="H297" s="73" t="s">
        <v>1380</v>
      </c>
      <c r="I297" s="73" t="s">
        <v>44</v>
      </c>
      <c r="J297" s="73" t="s">
        <v>45</v>
      </c>
      <c r="K297" s="73" t="s">
        <v>122</v>
      </c>
      <c r="L297" s="73" t="s">
        <v>123</v>
      </c>
      <c r="M297" s="73">
        <v>20</v>
      </c>
      <c r="N297" s="73">
        <v>60</v>
      </c>
      <c r="O297" s="71">
        <v>0.15</v>
      </c>
      <c r="P297" s="73">
        <v>1020</v>
      </c>
      <c r="Q297" s="73">
        <v>5</v>
      </c>
      <c r="R297" s="73" t="s">
        <v>79</v>
      </c>
      <c r="S297" s="73" t="s">
        <v>35</v>
      </c>
      <c r="T297" s="70" t="s">
        <v>144</v>
      </c>
      <c r="U297" s="73">
        <v>9954973200</v>
      </c>
      <c r="V297" s="73" t="s">
        <v>64</v>
      </c>
      <c r="AQ297" s="87">
        <v>45674</v>
      </c>
    </row>
    <row r="298" spans="1:43" x14ac:dyDescent="0.5">
      <c r="A298" s="69" t="s">
        <v>1382</v>
      </c>
      <c r="B298" s="70" t="s">
        <v>327</v>
      </c>
      <c r="C298" s="70" t="s">
        <v>24</v>
      </c>
      <c r="D298" s="86">
        <v>45748</v>
      </c>
      <c r="E298" s="70" t="s">
        <v>577</v>
      </c>
      <c r="F298" s="70" t="s">
        <v>394</v>
      </c>
      <c r="G298" s="70" t="s">
        <v>76</v>
      </c>
      <c r="H298" s="70" t="s">
        <v>1383</v>
      </c>
      <c r="I298" s="70" t="s">
        <v>138</v>
      </c>
      <c r="J298" s="70" t="s">
        <v>106</v>
      </c>
      <c r="K298" s="70" t="s">
        <v>32</v>
      </c>
      <c r="L298" s="70" t="s">
        <v>33</v>
      </c>
      <c r="M298" s="70">
        <v>7</v>
      </c>
      <c r="N298" s="70">
        <v>2200</v>
      </c>
      <c r="O298" s="71">
        <v>0.15</v>
      </c>
      <c r="P298" s="70">
        <v>13090</v>
      </c>
      <c r="Q298" s="70">
        <v>4</v>
      </c>
      <c r="R298" s="70" t="s">
        <v>34</v>
      </c>
      <c r="S298" s="70" t="s">
        <v>61</v>
      </c>
      <c r="T298" s="70" t="s">
        <v>332</v>
      </c>
      <c r="U298" s="70">
        <v>9383199236</v>
      </c>
      <c r="V298" s="70" t="s">
        <v>69</v>
      </c>
      <c r="AQ298" s="86">
        <v>45661</v>
      </c>
    </row>
    <row r="299" spans="1:43" x14ac:dyDescent="0.5">
      <c r="A299" s="72" t="s">
        <v>1385</v>
      </c>
      <c r="B299" s="73" t="s">
        <v>127</v>
      </c>
      <c r="C299" s="73" t="s">
        <v>54</v>
      </c>
      <c r="D299" s="87">
        <v>45670</v>
      </c>
      <c r="E299" s="73" t="s">
        <v>760</v>
      </c>
      <c r="F299" s="70" t="s">
        <v>200</v>
      </c>
      <c r="G299" s="73" t="s">
        <v>76</v>
      </c>
      <c r="H299" s="73" t="s">
        <v>1386</v>
      </c>
      <c r="I299" s="73" t="s">
        <v>30</v>
      </c>
      <c r="J299" s="73" t="s">
        <v>31</v>
      </c>
      <c r="K299" s="73" t="s">
        <v>46</v>
      </c>
      <c r="L299" s="73" t="s">
        <v>60</v>
      </c>
      <c r="M299" s="73">
        <v>11</v>
      </c>
      <c r="N299" s="73">
        <v>55000</v>
      </c>
      <c r="O299" s="71">
        <v>0.05</v>
      </c>
      <c r="P299" s="73">
        <v>574750</v>
      </c>
      <c r="Q299" s="73">
        <v>1</v>
      </c>
      <c r="R299" s="73" t="s">
        <v>88</v>
      </c>
      <c r="S299" s="73" t="s">
        <v>35</v>
      </c>
      <c r="T299" s="70" t="s">
        <v>132</v>
      </c>
      <c r="U299" s="73">
        <v>9482699727</v>
      </c>
      <c r="V299" s="73" t="s">
        <v>69</v>
      </c>
      <c r="AQ299" s="87">
        <v>45670</v>
      </c>
    </row>
    <row r="300" spans="1:43" x14ac:dyDescent="0.5">
      <c r="A300" s="69" t="s">
        <v>1388</v>
      </c>
      <c r="B300" s="70" t="s">
        <v>83</v>
      </c>
      <c r="C300" s="70" t="s">
        <v>92</v>
      </c>
      <c r="D300" s="86">
        <v>45935</v>
      </c>
      <c r="E300" s="70" t="s">
        <v>1389</v>
      </c>
      <c r="F300" s="70" t="s">
        <v>180</v>
      </c>
      <c r="G300" s="70" t="s">
        <v>76</v>
      </c>
      <c r="H300" s="70" t="s">
        <v>1390</v>
      </c>
      <c r="I300" s="70" t="s">
        <v>212</v>
      </c>
      <c r="J300" s="70" t="s">
        <v>45</v>
      </c>
      <c r="K300" s="70" t="s">
        <v>32</v>
      </c>
      <c r="L300" s="70" t="s">
        <v>97</v>
      </c>
      <c r="M300" s="70">
        <v>12</v>
      </c>
      <c r="N300" s="70">
        <v>3500</v>
      </c>
      <c r="O300" s="71">
        <v>0</v>
      </c>
      <c r="P300" s="70">
        <v>42000</v>
      </c>
      <c r="Q300" s="70">
        <v>2</v>
      </c>
      <c r="R300" s="70" t="s">
        <v>48</v>
      </c>
      <c r="S300" s="70" t="s">
        <v>2154</v>
      </c>
      <c r="T300" s="70" t="s">
        <v>89</v>
      </c>
      <c r="U300" s="70">
        <v>9332473934</v>
      </c>
      <c r="V300" s="70" t="s">
        <v>64</v>
      </c>
      <c r="AQ300" s="86">
        <v>45787</v>
      </c>
    </row>
    <row r="301" spans="1:43" x14ac:dyDescent="0.5">
      <c r="A301" s="72" t="s">
        <v>1392</v>
      </c>
      <c r="B301" s="73" t="s">
        <v>71</v>
      </c>
      <c r="C301" s="73" t="s">
        <v>259</v>
      </c>
      <c r="D301" s="87">
        <v>46078</v>
      </c>
      <c r="E301" s="73" t="s">
        <v>298</v>
      </c>
      <c r="F301" s="70" t="s">
        <v>217</v>
      </c>
      <c r="G301" s="73" t="s">
        <v>76</v>
      </c>
      <c r="H301" s="73" t="s">
        <v>1393</v>
      </c>
      <c r="I301" s="73" t="s">
        <v>30</v>
      </c>
      <c r="J301" s="73" t="s">
        <v>31</v>
      </c>
      <c r="K301" s="73" t="s">
        <v>122</v>
      </c>
      <c r="L301" s="73" t="s">
        <v>263</v>
      </c>
      <c r="M301" s="73">
        <v>15</v>
      </c>
      <c r="N301" s="73">
        <v>45</v>
      </c>
      <c r="O301" s="71">
        <v>0.1</v>
      </c>
      <c r="P301" s="73">
        <v>607.5</v>
      </c>
      <c r="Q301" s="73">
        <v>2</v>
      </c>
      <c r="R301" s="73" t="s">
        <v>34</v>
      </c>
      <c r="S301" s="73" t="s">
        <v>151</v>
      </c>
      <c r="T301" s="70" t="s">
        <v>80</v>
      </c>
      <c r="U301" s="73">
        <v>9647657382</v>
      </c>
      <c r="V301" s="73" t="s">
        <v>64</v>
      </c>
      <c r="AQ301" s="87">
        <v>46078</v>
      </c>
    </row>
    <row r="302" spans="1:43" x14ac:dyDescent="0.5">
      <c r="A302" s="69" t="s">
        <v>1395</v>
      </c>
      <c r="B302" s="70" t="s">
        <v>327</v>
      </c>
      <c r="C302" s="70" t="s">
        <v>259</v>
      </c>
      <c r="D302" s="86">
        <v>45793</v>
      </c>
      <c r="E302" s="70" t="s">
        <v>936</v>
      </c>
      <c r="F302" s="70" t="s">
        <v>394</v>
      </c>
      <c r="G302" s="70" t="s">
        <v>76</v>
      </c>
      <c r="H302" s="70" t="s">
        <v>1396</v>
      </c>
      <c r="I302" s="70" t="s">
        <v>59</v>
      </c>
      <c r="J302" s="70" t="s">
        <v>31</v>
      </c>
      <c r="K302" s="70" t="s">
        <v>122</v>
      </c>
      <c r="L302" s="70" t="s">
        <v>263</v>
      </c>
      <c r="M302" s="70">
        <v>13</v>
      </c>
      <c r="N302" s="70">
        <v>45</v>
      </c>
      <c r="O302" s="71">
        <v>0</v>
      </c>
      <c r="P302" s="70">
        <v>585</v>
      </c>
      <c r="Q302" s="70">
        <v>5</v>
      </c>
      <c r="R302" s="70" t="s">
        <v>48</v>
      </c>
      <c r="S302" s="70" t="s">
        <v>49</v>
      </c>
      <c r="T302" s="70" t="s">
        <v>332</v>
      </c>
      <c r="U302" s="70">
        <v>9736797776</v>
      </c>
      <c r="V302" s="70" t="s">
        <v>64</v>
      </c>
      <c r="AQ302" s="86">
        <v>45793</v>
      </c>
    </row>
    <row r="303" spans="1:43" x14ac:dyDescent="0.5">
      <c r="A303" s="72" t="s">
        <v>1398</v>
      </c>
      <c r="B303" s="73" t="s">
        <v>127</v>
      </c>
      <c r="C303" s="73" t="s">
        <v>54</v>
      </c>
      <c r="D303" s="87">
        <v>46024</v>
      </c>
      <c r="E303" s="73" t="s">
        <v>1199</v>
      </c>
      <c r="F303" s="70" t="s">
        <v>200</v>
      </c>
      <c r="G303" s="73" t="s">
        <v>76</v>
      </c>
      <c r="H303" s="73" t="s">
        <v>1399</v>
      </c>
      <c r="I303" s="73" t="s">
        <v>59</v>
      </c>
      <c r="J303" s="73" t="s">
        <v>31</v>
      </c>
      <c r="K303" s="73" t="s">
        <v>46</v>
      </c>
      <c r="L303" s="73" t="s">
        <v>60</v>
      </c>
      <c r="M303" s="73">
        <v>8</v>
      </c>
      <c r="N303" s="73">
        <v>55000</v>
      </c>
      <c r="O303" s="71">
        <v>0</v>
      </c>
      <c r="P303" s="73">
        <v>440000</v>
      </c>
      <c r="Q303" s="73">
        <v>2</v>
      </c>
      <c r="R303" s="73" t="s">
        <v>88</v>
      </c>
      <c r="S303" s="73" t="s">
        <v>151</v>
      </c>
      <c r="T303" s="70" t="s">
        <v>132</v>
      </c>
      <c r="U303" s="73">
        <v>9745773533</v>
      </c>
      <c r="V303" s="73" t="s">
        <v>69</v>
      </c>
      <c r="AQ303" s="87">
        <v>46054</v>
      </c>
    </row>
    <row r="304" spans="1:43" x14ac:dyDescent="0.5">
      <c r="A304" s="69" t="s">
        <v>1401</v>
      </c>
      <c r="B304" s="70" t="s">
        <v>251</v>
      </c>
      <c r="C304" s="70" t="s">
        <v>54</v>
      </c>
      <c r="D304" s="86">
        <v>45861</v>
      </c>
      <c r="E304" s="70" t="s">
        <v>381</v>
      </c>
      <c r="F304" s="70" t="s">
        <v>254</v>
      </c>
      <c r="G304" s="70" t="s">
        <v>28</v>
      </c>
      <c r="H304" s="70" t="s">
        <v>1402</v>
      </c>
      <c r="I304" s="70" t="s">
        <v>44</v>
      </c>
      <c r="J304" s="70" t="s">
        <v>45</v>
      </c>
      <c r="K304" s="70" t="s">
        <v>46</v>
      </c>
      <c r="L304" s="70" t="s">
        <v>60</v>
      </c>
      <c r="M304" s="70">
        <v>4</v>
      </c>
      <c r="N304" s="70">
        <v>55000</v>
      </c>
      <c r="O304" s="71">
        <v>0.2</v>
      </c>
      <c r="P304" s="70">
        <v>176000</v>
      </c>
      <c r="Q304" s="70">
        <v>5</v>
      </c>
      <c r="R304" s="70" t="s">
        <v>34</v>
      </c>
      <c r="S304" s="70" t="s">
        <v>49</v>
      </c>
      <c r="T304" s="70" t="s">
        <v>256</v>
      </c>
      <c r="U304" s="70">
        <v>9246715757</v>
      </c>
      <c r="V304" s="70" t="s">
        <v>64</v>
      </c>
      <c r="AQ304" s="86">
        <v>45861</v>
      </c>
    </row>
    <row r="305" spans="1:43" x14ac:dyDescent="0.5">
      <c r="A305" s="72" t="s">
        <v>1404</v>
      </c>
      <c r="B305" s="73" t="s">
        <v>23</v>
      </c>
      <c r="C305" s="73" t="s">
        <v>92</v>
      </c>
      <c r="D305" s="87">
        <v>46135</v>
      </c>
      <c r="E305" s="73" t="s">
        <v>716</v>
      </c>
      <c r="F305" s="70" t="s">
        <v>27</v>
      </c>
      <c r="G305" s="73" t="s">
        <v>28</v>
      </c>
      <c r="H305" s="73" t="s">
        <v>1406</v>
      </c>
      <c r="I305" s="73" t="s">
        <v>138</v>
      </c>
      <c r="J305" s="73" t="s">
        <v>106</v>
      </c>
      <c r="K305" s="73" t="s">
        <v>32</v>
      </c>
      <c r="L305" s="73" t="s">
        <v>97</v>
      </c>
      <c r="M305" s="73">
        <v>19</v>
      </c>
      <c r="N305" s="73">
        <v>3500</v>
      </c>
      <c r="O305" s="71">
        <v>0.05</v>
      </c>
      <c r="P305" s="73">
        <v>63175</v>
      </c>
      <c r="Q305" s="73">
        <v>1</v>
      </c>
      <c r="R305" s="73" t="s">
        <v>79</v>
      </c>
      <c r="S305" s="73" t="s">
        <v>115</v>
      </c>
      <c r="T305" s="70" t="s">
        <v>50</v>
      </c>
      <c r="U305" s="73">
        <v>9904065774</v>
      </c>
      <c r="V305" s="73" t="s">
        <v>38</v>
      </c>
      <c r="AQ305" s="87">
        <v>46135</v>
      </c>
    </row>
    <row r="306" spans="1:43" x14ac:dyDescent="0.5">
      <c r="A306" s="69" t="s">
        <v>1408</v>
      </c>
      <c r="B306" s="70" t="s">
        <v>221</v>
      </c>
      <c r="C306" s="70" t="s">
        <v>72</v>
      </c>
      <c r="D306" s="86">
        <v>45718</v>
      </c>
      <c r="E306" s="70" t="s">
        <v>414</v>
      </c>
      <c r="F306" s="70" t="s">
        <v>225</v>
      </c>
      <c r="G306" s="70" t="s">
        <v>76</v>
      </c>
      <c r="H306" s="70" t="s">
        <v>1410</v>
      </c>
      <c r="I306" s="70" t="s">
        <v>212</v>
      </c>
      <c r="J306" s="70" t="s">
        <v>45</v>
      </c>
      <c r="K306" s="70" t="s">
        <v>46</v>
      </c>
      <c r="L306" s="70" t="s">
        <v>78</v>
      </c>
      <c r="M306" s="70">
        <v>17</v>
      </c>
      <c r="N306" s="70">
        <v>1200</v>
      </c>
      <c r="O306" s="71">
        <v>0.15</v>
      </c>
      <c r="P306" s="70">
        <v>17340</v>
      </c>
      <c r="Q306" s="70">
        <v>2</v>
      </c>
      <c r="R306" s="70" t="s">
        <v>48</v>
      </c>
      <c r="S306" s="70" t="s">
        <v>49</v>
      </c>
      <c r="T306" s="70" t="s">
        <v>228</v>
      </c>
      <c r="U306" s="70">
        <v>9652985385</v>
      </c>
      <c r="V306" s="70" t="s">
        <v>38</v>
      </c>
      <c r="AQ306" s="86">
        <v>45691</v>
      </c>
    </row>
    <row r="307" spans="1:43" x14ac:dyDescent="0.5">
      <c r="A307" s="72" t="s">
        <v>1412</v>
      </c>
      <c r="B307" s="73" t="s">
        <v>23</v>
      </c>
      <c r="C307" s="73" t="s">
        <v>24</v>
      </c>
      <c r="D307" s="87">
        <v>46062</v>
      </c>
      <c r="E307" s="73" t="s">
        <v>736</v>
      </c>
      <c r="F307" s="70" t="s">
        <v>27</v>
      </c>
      <c r="G307" s="73" t="s">
        <v>28</v>
      </c>
      <c r="H307" s="73" t="s">
        <v>1413</v>
      </c>
      <c r="I307" s="73" t="s">
        <v>30</v>
      </c>
      <c r="J307" s="73" t="s">
        <v>31</v>
      </c>
      <c r="K307" s="73" t="s">
        <v>32</v>
      </c>
      <c r="L307" s="73" t="s">
        <v>33</v>
      </c>
      <c r="M307" s="73">
        <v>8</v>
      </c>
      <c r="N307" s="73">
        <v>2200</v>
      </c>
      <c r="O307" s="71">
        <v>0.05</v>
      </c>
      <c r="P307" s="73">
        <v>16720</v>
      </c>
      <c r="Q307" s="73">
        <v>3</v>
      </c>
      <c r="R307" s="73" t="s">
        <v>79</v>
      </c>
      <c r="S307" s="73" t="s">
        <v>115</v>
      </c>
      <c r="T307" s="70" t="s">
        <v>50</v>
      </c>
      <c r="U307" s="73">
        <v>9427001508</v>
      </c>
      <c r="V307" s="73" t="s">
        <v>64</v>
      </c>
      <c r="AQ307" s="87">
        <v>46267</v>
      </c>
    </row>
    <row r="308" spans="1:43" x14ac:dyDescent="0.5">
      <c r="A308" s="69" t="s">
        <v>1415</v>
      </c>
      <c r="B308" s="70" t="s">
        <v>251</v>
      </c>
      <c r="C308" s="70" t="s">
        <v>184</v>
      </c>
      <c r="D308" s="86">
        <v>45704</v>
      </c>
      <c r="E308" s="70" t="s">
        <v>387</v>
      </c>
      <c r="F308" s="70" t="s">
        <v>254</v>
      </c>
      <c r="G308" s="70" t="s">
        <v>28</v>
      </c>
      <c r="H308" s="70" t="s">
        <v>813</v>
      </c>
      <c r="I308" s="70" t="s">
        <v>105</v>
      </c>
      <c r="J308" s="70" t="s">
        <v>106</v>
      </c>
      <c r="K308" s="70" t="s">
        <v>46</v>
      </c>
      <c r="L308" s="70" t="s">
        <v>189</v>
      </c>
      <c r="M308" s="70">
        <v>17</v>
      </c>
      <c r="N308" s="70">
        <v>700</v>
      </c>
      <c r="O308" s="71">
        <v>0.2</v>
      </c>
      <c r="P308" s="70">
        <v>9520</v>
      </c>
      <c r="Q308" s="70">
        <v>4</v>
      </c>
      <c r="R308" s="70" t="s">
        <v>48</v>
      </c>
      <c r="S308" s="70" t="s">
        <v>115</v>
      </c>
      <c r="T308" s="70" t="s">
        <v>256</v>
      </c>
      <c r="U308" s="70">
        <v>9666803655</v>
      </c>
      <c r="V308" s="70" t="s">
        <v>38</v>
      </c>
      <c r="AQ308" s="86">
        <v>45704</v>
      </c>
    </row>
    <row r="309" spans="1:43" x14ac:dyDescent="0.5">
      <c r="A309" s="72" t="s">
        <v>1417</v>
      </c>
      <c r="B309" s="73" t="s">
        <v>251</v>
      </c>
      <c r="C309" s="73" t="s">
        <v>169</v>
      </c>
      <c r="D309" s="87">
        <v>45897</v>
      </c>
      <c r="E309" s="73" t="s">
        <v>246</v>
      </c>
      <c r="F309" s="70" t="s">
        <v>254</v>
      </c>
      <c r="G309" s="73" t="s">
        <v>28</v>
      </c>
      <c r="H309" s="73" t="s">
        <v>1215</v>
      </c>
      <c r="I309" s="73" t="s">
        <v>114</v>
      </c>
      <c r="J309" s="73" t="s">
        <v>106</v>
      </c>
      <c r="K309" s="73" t="s">
        <v>32</v>
      </c>
      <c r="L309" s="73" t="s">
        <v>174</v>
      </c>
      <c r="M309" s="73">
        <v>6</v>
      </c>
      <c r="N309" s="73">
        <v>8500</v>
      </c>
      <c r="O309" s="71">
        <v>0.15</v>
      </c>
      <c r="P309" s="73">
        <v>43350</v>
      </c>
      <c r="Q309" s="73">
        <v>1</v>
      </c>
      <c r="R309" s="73" t="s">
        <v>34</v>
      </c>
      <c r="S309" s="73" t="s">
        <v>61</v>
      </c>
      <c r="T309" s="70" t="s">
        <v>256</v>
      </c>
      <c r="U309" s="73">
        <v>9134878547</v>
      </c>
      <c r="V309" s="73" t="s">
        <v>38</v>
      </c>
      <c r="AQ309" s="87">
        <v>45897</v>
      </c>
    </row>
    <row r="310" spans="1:43" x14ac:dyDescent="0.5">
      <c r="A310" s="69" t="s">
        <v>1419</v>
      </c>
      <c r="B310" s="70" t="s">
        <v>53</v>
      </c>
      <c r="C310" s="70" t="s">
        <v>92</v>
      </c>
      <c r="D310" s="86">
        <v>45936</v>
      </c>
      <c r="E310" s="70" t="s">
        <v>345</v>
      </c>
      <c r="F310" s="70" t="s">
        <v>163</v>
      </c>
      <c r="G310" s="70" t="s">
        <v>28</v>
      </c>
      <c r="H310" s="70" t="s">
        <v>1420</v>
      </c>
      <c r="I310" s="70" t="s">
        <v>30</v>
      </c>
      <c r="J310" s="70" t="s">
        <v>31</v>
      </c>
      <c r="K310" s="70" t="s">
        <v>32</v>
      </c>
      <c r="L310" s="70" t="s">
        <v>97</v>
      </c>
      <c r="M310" s="70">
        <v>3</v>
      </c>
      <c r="N310" s="70">
        <v>3500</v>
      </c>
      <c r="O310" s="71">
        <v>0.1</v>
      </c>
      <c r="P310" s="70">
        <v>9450</v>
      </c>
      <c r="Q310" s="70">
        <v>1</v>
      </c>
      <c r="R310" s="70" t="s">
        <v>48</v>
      </c>
      <c r="S310" s="70" t="s">
        <v>49</v>
      </c>
      <c r="T310" s="70" t="s">
        <v>62</v>
      </c>
      <c r="U310" s="70">
        <v>9253593557</v>
      </c>
      <c r="V310" s="70" t="s">
        <v>38</v>
      </c>
      <c r="AQ310" s="86">
        <v>45818</v>
      </c>
    </row>
    <row r="311" spans="1:43" x14ac:dyDescent="0.5">
      <c r="A311" s="72" t="s">
        <v>1422</v>
      </c>
      <c r="B311" s="73" t="s">
        <v>71</v>
      </c>
      <c r="C311" s="73" t="s">
        <v>40</v>
      </c>
      <c r="D311" s="87">
        <v>45674</v>
      </c>
      <c r="E311" s="73" t="s">
        <v>783</v>
      </c>
      <c r="F311" s="70" t="s">
        <v>217</v>
      </c>
      <c r="G311" s="73" t="s">
        <v>76</v>
      </c>
      <c r="H311" s="73" t="s">
        <v>1423</v>
      </c>
      <c r="I311" s="73" t="s">
        <v>138</v>
      </c>
      <c r="J311" s="73" t="s">
        <v>106</v>
      </c>
      <c r="K311" s="73" t="s">
        <v>46</v>
      </c>
      <c r="L311" s="73" t="s">
        <v>47</v>
      </c>
      <c r="M311" s="73">
        <v>2</v>
      </c>
      <c r="N311" s="73">
        <v>12000</v>
      </c>
      <c r="O311" s="71">
        <v>0.2</v>
      </c>
      <c r="P311" s="73">
        <v>19200</v>
      </c>
      <c r="Q311" s="73">
        <v>1</v>
      </c>
      <c r="R311" s="73" t="s">
        <v>79</v>
      </c>
      <c r="S311" s="73" t="s">
        <v>61</v>
      </c>
      <c r="T311" s="70" t="s">
        <v>80</v>
      </c>
      <c r="U311" s="73">
        <v>9183094051</v>
      </c>
      <c r="V311" s="73" t="s">
        <v>38</v>
      </c>
      <c r="AQ311" s="87">
        <v>45674</v>
      </c>
    </row>
    <row r="312" spans="1:43" x14ac:dyDescent="0.5">
      <c r="A312" s="69" t="s">
        <v>1425</v>
      </c>
      <c r="B312" s="70" t="s">
        <v>221</v>
      </c>
      <c r="C312" s="70" t="s">
        <v>222</v>
      </c>
      <c r="D312" s="86">
        <v>45943</v>
      </c>
      <c r="E312" s="70" t="s">
        <v>1426</v>
      </c>
      <c r="F312" s="70" t="s">
        <v>225</v>
      </c>
      <c r="G312" s="70" t="s">
        <v>76</v>
      </c>
      <c r="H312" s="70" t="s">
        <v>1427</v>
      </c>
      <c r="I312" s="70" t="s">
        <v>44</v>
      </c>
      <c r="J312" s="70" t="s">
        <v>45</v>
      </c>
      <c r="K312" s="70" t="s">
        <v>122</v>
      </c>
      <c r="L312" s="70" t="s">
        <v>227</v>
      </c>
      <c r="M312" s="70">
        <v>12</v>
      </c>
      <c r="N312" s="70">
        <v>20</v>
      </c>
      <c r="O312" s="71">
        <v>0.2</v>
      </c>
      <c r="P312" s="70">
        <v>192</v>
      </c>
      <c r="Q312" s="70">
        <v>2</v>
      </c>
      <c r="R312" s="70" t="s">
        <v>79</v>
      </c>
      <c r="S312" s="70" t="s">
        <v>49</v>
      </c>
      <c r="T312" s="70" t="s">
        <v>228</v>
      </c>
      <c r="U312" s="70">
        <v>9293147620</v>
      </c>
      <c r="V312" s="70" t="s">
        <v>38</v>
      </c>
      <c r="AQ312" s="86">
        <v>45943</v>
      </c>
    </row>
    <row r="313" spans="1:43" x14ac:dyDescent="0.5">
      <c r="A313" s="72" t="s">
        <v>1429</v>
      </c>
      <c r="B313" s="73" t="s">
        <v>100</v>
      </c>
      <c r="C313" s="73" t="s">
        <v>40</v>
      </c>
      <c r="D313" s="87">
        <v>46138</v>
      </c>
      <c r="E313" s="73" t="s">
        <v>1430</v>
      </c>
      <c r="F313" s="70" t="s">
        <v>103</v>
      </c>
      <c r="G313" s="73" t="s">
        <v>28</v>
      </c>
      <c r="H313" s="73" t="s">
        <v>1431</v>
      </c>
      <c r="I313" s="73" t="s">
        <v>294</v>
      </c>
      <c r="J313" s="73" t="s">
        <v>295</v>
      </c>
      <c r="K313" s="73" t="s">
        <v>46</v>
      </c>
      <c r="L313" s="73" t="s">
        <v>47</v>
      </c>
      <c r="M313" s="73">
        <v>20</v>
      </c>
      <c r="N313" s="73">
        <v>12000</v>
      </c>
      <c r="O313" s="71">
        <v>0.15</v>
      </c>
      <c r="P313" s="73">
        <v>204000</v>
      </c>
      <c r="Q313" s="73">
        <v>3</v>
      </c>
      <c r="R313" s="73" t="s">
        <v>34</v>
      </c>
      <c r="S313" s="73" t="s">
        <v>35</v>
      </c>
      <c r="T313" s="70" t="s">
        <v>144</v>
      </c>
      <c r="U313" s="73">
        <v>9755583734</v>
      </c>
      <c r="V313" s="73" t="s">
        <v>64</v>
      </c>
      <c r="AQ313" s="87">
        <v>46138</v>
      </c>
    </row>
    <row r="314" spans="1:43" x14ac:dyDescent="0.5">
      <c r="A314" s="69" t="s">
        <v>1433</v>
      </c>
      <c r="B314" s="70" t="s">
        <v>53</v>
      </c>
      <c r="C314" s="70" t="s">
        <v>118</v>
      </c>
      <c r="D314" s="86">
        <v>46105</v>
      </c>
      <c r="E314" s="70" t="s">
        <v>740</v>
      </c>
      <c r="F314" s="70" t="s">
        <v>163</v>
      </c>
      <c r="G314" s="70" t="s">
        <v>28</v>
      </c>
      <c r="H314" s="70" t="s">
        <v>1434</v>
      </c>
      <c r="I314" s="70" t="s">
        <v>212</v>
      </c>
      <c r="J314" s="70" t="s">
        <v>45</v>
      </c>
      <c r="K314" s="70" t="s">
        <v>122</v>
      </c>
      <c r="L314" s="70" t="s">
        <v>123</v>
      </c>
      <c r="M314" s="70">
        <v>13</v>
      </c>
      <c r="N314" s="70">
        <v>60</v>
      </c>
      <c r="O314" s="71">
        <v>0.1</v>
      </c>
      <c r="P314" s="70">
        <v>702</v>
      </c>
      <c r="Q314" s="70">
        <v>5</v>
      </c>
      <c r="R314" s="70" t="s">
        <v>34</v>
      </c>
      <c r="S314" s="70" t="s">
        <v>35</v>
      </c>
      <c r="T314" s="70" t="s">
        <v>62</v>
      </c>
      <c r="U314" s="70">
        <v>9186592813</v>
      </c>
      <c r="V314" s="70" t="s">
        <v>64</v>
      </c>
      <c r="AQ314" s="86">
        <v>46105</v>
      </c>
    </row>
    <row r="315" spans="1:43" x14ac:dyDescent="0.5">
      <c r="A315" s="72" t="s">
        <v>1436</v>
      </c>
      <c r="B315" s="73" t="s">
        <v>71</v>
      </c>
      <c r="C315" s="73" t="s">
        <v>54</v>
      </c>
      <c r="D315" s="87">
        <v>45785</v>
      </c>
      <c r="E315" s="73" t="s">
        <v>1294</v>
      </c>
      <c r="F315" s="70" t="s">
        <v>217</v>
      </c>
      <c r="G315" s="73" t="s">
        <v>76</v>
      </c>
      <c r="H315" s="73" t="s">
        <v>1438</v>
      </c>
      <c r="I315" s="73" t="s">
        <v>114</v>
      </c>
      <c r="J315" s="73" t="s">
        <v>106</v>
      </c>
      <c r="K315" s="73" t="s">
        <v>46</v>
      </c>
      <c r="L315" s="73" t="s">
        <v>60</v>
      </c>
      <c r="M315" s="73">
        <v>13</v>
      </c>
      <c r="N315" s="73">
        <v>55000</v>
      </c>
      <c r="O315" s="71">
        <v>0.05</v>
      </c>
      <c r="P315" s="73">
        <v>679250</v>
      </c>
      <c r="Q315" s="73">
        <v>1</v>
      </c>
      <c r="R315" s="73" t="s">
        <v>88</v>
      </c>
      <c r="S315" s="73" t="s">
        <v>151</v>
      </c>
      <c r="T315" s="70" t="s">
        <v>80</v>
      </c>
      <c r="U315" s="73">
        <v>9203482008</v>
      </c>
      <c r="V315" s="73" t="s">
        <v>64</v>
      </c>
      <c r="AQ315" s="87">
        <v>45874</v>
      </c>
    </row>
    <row r="316" spans="1:43" x14ac:dyDescent="0.5">
      <c r="A316" s="69" t="s">
        <v>1440</v>
      </c>
      <c r="B316" s="70" t="s">
        <v>100</v>
      </c>
      <c r="C316" s="70" t="s">
        <v>72</v>
      </c>
      <c r="D316" s="86">
        <v>46088</v>
      </c>
      <c r="E316" s="70" t="s">
        <v>798</v>
      </c>
      <c r="F316" s="70" t="s">
        <v>103</v>
      </c>
      <c r="G316" s="70" t="s">
        <v>28</v>
      </c>
      <c r="H316" s="70" t="s">
        <v>1441</v>
      </c>
      <c r="I316" s="70" t="s">
        <v>59</v>
      </c>
      <c r="J316" s="70" t="s">
        <v>31</v>
      </c>
      <c r="K316" s="70" t="s">
        <v>46</v>
      </c>
      <c r="L316" s="70" t="s">
        <v>78</v>
      </c>
      <c r="M316" s="70">
        <v>7</v>
      </c>
      <c r="N316" s="70">
        <v>1200</v>
      </c>
      <c r="O316" s="71">
        <v>0.15</v>
      </c>
      <c r="P316" s="70">
        <v>7140</v>
      </c>
      <c r="Q316" s="70">
        <v>5</v>
      </c>
      <c r="R316" s="70" t="s">
        <v>88</v>
      </c>
      <c r="S316" s="70" t="s">
        <v>49</v>
      </c>
      <c r="T316" s="70" t="s">
        <v>144</v>
      </c>
      <c r="U316" s="70">
        <v>9829888777</v>
      </c>
      <c r="V316" s="70" t="s">
        <v>64</v>
      </c>
      <c r="AQ316" s="86">
        <v>46206</v>
      </c>
    </row>
    <row r="317" spans="1:43" x14ac:dyDescent="0.5">
      <c r="A317" s="72" t="s">
        <v>1443</v>
      </c>
      <c r="B317" s="73" t="s">
        <v>83</v>
      </c>
      <c r="C317" s="73" t="s">
        <v>40</v>
      </c>
      <c r="D317" s="87">
        <v>46017</v>
      </c>
      <c r="E317" s="73" t="s">
        <v>1444</v>
      </c>
      <c r="F317" s="70" t="s">
        <v>180</v>
      </c>
      <c r="G317" s="73" t="s">
        <v>76</v>
      </c>
      <c r="H317" s="73" t="s">
        <v>1445</v>
      </c>
      <c r="I317" s="73" t="s">
        <v>212</v>
      </c>
      <c r="J317" s="73" t="s">
        <v>45</v>
      </c>
      <c r="K317" s="73" t="s">
        <v>46</v>
      </c>
      <c r="L317" s="73" t="s">
        <v>47</v>
      </c>
      <c r="M317" s="73">
        <v>17</v>
      </c>
      <c r="N317" s="73">
        <v>12000</v>
      </c>
      <c r="O317" s="71">
        <v>0.05</v>
      </c>
      <c r="P317" s="73">
        <v>193800</v>
      </c>
      <c r="Q317" s="73">
        <v>1</v>
      </c>
      <c r="R317" s="73" t="s">
        <v>34</v>
      </c>
      <c r="S317" s="73" t="s">
        <v>61</v>
      </c>
      <c r="T317" s="70" t="s">
        <v>89</v>
      </c>
      <c r="U317" s="73">
        <v>9566101317</v>
      </c>
      <c r="V317" s="73" t="s">
        <v>69</v>
      </c>
      <c r="AQ317" s="87">
        <v>46017</v>
      </c>
    </row>
    <row r="318" spans="1:43" x14ac:dyDescent="0.5">
      <c r="A318" s="69" t="s">
        <v>1447</v>
      </c>
      <c r="B318" s="70" t="s">
        <v>83</v>
      </c>
      <c r="C318" s="70" t="s">
        <v>222</v>
      </c>
      <c r="D318" s="86">
        <v>46131</v>
      </c>
      <c r="E318" s="70" t="s">
        <v>517</v>
      </c>
      <c r="F318" s="70" t="s">
        <v>180</v>
      </c>
      <c r="G318" s="70" t="s">
        <v>76</v>
      </c>
      <c r="H318" s="70" t="s">
        <v>1448</v>
      </c>
      <c r="I318" s="70" t="s">
        <v>59</v>
      </c>
      <c r="J318" s="70" t="s">
        <v>31</v>
      </c>
      <c r="K318" s="70" t="s">
        <v>122</v>
      </c>
      <c r="L318" s="70" t="s">
        <v>227</v>
      </c>
      <c r="M318" s="70">
        <v>10</v>
      </c>
      <c r="N318" s="70">
        <v>20</v>
      </c>
      <c r="O318" s="71">
        <v>0.05</v>
      </c>
      <c r="P318" s="70">
        <v>190</v>
      </c>
      <c r="Q318" s="70">
        <v>2</v>
      </c>
      <c r="R318" s="70" t="s">
        <v>34</v>
      </c>
      <c r="S318" s="70" t="s">
        <v>61</v>
      </c>
      <c r="T318" s="70" t="s">
        <v>89</v>
      </c>
      <c r="U318" s="70">
        <v>9706240823</v>
      </c>
      <c r="V318" s="70" t="s">
        <v>69</v>
      </c>
      <c r="AQ318" s="86">
        <v>46131</v>
      </c>
    </row>
    <row r="319" spans="1:43" x14ac:dyDescent="0.5">
      <c r="A319" s="72" t="s">
        <v>1450</v>
      </c>
      <c r="B319" s="73" t="s">
        <v>168</v>
      </c>
      <c r="C319" s="73" t="s">
        <v>24</v>
      </c>
      <c r="D319" s="87">
        <v>45966</v>
      </c>
      <c r="E319" s="73" t="s">
        <v>1451</v>
      </c>
      <c r="F319" s="70" t="s">
        <v>361</v>
      </c>
      <c r="G319" s="73" t="s">
        <v>28</v>
      </c>
      <c r="H319" s="73" t="s">
        <v>1452</v>
      </c>
      <c r="I319" s="73" t="s">
        <v>44</v>
      </c>
      <c r="J319" s="73" t="s">
        <v>45</v>
      </c>
      <c r="K319" s="73" t="s">
        <v>32</v>
      </c>
      <c r="L319" s="73" t="s">
        <v>33</v>
      </c>
      <c r="M319" s="73">
        <v>11</v>
      </c>
      <c r="N319" s="73">
        <v>2200</v>
      </c>
      <c r="O319" s="71">
        <v>0.05</v>
      </c>
      <c r="P319" s="73">
        <v>22990</v>
      </c>
      <c r="Q319" s="73">
        <v>5</v>
      </c>
      <c r="R319" s="73" t="s">
        <v>79</v>
      </c>
      <c r="S319" s="73" t="s">
        <v>49</v>
      </c>
      <c r="T319" s="70" t="s">
        <v>175</v>
      </c>
      <c r="U319" s="73">
        <v>9259943760</v>
      </c>
      <c r="V319" s="73" t="s">
        <v>64</v>
      </c>
      <c r="AQ319" s="87">
        <v>45788</v>
      </c>
    </row>
    <row r="320" spans="1:43" x14ac:dyDescent="0.5">
      <c r="A320" s="69" t="s">
        <v>1454</v>
      </c>
      <c r="B320" s="70" t="s">
        <v>100</v>
      </c>
      <c r="C320" s="70" t="s">
        <v>118</v>
      </c>
      <c r="D320" s="86">
        <v>46077</v>
      </c>
      <c r="E320" s="70" t="s">
        <v>178</v>
      </c>
      <c r="F320" s="70" t="s">
        <v>103</v>
      </c>
      <c r="G320" s="70" t="s">
        <v>28</v>
      </c>
      <c r="H320" s="70" t="s">
        <v>1455</v>
      </c>
      <c r="I320" s="70" t="s">
        <v>212</v>
      </c>
      <c r="J320" s="70" t="s">
        <v>45</v>
      </c>
      <c r="K320" s="70" t="s">
        <v>122</v>
      </c>
      <c r="L320" s="70" t="s">
        <v>123</v>
      </c>
      <c r="M320" s="70">
        <v>8</v>
      </c>
      <c r="N320" s="70">
        <v>60</v>
      </c>
      <c r="O320" s="71">
        <v>0.15</v>
      </c>
      <c r="P320" s="70">
        <v>408</v>
      </c>
      <c r="Q320" s="70">
        <v>4</v>
      </c>
      <c r="R320" s="70" t="s">
        <v>34</v>
      </c>
      <c r="S320" s="70" t="s">
        <v>49</v>
      </c>
      <c r="T320" s="70" t="s">
        <v>144</v>
      </c>
      <c r="U320" s="70">
        <v>9527326977</v>
      </c>
      <c r="V320" s="70" t="s">
        <v>64</v>
      </c>
      <c r="AQ320" s="86">
        <v>46077</v>
      </c>
    </row>
    <row r="321" spans="1:43" x14ac:dyDescent="0.5">
      <c r="A321" s="72" t="s">
        <v>1457</v>
      </c>
      <c r="B321" s="73" t="s">
        <v>221</v>
      </c>
      <c r="C321" s="73" t="s">
        <v>259</v>
      </c>
      <c r="D321" s="87">
        <v>45739</v>
      </c>
      <c r="E321" s="73" t="s">
        <v>119</v>
      </c>
      <c r="F321" s="70" t="s">
        <v>225</v>
      </c>
      <c r="G321" s="73" t="s">
        <v>76</v>
      </c>
      <c r="H321" s="73" t="s">
        <v>1458</v>
      </c>
      <c r="I321" s="73" t="s">
        <v>44</v>
      </c>
      <c r="J321" s="73" t="s">
        <v>45</v>
      </c>
      <c r="K321" s="73" t="s">
        <v>122</v>
      </c>
      <c r="L321" s="73" t="s">
        <v>263</v>
      </c>
      <c r="M321" s="73">
        <v>17</v>
      </c>
      <c r="N321" s="73">
        <v>45</v>
      </c>
      <c r="O321" s="71">
        <v>0.15</v>
      </c>
      <c r="P321" s="73">
        <v>650.25</v>
      </c>
      <c r="Q321" s="73">
        <v>2</v>
      </c>
      <c r="R321" s="73" t="s">
        <v>88</v>
      </c>
      <c r="S321" s="73" t="s">
        <v>151</v>
      </c>
      <c r="T321" s="70" t="s">
        <v>228</v>
      </c>
      <c r="U321" s="73">
        <v>9886970990</v>
      </c>
      <c r="V321" s="73" t="s">
        <v>38</v>
      </c>
      <c r="AQ321" s="87">
        <v>45739</v>
      </c>
    </row>
    <row r="322" spans="1:43" x14ac:dyDescent="0.5">
      <c r="A322" s="69" t="s">
        <v>1460</v>
      </c>
      <c r="B322" s="70" t="s">
        <v>327</v>
      </c>
      <c r="C322" s="70" t="s">
        <v>184</v>
      </c>
      <c r="D322" s="86">
        <v>45715</v>
      </c>
      <c r="E322" s="70" t="s">
        <v>1461</v>
      </c>
      <c r="F322" s="70" t="s">
        <v>394</v>
      </c>
      <c r="G322" s="70" t="s">
        <v>76</v>
      </c>
      <c r="H322" s="70" t="s">
        <v>1462</v>
      </c>
      <c r="I322" s="70" t="s">
        <v>212</v>
      </c>
      <c r="J322" s="70" t="s">
        <v>45</v>
      </c>
      <c r="K322" s="70" t="s">
        <v>46</v>
      </c>
      <c r="L322" s="70" t="s">
        <v>189</v>
      </c>
      <c r="M322" s="70">
        <v>14</v>
      </c>
      <c r="N322" s="70">
        <v>700</v>
      </c>
      <c r="O322" s="71">
        <v>0.15</v>
      </c>
      <c r="P322" s="70">
        <v>8330</v>
      </c>
      <c r="Q322" s="70">
        <v>1</v>
      </c>
      <c r="R322" s="70" t="s">
        <v>79</v>
      </c>
      <c r="S322" s="70" t="s">
        <v>115</v>
      </c>
      <c r="T322" s="70" t="s">
        <v>332</v>
      </c>
      <c r="U322" s="70">
        <v>9106930369</v>
      </c>
      <c r="V322" s="70" t="s">
        <v>38</v>
      </c>
      <c r="AQ322" s="86">
        <v>45715</v>
      </c>
    </row>
    <row r="323" spans="1:43" x14ac:dyDescent="0.5">
      <c r="A323" s="72" t="s">
        <v>1464</v>
      </c>
      <c r="B323" s="73" t="s">
        <v>83</v>
      </c>
      <c r="C323" s="73" t="s">
        <v>72</v>
      </c>
      <c r="D323" s="87">
        <v>45811</v>
      </c>
      <c r="E323" s="73" t="s">
        <v>948</v>
      </c>
      <c r="F323" s="70" t="s">
        <v>180</v>
      </c>
      <c r="G323" s="73" t="s">
        <v>76</v>
      </c>
      <c r="H323" s="73" t="s">
        <v>1466</v>
      </c>
      <c r="I323" s="73" t="s">
        <v>114</v>
      </c>
      <c r="J323" s="73" t="s">
        <v>106</v>
      </c>
      <c r="K323" s="73" t="s">
        <v>46</v>
      </c>
      <c r="L323" s="73" t="s">
        <v>78</v>
      </c>
      <c r="M323" s="73">
        <v>3</v>
      </c>
      <c r="N323" s="73">
        <v>1200</v>
      </c>
      <c r="O323" s="71">
        <v>0.05</v>
      </c>
      <c r="P323" s="73">
        <v>3420</v>
      </c>
      <c r="Q323" s="73">
        <v>3</v>
      </c>
      <c r="R323" s="73" t="s">
        <v>48</v>
      </c>
      <c r="S323" s="73" t="s">
        <v>151</v>
      </c>
      <c r="T323" s="70" t="s">
        <v>89</v>
      </c>
      <c r="U323" s="73">
        <v>9342009114</v>
      </c>
      <c r="V323" s="73" t="s">
        <v>38</v>
      </c>
      <c r="AQ323" s="87">
        <v>45722</v>
      </c>
    </row>
    <row r="324" spans="1:43" x14ac:dyDescent="0.5">
      <c r="A324" s="69" t="s">
        <v>1468</v>
      </c>
      <c r="B324" s="70" t="s">
        <v>23</v>
      </c>
      <c r="C324" s="70" t="s">
        <v>72</v>
      </c>
      <c r="D324" s="86">
        <v>45845</v>
      </c>
      <c r="E324" s="70" t="s">
        <v>914</v>
      </c>
      <c r="F324" s="70" t="s">
        <v>27</v>
      </c>
      <c r="G324" s="70" t="s">
        <v>28</v>
      </c>
      <c r="H324" s="70" t="s">
        <v>1469</v>
      </c>
      <c r="I324" s="70" t="s">
        <v>138</v>
      </c>
      <c r="J324" s="70" t="s">
        <v>106</v>
      </c>
      <c r="K324" s="70" t="s">
        <v>46</v>
      </c>
      <c r="L324" s="70" t="s">
        <v>78</v>
      </c>
      <c r="M324" s="70">
        <v>9</v>
      </c>
      <c r="N324" s="70">
        <v>1200</v>
      </c>
      <c r="O324" s="71">
        <v>0.15</v>
      </c>
      <c r="P324" s="70">
        <v>9180</v>
      </c>
      <c r="Q324" s="70">
        <v>3</v>
      </c>
      <c r="R324" s="70" t="s">
        <v>34</v>
      </c>
      <c r="S324" s="70" t="s">
        <v>49</v>
      </c>
      <c r="T324" s="70" t="s">
        <v>50</v>
      </c>
      <c r="U324" s="70">
        <v>9992739960</v>
      </c>
      <c r="V324" s="70" t="s">
        <v>38</v>
      </c>
      <c r="AQ324" s="86">
        <v>45845</v>
      </c>
    </row>
    <row r="325" spans="1:43" x14ac:dyDescent="0.5">
      <c r="A325" s="72" t="s">
        <v>1471</v>
      </c>
      <c r="B325" s="73" t="s">
        <v>251</v>
      </c>
      <c r="C325" s="73" t="s">
        <v>222</v>
      </c>
      <c r="D325" s="87">
        <v>46132</v>
      </c>
      <c r="E325" s="73" t="s">
        <v>360</v>
      </c>
      <c r="F325" s="70" t="s">
        <v>254</v>
      </c>
      <c r="G325" s="73" t="s">
        <v>28</v>
      </c>
      <c r="H325" s="73" t="s">
        <v>1472</v>
      </c>
      <c r="I325" s="73" t="s">
        <v>105</v>
      </c>
      <c r="J325" s="73" t="s">
        <v>106</v>
      </c>
      <c r="K325" s="73" t="s">
        <v>122</v>
      </c>
      <c r="L325" s="73" t="s">
        <v>227</v>
      </c>
      <c r="M325" s="73">
        <v>5</v>
      </c>
      <c r="N325" s="73">
        <v>20</v>
      </c>
      <c r="O325" s="71">
        <v>0.05</v>
      </c>
      <c r="P325" s="73">
        <v>95</v>
      </c>
      <c r="Q325" s="73">
        <v>4</v>
      </c>
      <c r="R325" s="73" t="s">
        <v>34</v>
      </c>
      <c r="S325" s="73" t="s">
        <v>151</v>
      </c>
      <c r="T325" s="70" t="s">
        <v>256</v>
      </c>
      <c r="U325" s="73">
        <v>9241987748</v>
      </c>
      <c r="V325" s="73" t="s">
        <v>38</v>
      </c>
      <c r="AQ325" s="87">
        <v>46132</v>
      </c>
    </row>
    <row r="326" spans="1:43" x14ac:dyDescent="0.5">
      <c r="A326" s="69" t="s">
        <v>1474</v>
      </c>
      <c r="B326" s="70" t="s">
        <v>251</v>
      </c>
      <c r="C326" s="70" t="s">
        <v>24</v>
      </c>
      <c r="D326" s="86">
        <v>46001</v>
      </c>
      <c r="E326" s="70" t="s">
        <v>1476</v>
      </c>
      <c r="F326" s="70" t="s">
        <v>254</v>
      </c>
      <c r="G326" s="70" t="s">
        <v>28</v>
      </c>
      <c r="H326" s="70" t="s">
        <v>1477</v>
      </c>
      <c r="I326" s="70" t="s">
        <v>138</v>
      </c>
      <c r="J326" s="70" t="s">
        <v>106</v>
      </c>
      <c r="K326" s="70" t="s">
        <v>32</v>
      </c>
      <c r="L326" s="70" t="s">
        <v>33</v>
      </c>
      <c r="M326" s="70">
        <v>8</v>
      </c>
      <c r="N326" s="70">
        <v>2200</v>
      </c>
      <c r="O326" s="71">
        <v>0.1</v>
      </c>
      <c r="P326" s="70">
        <v>15840</v>
      </c>
      <c r="Q326" s="70">
        <v>4</v>
      </c>
      <c r="R326" s="70" t="s">
        <v>88</v>
      </c>
      <c r="S326" s="70" t="s">
        <v>61</v>
      </c>
      <c r="T326" s="70" t="s">
        <v>256</v>
      </c>
      <c r="U326" s="70">
        <v>9571990711</v>
      </c>
      <c r="V326" s="70" t="s">
        <v>69</v>
      </c>
      <c r="AQ326" s="86">
        <v>45942</v>
      </c>
    </row>
    <row r="327" spans="1:43" x14ac:dyDescent="0.5">
      <c r="A327" s="72" t="s">
        <v>1479</v>
      </c>
      <c r="B327" s="73" t="s">
        <v>251</v>
      </c>
      <c r="C327" s="73" t="s">
        <v>184</v>
      </c>
      <c r="D327" s="87">
        <v>46089</v>
      </c>
      <c r="E327" s="73" t="s">
        <v>1480</v>
      </c>
      <c r="F327" s="70" t="s">
        <v>254</v>
      </c>
      <c r="G327" s="73" t="s">
        <v>28</v>
      </c>
      <c r="H327" s="73" t="s">
        <v>1481</v>
      </c>
      <c r="I327" s="73" t="s">
        <v>105</v>
      </c>
      <c r="J327" s="73" t="s">
        <v>106</v>
      </c>
      <c r="K327" s="73" t="s">
        <v>46</v>
      </c>
      <c r="L327" s="73" t="s">
        <v>189</v>
      </c>
      <c r="M327" s="73">
        <v>10</v>
      </c>
      <c r="N327" s="73">
        <v>700</v>
      </c>
      <c r="O327" s="71">
        <v>0.2</v>
      </c>
      <c r="P327" s="73">
        <v>5600</v>
      </c>
      <c r="Q327" s="73">
        <v>1</v>
      </c>
      <c r="R327" s="73" t="s">
        <v>88</v>
      </c>
      <c r="S327" s="73" t="s">
        <v>115</v>
      </c>
      <c r="T327" s="70" t="s">
        <v>256</v>
      </c>
      <c r="U327" s="73">
        <v>9219231183</v>
      </c>
      <c r="V327" s="73" t="s">
        <v>38</v>
      </c>
      <c r="AQ327" s="87">
        <v>46237</v>
      </c>
    </row>
    <row r="328" spans="1:43" x14ac:dyDescent="0.5">
      <c r="A328" s="69" t="s">
        <v>1483</v>
      </c>
      <c r="B328" s="70" t="s">
        <v>83</v>
      </c>
      <c r="C328" s="70" t="s">
        <v>184</v>
      </c>
      <c r="D328" s="86">
        <v>45986</v>
      </c>
      <c r="E328" s="70" t="s">
        <v>1485</v>
      </c>
      <c r="F328" s="70" t="s">
        <v>180</v>
      </c>
      <c r="G328" s="70" t="s">
        <v>76</v>
      </c>
      <c r="H328" s="70" t="s">
        <v>1486</v>
      </c>
      <c r="I328" s="70" t="s">
        <v>59</v>
      </c>
      <c r="J328" s="70" t="s">
        <v>31</v>
      </c>
      <c r="K328" s="70" t="s">
        <v>46</v>
      </c>
      <c r="L328" s="70" t="s">
        <v>189</v>
      </c>
      <c r="M328" s="70">
        <v>2</v>
      </c>
      <c r="N328" s="70">
        <v>700</v>
      </c>
      <c r="O328" s="71">
        <v>0.2</v>
      </c>
      <c r="P328" s="70">
        <v>1120</v>
      </c>
      <c r="Q328" s="70">
        <v>2</v>
      </c>
      <c r="R328" s="70" t="s">
        <v>34</v>
      </c>
      <c r="S328" s="70" t="s">
        <v>115</v>
      </c>
      <c r="T328" s="70" t="s">
        <v>89</v>
      </c>
      <c r="U328" s="70">
        <v>9847386174</v>
      </c>
      <c r="V328" s="70" t="s">
        <v>64</v>
      </c>
      <c r="AQ328" s="86">
        <v>45986</v>
      </c>
    </row>
    <row r="329" spans="1:43" x14ac:dyDescent="0.5">
      <c r="A329" s="72" t="s">
        <v>1488</v>
      </c>
      <c r="B329" s="73" t="s">
        <v>221</v>
      </c>
      <c r="C329" s="73" t="s">
        <v>92</v>
      </c>
      <c r="D329" s="87">
        <v>45827</v>
      </c>
      <c r="E329" s="73" t="s">
        <v>965</v>
      </c>
      <c r="F329" s="70" t="s">
        <v>225</v>
      </c>
      <c r="G329" s="73" t="s">
        <v>76</v>
      </c>
      <c r="H329" s="73" t="s">
        <v>1489</v>
      </c>
      <c r="I329" s="73" t="s">
        <v>114</v>
      </c>
      <c r="J329" s="73" t="s">
        <v>106</v>
      </c>
      <c r="K329" s="73" t="s">
        <v>32</v>
      </c>
      <c r="L329" s="73" t="s">
        <v>97</v>
      </c>
      <c r="M329" s="73">
        <v>16</v>
      </c>
      <c r="N329" s="73">
        <v>3500</v>
      </c>
      <c r="O329" s="71">
        <v>0.2</v>
      </c>
      <c r="P329" s="73">
        <v>44800</v>
      </c>
      <c r="Q329" s="73">
        <v>2</v>
      </c>
      <c r="R329" s="73" t="s">
        <v>88</v>
      </c>
      <c r="S329" s="73" t="s">
        <v>35</v>
      </c>
      <c r="T329" s="70" t="s">
        <v>228</v>
      </c>
      <c r="U329" s="73">
        <v>9941274924</v>
      </c>
      <c r="V329" s="73" t="s">
        <v>64</v>
      </c>
      <c r="AQ329" s="87">
        <v>45827</v>
      </c>
    </row>
    <row r="330" spans="1:43" x14ac:dyDescent="0.5">
      <c r="A330" s="69" t="s">
        <v>1491</v>
      </c>
      <c r="B330" s="70" t="s">
        <v>168</v>
      </c>
      <c r="C330" s="70" t="s">
        <v>92</v>
      </c>
      <c r="D330" s="86">
        <v>45860</v>
      </c>
      <c r="E330" s="70" t="s">
        <v>756</v>
      </c>
      <c r="F330" s="70" t="s">
        <v>361</v>
      </c>
      <c r="G330" s="70" t="s">
        <v>28</v>
      </c>
      <c r="H330" s="70" t="s">
        <v>1492</v>
      </c>
      <c r="I330" s="70" t="s">
        <v>44</v>
      </c>
      <c r="J330" s="70" t="s">
        <v>45</v>
      </c>
      <c r="K330" s="70" t="s">
        <v>32</v>
      </c>
      <c r="L330" s="70" t="s">
        <v>97</v>
      </c>
      <c r="M330" s="70">
        <v>9</v>
      </c>
      <c r="N330" s="70">
        <v>3500</v>
      </c>
      <c r="O330" s="71">
        <v>0.2</v>
      </c>
      <c r="P330" s="70">
        <v>25200</v>
      </c>
      <c r="Q330" s="70">
        <v>1</v>
      </c>
      <c r="R330" s="70" t="s">
        <v>79</v>
      </c>
      <c r="S330" s="70" t="s">
        <v>49</v>
      </c>
      <c r="T330" s="70" t="s">
        <v>175</v>
      </c>
      <c r="U330" s="70">
        <v>9950650508</v>
      </c>
      <c r="V330" s="70" t="s">
        <v>69</v>
      </c>
      <c r="AQ330" s="86">
        <v>45860</v>
      </c>
    </row>
    <row r="331" spans="1:43" x14ac:dyDescent="0.5">
      <c r="A331" s="72" t="s">
        <v>1494</v>
      </c>
      <c r="B331" s="73" t="s">
        <v>127</v>
      </c>
      <c r="C331" s="73" t="s">
        <v>184</v>
      </c>
      <c r="D331" s="87">
        <v>45959</v>
      </c>
      <c r="E331" s="73" t="s">
        <v>530</v>
      </c>
      <c r="F331" s="70" t="s">
        <v>200</v>
      </c>
      <c r="G331" s="73" t="s">
        <v>76</v>
      </c>
      <c r="H331" s="73" t="s">
        <v>1495</v>
      </c>
      <c r="I331" s="73" t="s">
        <v>30</v>
      </c>
      <c r="J331" s="73" t="s">
        <v>31</v>
      </c>
      <c r="K331" s="73" t="s">
        <v>46</v>
      </c>
      <c r="L331" s="73" t="s">
        <v>189</v>
      </c>
      <c r="M331" s="73">
        <v>15</v>
      </c>
      <c r="N331" s="73">
        <v>700</v>
      </c>
      <c r="O331" s="71">
        <v>0.05</v>
      </c>
      <c r="P331" s="73">
        <v>9975</v>
      </c>
      <c r="Q331" s="73">
        <v>1</v>
      </c>
      <c r="R331" s="73" t="s">
        <v>34</v>
      </c>
      <c r="S331" s="73" t="s">
        <v>49</v>
      </c>
      <c r="T331" s="70" t="s">
        <v>132</v>
      </c>
      <c r="U331" s="73">
        <v>9464035549</v>
      </c>
      <c r="V331" s="73" t="s">
        <v>69</v>
      </c>
      <c r="AQ331" s="87">
        <v>45959</v>
      </c>
    </row>
    <row r="332" spans="1:43" x14ac:dyDescent="0.5">
      <c r="A332" s="69" t="s">
        <v>1497</v>
      </c>
      <c r="B332" s="70" t="s">
        <v>53</v>
      </c>
      <c r="C332" s="70" t="s">
        <v>72</v>
      </c>
      <c r="D332" s="86">
        <v>46086</v>
      </c>
      <c r="E332" s="70" t="s">
        <v>798</v>
      </c>
      <c r="F332" s="70" t="s">
        <v>163</v>
      </c>
      <c r="G332" s="70" t="s">
        <v>28</v>
      </c>
      <c r="H332" s="70" t="s">
        <v>1498</v>
      </c>
      <c r="I332" s="70" t="s">
        <v>138</v>
      </c>
      <c r="J332" s="70" t="s">
        <v>106</v>
      </c>
      <c r="K332" s="70" t="s">
        <v>46</v>
      </c>
      <c r="L332" s="70" t="s">
        <v>78</v>
      </c>
      <c r="M332" s="70">
        <v>13</v>
      </c>
      <c r="N332" s="70">
        <v>1200</v>
      </c>
      <c r="O332" s="71">
        <v>0</v>
      </c>
      <c r="P332" s="70">
        <v>15600</v>
      </c>
      <c r="Q332" s="70">
        <v>3</v>
      </c>
      <c r="R332" s="70" t="s">
        <v>48</v>
      </c>
      <c r="S332" s="70" t="s">
        <v>115</v>
      </c>
      <c r="T332" s="70" t="s">
        <v>62</v>
      </c>
      <c r="U332" s="70">
        <v>9142334315</v>
      </c>
      <c r="V332" s="70" t="s">
        <v>69</v>
      </c>
      <c r="AQ332" s="86">
        <v>46145</v>
      </c>
    </row>
    <row r="333" spans="1:43" x14ac:dyDescent="0.5">
      <c r="A333" s="72" t="s">
        <v>1500</v>
      </c>
      <c r="B333" s="73" t="s">
        <v>327</v>
      </c>
      <c r="C333" s="73" t="s">
        <v>40</v>
      </c>
      <c r="D333" s="87">
        <v>45895</v>
      </c>
      <c r="E333" s="73" t="s">
        <v>1502</v>
      </c>
      <c r="F333" s="70" t="s">
        <v>394</v>
      </c>
      <c r="G333" s="73" t="s">
        <v>76</v>
      </c>
      <c r="H333" s="73" t="s">
        <v>1503</v>
      </c>
      <c r="I333" s="73" t="s">
        <v>44</v>
      </c>
      <c r="J333" s="73" t="s">
        <v>45</v>
      </c>
      <c r="K333" s="73" t="s">
        <v>46</v>
      </c>
      <c r="L333" s="73" t="s">
        <v>47</v>
      </c>
      <c r="M333" s="73">
        <v>5</v>
      </c>
      <c r="N333" s="73">
        <v>12000</v>
      </c>
      <c r="O333" s="71">
        <v>0.1</v>
      </c>
      <c r="P333" s="73">
        <v>54000</v>
      </c>
      <c r="Q333" s="73">
        <v>3</v>
      </c>
      <c r="R333" s="73" t="s">
        <v>88</v>
      </c>
      <c r="S333" s="73" t="s">
        <v>49</v>
      </c>
      <c r="T333" s="70" t="s">
        <v>332</v>
      </c>
      <c r="U333" s="73">
        <v>9123961962</v>
      </c>
      <c r="V333" s="73" t="s">
        <v>38</v>
      </c>
      <c r="AQ333" s="87">
        <v>45895</v>
      </c>
    </row>
    <row r="334" spans="1:43" x14ac:dyDescent="0.5">
      <c r="A334" s="69" t="s">
        <v>1505</v>
      </c>
      <c r="B334" s="70" t="s">
        <v>53</v>
      </c>
      <c r="C334" s="70" t="s">
        <v>259</v>
      </c>
      <c r="D334" s="86">
        <v>45752</v>
      </c>
      <c r="E334" s="70" t="s">
        <v>1507</v>
      </c>
      <c r="F334" s="70" t="s">
        <v>163</v>
      </c>
      <c r="G334" s="70" t="s">
        <v>28</v>
      </c>
      <c r="H334" s="70" t="s">
        <v>1508</v>
      </c>
      <c r="I334" s="70" t="s">
        <v>59</v>
      </c>
      <c r="J334" s="70" t="s">
        <v>31</v>
      </c>
      <c r="K334" s="70" t="s">
        <v>122</v>
      </c>
      <c r="L334" s="70" t="s">
        <v>263</v>
      </c>
      <c r="M334" s="70">
        <v>12</v>
      </c>
      <c r="N334" s="70">
        <v>45</v>
      </c>
      <c r="O334" s="71">
        <v>0.2</v>
      </c>
      <c r="P334" s="70">
        <v>432</v>
      </c>
      <c r="Q334" s="70">
        <v>3</v>
      </c>
      <c r="R334" s="70" t="s">
        <v>48</v>
      </c>
      <c r="S334" s="70" t="s">
        <v>61</v>
      </c>
      <c r="T334" s="70" t="s">
        <v>62</v>
      </c>
      <c r="U334" s="70">
        <v>9741953402</v>
      </c>
      <c r="V334" s="70" t="s">
        <v>38</v>
      </c>
      <c r="AQ334" s="86">
        <v>45781</v>
      </c>
    </row>
    <row r="335" spans="1:43" x14ac:dyDescent="0.5">
      <c r="A335" s="72" t="s">
        <v>1510</v>
      </c>
      <c r="B335" s="73" t="s">
        <v>23</v>
      </c>
      <c r="C335" s="73" t="s">
        <v>92</v>
      </c>
      <c r="D335" s="87">
        <v>45756</v>
      </c>
      <c r="E335" s="73" t="s">
        <v>666</v>
      </c>
      <c r="F335" s="70" t="s">
        <v>27</v>
      </c>
      <c r="G335" s="73" t="s">
        <v>28</v>
      </c>
      <c r="H335" s="73" t="s">
        <v>1511</v>
      </c>
      <c r="I335" s="73" t="s">
        <v>59</v>
      </c>
      <c r="J335" s="73" t="s">
        <v>31</v>
      </c>
      <c r="K335" s="73" t="s">
        <v>32</v>
      </c>
      <c r="L335" s="73" t="s">
        <v>97</v>
      </c>
      <c r="M335" s="73">
        <v>2</v>
      </c>
      <c r="N335" s="73">
        <v>3500</v>
      </c>
      <c r="O335" s="71">
        <v>0</v>
      </c>
      <c r="P335" s="73">
        <v>7000</v>
      </c>
      <c r="Q335" s="73">
        <v>1</v>
      </c>
      <c r="R335" s="73" t="s">
        <v>48</v>
      </c>
      <c r="S335" s="73" t="s">
        <v>115</v>
      </c>
      <c r="T335" s="70" t="s">
        <v>50</v>
      </c>
      <c r="U335" s="73">
        <v>9404733633</v>
      </c>
      <c r="V335" s="73" t="s">
        <v>64</v>
      </c>
      <c r="AQ335" s="87">
        <v>45904</v>
      </c>
    </row>
    <row r="336" spans="1:43" x14ac:dyDescent="0.5">
      <c r="A336" s="69" t="s">
        <v>1513</v>
      </c>
      <c r="B336" s="70" t="s">
        <v>23</v>
      </c>
      <c r="C336" s="70" t="s">
        <v>24</v>
      </c>
      <c r="D336" s="86">
        <v>46155</v>
      </c>
      <c r="E336" s="70" t="s">
        <v>1180</v>
      </c>
      <c r="F336" s="70" t="s">
        <v>27</v>
      </c>
      <c r="G336" s="70" t="s">
        <v>28</v>
      </c>
      <c r="H336" s="70" t="s">
        <v>1514</v>
      </c>
      <c r="I336" s="70" t="s">
        <v>114</v>
      </c>
      <c r="J336" s="70" t="s">
        <v>106</v>
      </c>
      <c r="K336" s="70" t="s">
        <v>32</v>
      </c>
      <c r="L336" s="70" t="s">
        <v>33</v>
      </c>
      <c r="M336" s="70">
        <v>15</v>
      </c>
      <c r="N336" s="70">
        <v>2200</v>
      </c>
      <c r="O336" s="71">
        <v>0.15</v>
      </c>
      <c r="P336" s="70">
        <v>28050</v>
      </c>
      <c r="Q336" s="70">
        <v>2</v>
      </c>
      <c r="R336" s="70" t="s">
        <v>48</v>
      </c>
      <c r="S336" s="70" t="s">
        <v>49</v>
      </c>
      <c r="T336" s="70" t="s">
        <v>50</v>
      </c>
      <c r="U336" s="70">
        <v>9297492337</v>
      </c>
      <c r="V336" s="70" t="s">
        <v>64</v>
      </c>
      <c r="AQ336" s="86">
        <v>46155</v>
      </c>
    </row>
    <row r="337" spans="1:43" x14ac:dyDescent="0.5">
      <c r="A337" s="72" t="s">
        <v>1516</v>
      </c>
      <c r="B337" s="73" t="s">
        <v>100</v>
      </c>
      <c r="C337" s="73" t="s">
        <v>222</v>
      </c>
      <c r="D337" s="87">
        <v>45995</v>
      </c>
      <c r="E337" s="73" t="s">
        <v>1253</v>
      </c>
      <c r="F337" s="70" t="s">
        <v>103</v>
      </c>
      <c r="G337" s="73" t="s">
        <v>28</v>
      </c>
      <c r="H337" s="73" t="s">
        <v>1517</v>
      </c>
      <c r="I337" s="73" t="s">
        <v>138</v>
      </c>
      <c r="J337" s="73" t="s">
        <v>106</v>
      </c>
      <c r="K337" s="73" t="s">
        <v>122</v>
      </c>
      <c r="L337" s="73" t="s">
        <v>227</v>
      </c>
      <c r="M337" s="73">
        <v>8</v>
      </c>
      <c r="N337" s="73">
        <v>20</v>
      </c>
      <c r="O337" s="71">
        <v>0.2</v>
      </c>
      <c r="P337" s="73">
        <v>128</v>
      </c>
      <c r="Q337" s="73">
        <v>5</v>
      </c>
      <c r="R337" s="73" t="s">
        <v>88</v>
      </c>
      <c r="S337" s="73" t="s">
        <v>49</v>
      </c>
      <c r="T337" s="70" t="s">
        <v>144</v>
      </c>
      <c r="U337" s="73">
        <v>9350338928</v>
      </c>
      <c r="V337" s="73" t="s">
        <v>38</v>
      </c>
      <c r="AQ337" s="87">
        <v>45759</v>
      </c>
    </row>
    <row r="338" spans="1:43" x14ac:dyDescent="0.5">
      <c r="A338" s="69" t="s">
        <v>1519</v>
      </c>
      <c r="B338" s="70" t="s">
        <v>127</v>
      </c>
      <c r="C338" s="70" t="s">
        <v>222</v>
      </c>
      <c r="D338" s="86">
        <v>46089</v>
      </c>
      <c r="E338" s="70" t="s">
        <v>798</v>
      </c>
      <c r="F338" s="70" t="s">
        <v>200</v>
      </c>
      <c r="G338" s="70" t="s">
        <v>76</v>
      </c>
      <c r="H338" s="70" t="s">
        <v>1520</v>
      </c>
      <c r="I338" s="70" t="s">
        <v>30</v>
      </c>
      <c r="J338" s="70" t="s">
        <v>31</v>
      </c>
      <c r="K338" s="70" t="s">
        <v>122</v>
      </c>
      <c r="L338" s="70" t="s">
        <v>227</v>
      </c>
      <c r="M338" s="70">
        <v>1</v>
      </c>
      <c r="N338" s="70">
        <v>20</v>
      </c>
      <c r="O338" s="71">
        <v>0</v>
      </c>
      <c r="P338" s="70">
        <v>20</v>
      </c>
      <c r="Q338" s="70">
        <v>3</v>
      </c>
      <c r="R338" s="70" t="s">
        <v>88</v>
      </c>
      <c r="S338" s="70" t="s">
        <v>35</v>
      </c>
      <c r="T338" s="70" t="s">
        <v>132</v>
      </c>
      <c r="U338" s="70">
        <v>9933894798</v>
      </c>
      <c r="V338" s="70" t="s">
        <v>38</v>
      </c>
      <c r="AQ338" s="86">
        <v>46237</v>
      </c>
    </row>
    <row r="339" spans="1:43" x14ac:dyDescent="0.5">
      <c r="A339" s="72" t="s">
        <v>1522</v>
      </c>
      <c r="B339" s="73" t="s">
        <v>23</v>
      </c>
      <c r="C339" s="73" t="s">
        <v>184</v>
      </c>
      <c r="D339" s="87">
        <v>46027</v>
      </c>
      <c r="E339" s="73" t="s">
        <v>253</v>
      </c>
      <c r="F339" s="70" t="s">
        <v>27</v>
      </c>
      <c r="G339" s="73" t="s">
        <v>28</v>
      </c>
      <c r="H339" s="73" t="s">
        <v>1523</v>
      </c>
      <c r="I339" s="73" t="s">
        <v>212</v>
      </c>
      <c r="J339" s="73" t="s">
        <v>45</v>
      </c>
      <c r="K339" s="73" t="s">
        <v>46</v>
      </c>
      <c r="L339" s="73" t="s">
        <v>189</v>
      </c>
      <c r="M339" s="73">
        <v>15</v>
      </c>
      <c r="N339" s="73">
        <v>700</v>
      </c>
      <c r="O339" s="71">
        <v>0</v>
      </c>
      <c r="P339" s="73">
        <v>10500</v>
      </c>
      <c r="Q339" s="73">
        <v>2</v>
      </c>
      <c r="R339" s="73" t="s">
        <v>88</v>
      </c>
      <c r="S339" s="73" t="s">
        <v>49</v>
      </c>
      <c r="T339" s="70" t="s">
        <v>50</v>
      </c>
      <c r="U339" s="73">
        <v>9705218824</v>
      </c>
      <c r="V339" s="73" t="s">
        <v>38</v>
      </c>
      <c r="AQ339" s="87">
        <v>46143</v>
      </c>
    </row>
    <row r="340" spans="1:43" x14ac:dyDescent="0.5">
      <c r="A340" s="69" t="s">
        <v>1525</v>
      </c>
      <c r="B340" s="70" t="s">
        <v>327</v>
      </c>
      <c r="C340" s="70" t="s">
        <v>92</v>
      </c>
      <c r="D340" s="86">
        <v>45695</v>
      </c>
      <c r="E340" s="70" t="s">
        <v>1526</v>
      </c>
      <c r="F340" s="70" t="s">
        <v>394</v>
      </c>
      <c r="G340" s="70" t="s">
        <v>76</v>
      </c>
      <c r="H340" s="70" t="s">
        <v>1527</v>
      </c>
      <c r="I340" s="70" t="s">
        <v>30</v>
      </c>
      <c r="J340" s="70" t="s">
        <v>31</v>
      </c>
      <c r="K340" s="70" t="s">
        <v>32</v>
      </c>
      <c r="L340" s="70" t="s">
        <v>97</v>
      </c>
      <c r="M340" s="70">
        <v>15</v>
      </c>
      <c r="N340" s="70">
        <v>3500</v>
      </c>
      <c r="O340" s="71">
        <v>0.1</v>
      </c>
      <c r="P340" s="70">
        <v>47250</v>
      </c>
      <c r="Q340" s="70">
        <v>3</v>
      </c>
      <c r="R340" s="70" t="s">
        <v>34</v>
      </c>
      <c r="S340" s="70" t="s">
        <v>151</v>
      </c>
      <c r="T340" s="70" t="s">
        <v>332</v>
      </c>
      <c r="U340" s="70">
        <v>9229164453</v>
      </c>
      <c r="V340" s="70" t="s">
        <v>64</v>
      </c>
      <c r="AQ340" s="86">
        <v>45840</v>
      </c>
    </row>
    <row r="341" spans="1:43" x14ac:dyDescent="0.5">
      <c r="A341" s="72" t="s">
        <v>1529</v>
      </c>
      <c r="B341" s="73" t="s">
        <v>23</v>
      </c>
      <c r="C341" s="73" t="s">
        <v>118</v>
      </c>
      <c r="D341" s="87">
        <v>45866</v>
      </c>
      <c r="E341" s="73" t="s">
        <v>156</v>
      </c>
      <c r="F341" s="70" t="s">
        <v>27</v>
      </c>
      <c r="G341" s="73" t="s">
        <v>28</v>
      </c>
      <c r="H341" s="73" t="s">
        <v>1531</v>
      </c>
      <c r="I341" s="73" t="s">
        <v>294</v>
      </c>
      <c r="J341" s="73" t="s">
        <v>295</v>
      </c>
      <c r="K341" s="73" t="s">
        <v>122</v>
      </c>
      <c r="L341" s="73" t="s">
        <v>123</v>
      </c>
      <c r="M341" s="73">
        <v>16</v>
      </c>
      <c r="N341" s="73">
        <v>60</v>
      </c>
      <c r="O341" s="71">
        <v>0.1</v>
      </c>
      <c r="P341" s="73">
        <v>864</v>
      </c>
      <c r="Q341" s="73">
        <v>4</v>
      </c>
      <c r="R341" s="73" t="s">
        <v>79</v>
      </c>
      <c r="S341" s="73" t="s">
        <v>61</v>
      </c>
      <c r="T341" s="70" t="s">
        <v>50</v>
      </c>
      <c r="U341" s="73">
        <v>9219806176</v>
      </c>
      <c r="V341" s="73" t="s">
        <v>38</v>
      </c>
      <c r="AQ341" s="87">
        <v>45866</v>
      </c>
    </row>
    <row r="342" spans="1:43" x14ac:dyDescent="0.5">
      <c r="A342" s="69" t="s">
        <v>1533</v>
      </c>
      <c r="B342" s="70" t="s">
        <v>127</v>
      </c>
      <c r="C342" s="70" t="s">
        <v>259</v>
      </c>
      <c r="D342" s="86">
        <v>45945</v>
      </c>
      <c r="E342" s="70" t="s">
        <v>793</v>
      </c>
      <c r="F342" s="70" t="s">
        <v>200</v>
      </c>
      <c r="G342" s="70" t="s">
        <v>76</v>
      </c>
      <c r="H342" s="70" t="s">
        <v>1534</v>
      </c>
      <c r="I342" s="70" t="s">
        <v>44</v>
      </c>
      <c r="J342" s="70" t="s">
        <v>45</v>
      </c>
      <c r="K342" s="70" t="s">
        <v>122</v>
      </c>
      <c r="L342" s="70" t="s">
        <v>263</v>
      </c>
      <c r="M342" s="70">
        <v>2</v>
      </c>
      <c r="N342" s="70">
        <v>45</v>
      </c>
      <c r="O342" s="71">
        <v>0.15</v>
      </c>
      <c r="P342" s="70">
        <v>76.5</v>
      </c>
      <c r="Q342" s="70">
        <v>1</v>
      </c>
      <c r="R342" s="70" t="s">
        <v>88</v>
      </c>
      <c r="S342" s="70" t="s">
        <v>151</v>
      </c>
      <c r="T342" s="70" t="s">
        <v>132</v>
      </c>
      <c r="U342" s="70">
        <v>9630210250</v>
      </c>
      <c r="V342" s="70" t="s">
        <v>69</v>
      </c>
      <c r="AQ342" s="86">
        <v>45945</v>
      </c>
    </row>
    <row r="343" spans="1:43" x14ac:dyDescent="0.5">
      <c r="A343" s="72" t="s">
        <v>1536</v>
      </c>
      <c r="B343" s="73" t="s">
        <v>168</v>
      </c>
      <c r="C343" s="73" t="s">
        <v>118</v>
      </c>
      <c r="D343" s="87">
        <v>45997</v>
      </c>
      <c r="E343" s="73" t="s">
        <v>1214</v>
      </c>
      <c r="F343" s="70" t="s">
        <v>361</v>
      </c>
      <c r="G343" s="73" t="s">
        <v>28</v>
      </c>
      <c r="H343" s="73" t="s">
        <v>1538</v>
      </c>
      <c r="I343" s="73" t="s">
        <v>44</v>
      </c>
      <c r="J343" s="73" t="s">
        <v>45</v>
      </c>
      <c r="K343" s="73" t="s">
        <v>122</v>
      </c>
      <c r="L343" s="73" t="s">
        <v>123</v>
      </c>
      <c r="M343" s="73">
        <v>13</v>
      </c>
      <c r="N343" s="73">
        <v>60</v>
      </c>
      <c r="O343" s="71">
        <v>0.15</v>
      </c>
      <c r="P343" s="73">
        <v>663</v>
      </c>
      <c r="Q343" s="73">
        <v>2</v>
      </c>
      <c r="R343" s="73" t="s">
        <v>48</v>
      </c>
      <c r="S343" s="73" t="s">
        <v>61</v>
      </c>
      <c r="T343" s="70" t="s">
        <v>175</v>
      </c>
      <c r="U343" s="73">
        <v>9583354052</v>
      </c>
      <c r="V343" s="73" t="s">
        <v>69</v>
      </c>
      <c r="AQ343" s="87">
        <v>45820</v>
      </c>
    </row>
    <row r="344" spans="1:43" x14ac:dyDescent="0.5">
      <c r="A344" s="69" t="s">
        <v>1540</v>
      </c>
      <c r="B344" s="70" t="s">
        <v>83</v>
      </c>
      <c r="C344" s="70" t="s">
        <v>40</v>
      </c>
      <c r="D344" s="86">
        <v>45797</v>
      </c>
      <c r="E344" s="70" t="s">
        <v>236</v>
      </c>
      <c r="F344" s="70" t="s">
        <v>180</v>
      </c>
      <c r="G344" s="70" t="s">
        <v>76</v>
      </c>
      <c r="H344" s="70" t="s">
        <v>1541</v>
      </c>
      <c r="I344" s="70" t="s">
        <v>44</v>
      </c>
      <c r="J344" s="70" t="s">
        <v>45</v>
      </c>
      <c r="K344" s="70" t="s">
        <v>46</v>
      </c>
      <c r="L344" s="70" t="s">
        <v>47</v>
      </c>
      <c r="M344" s="70">
        <v>15</v>
      </c>
      <c r="N344" s="70">
        <v>12000</v>
      </c>
      <c r="O344" s="71">
        <v>0.2</v>
      </c>
      <c r="P344" s="70">
        <v>144000</v>
      </c>
      <c r="Q344" s="70">
        <v>3</v>
      </c>
      <c r="R344" s="70" t="s">
        <v>79</v>
      </c>
      <c r="S344" s="70" t="s">
        <v>35</v>
      </c>
      <c r="T344" s="70" t="s">
        <v>89</v>
      </c>
      <c r="U344" s="70">
        <v>9242534507</v>
      </c>
      <c r="V344" s="70" t="s">
        <v>69</v>
      </c>
      <c r="AQ344" s="86">
        <v>45797</v>
      </c>
    </row>
    <row r="345" spans="1:43" x14ac:dyDescent="0.5">
      <c r="A345" s="72" t="s">
        <v>1543</v>
      </c>
      <c r="B345" s="73" t="s">
        <v>327</v>
      </c>
      <c r="C345" s="73" t="s">
        <v>222</v>
      </c>
      <c r="D345" s="87">
        <v>45863</v>
      </c>
      <c r="E345" s="73" t="s">
        <v>1544</v>
      </c>
      <c r="F345" s="70" t="s">
        <v>394</v>
      </c>
      <c r="G345" s="73" t="s">
        <v>76</v>
      </c>
      <c r="H345" s="73" t="s">
        <v>1545</v>
      </c>
      <c r="I345" s="73" t="s">
        <v>44</v>
      </c>
      <c r="J345" s="73" t="s">
        <v>45</v>
      </c>
      <c r="K345" s="73" t="s">
        <v>122</v>
      </c>
      <c r="L345" s="73" t="s">
        <v>227</v>
      </c>
      <c r="M345" s="73">
        <v>2</v>
      </c>
      <c r="N345" s="73">
        <v>20</v>
      </c>
      <c r="O345" s="71">
        <v>0.2</v>
      </c>
      <c r="P345" s="73">
        <v>32</v>
      </c>
      <c r="Q345" s="73">
        <v>4</v>
      </c>
      <c r="R345" s="73" t="s">
        <v>34</v>
      </c>
      <c r="S345" s="73" t="s">
        <v>35</v>
      </c>
      <c r="T345" s="70" t="s">
        <v>332</v>
      </c>
      <c r="U345" s="73">
        <v>9291239150</v>
      </c>
      <c r="V345" s="73" t="s">
        <v>64</v>
      </c>
      <c r="AQ345" s="87">
        <v>45863</v>
      </c>
    </row>
    <row r="346" spans="1:43" x14ac:dyDescent="0.5">
      <c r="A346" s="69" t="s">
        <v>1547</v>
      </c>
      <c r="B346" s="70" t="s">
        <v>127</v>
      </c>
      <c r="C346" s="70" t="s">
        <v>92</v>
      </c>
      <c r="D346" s="86">
        <v>45874</v>
      </c>
      <c r="E346" s="70" t="s">
        <v>1548</v>
      </c>
      <c r="F346" s="70" t="s">
        <v>200</v>
      </c>
      <c r="G346" s="70" t="s">
        <v>76</v>
      </c>
      <c r="H346" s="70" t="s">
        <v>1549</v>
      </c>
      <c r="I346" s="70" t="s">
        <v>59</v>
      </c>
      <c r="J346" s="70" t="s">
        <v>31</v>
      </c>
      <c r="K346" s="70" t="s">
        <v>32</v>
      </c>
      <c r="L346" s="70" t="s">
        <v>97</v>
      </c>
      <c r="M346" s="70">
        <v>16</v>
      </c>
      <c r="N346" s="70">
        <v>3500</v>
      </c>
      <c r="O346" s="71">
        <v>0</v>
      </c>
      <c r="P346" s="70">
        <v>56000</v>
      </c>
      <c r="Q346" s="70">
        <v>4</v>
      </c>
      <c r="R346" s="70" t="s">
        <v>34</v>
      </c>
      <c r="S346" s="70" t="s">
        <v>115</v>
      </c>
      <c r="T346" s="70" t="s">
        <v>132</v>
      </c>
      <c r="U346" s="70">
        <v>9550820904</v>
      </c>
      <c r="V346" s="70" t="s">
        <v>38</v>
      </c>
      <c r="AQ346" s="86">
        <v>45785</v>
      </c>
    </row>
    <row r="347" spans="1:43" x14ac:dyDescent="0.5">
      <c r="A347" s="72" t="s">
        <v>1551</v>
      </c>
      <c r="B347" s="73" t="s">
        <v>53</v>
      </c>
      <c r="C347" s="73" t="s">
        <v>92</v>
      </c>
      <c r="D347" s="87">
        <v>46071</v>
      </c>
      <c r="E347" s="73" t="s">
        <v>94</v>
      </c>
      <c r="F347" s="70" t="s">
        <v>163</v>
      </c>
      <c r="G347" s="73" t="s">
        <v>28</v>
      </c>
      <c r="H347" s="73" t="s">
        <v>1552</v>
      </c>
      <c r="I347" s="73" t="s">
        <v>138</v>
      </c>
      <c r="J347" s="73" t="s">
        <v>106</v>
      </c>
      <c r="K347" s="73" t="s">
        <v>32</v>
      </c>
      <c r="L347" s="73" t="s">
        <v>97</v>
      </c>
      <c r="M347" s="73">
        <v>18</v>
      </c>
      <c r="N347" s="73">
        <v>3500</v>
      </c>
      <c r="O347" s="71">
        <v>0.15</v>
      </c>
      <c r="P347" s="73">
        <v>53550</v>
      </c>
      <c r="Q347" s="73">
        <v>5</v>
      </c>
      <c r="R347" s="73" t="s">
        <v>34</v>
      </c>
      <c r="S347" s="73" t="s">
        <v>151</v>
      </c>
      <c r="T347" s="70" t="s">
        <v>62</v>
      </c>
      <c r="U347" s="73">
        <v>9294486423</v>
      </c>
      <c r="V347" s="73" t="s">
        <v>69</v>
      </c>
      <c r="AQ347" s="87">
        <v>46071</v>
      </c>
    </row>
    <row r="348" spans="1:43" x14ac:dyDescent="0.5">
      <c r="A348" s="69" t="s">
        <v>1554</v>
      </c>
      <c r="B348" s="70" t="s">
        <v>23</v>
      </c>
      <c r="C348" s="70" t="s">
        <v>259</v>
      </c>
      <c r="D348" s="86">
        <v>46102</v>
      </c>
      <c r="E348" s="70" t="s">
        <v>544</v>
      </c>
      <c r="F348" s="70" t="s">
        <v>27</v>
      </c>
      <c r="G348" s="70" t="s">
        <v>28</v>
      </c>
      <c r="H348" s="70" t="s">
        <v>1555</v>
      </c>
      <c r="I348" s="70" t="s">
        <v>138</v>
      </c>
      <c r="J348" s="70" t="s">
        <v>106</v>
      </c>
      <c r="K348" s="70" t="s">
        <v>122</v>
      </c>
      <c r="L348" s="70" t="s">
        <v>263</v>
      </c>
      <c r="M348" s="70">
        <v>20</v>
      </c>
      <c r="N348" s="70">
        <v>45</v>
      </c>
      <c r="O348" s="71">
        <v>0.15</v>
      </c>
      <c r="P348" s="70">
        <v>765</v>
      </c>
      <c r="Q348" s="70">
        <v>4</v>
      </c>
      <c r="R348" s="70" t="s">
        <v>34</v>
      </c>
      <c r="S348" s="70" t="s">
        <v>151</v>
      </c>
      <c r="T348" s="70" t="s">
        <v>50</v>
      </c>
      <c r="U348" s="70">
        <v>9260258621</v>
      </c>
      <c r="V348" s="70" t="s">
        <v>69</v>
      </c>
      <c r="AQ348" s="86">
        <v>46102</v>
      </c>
    </row>
    <row r="349" spans="1:43" x14ac:dyDescent="0.5">
      <c r="A349" s="72" t="s">
        <v>1557</v>
      </c>
      <c r="B349" s="73" t="s">
        <v>251</v>
      </c>
      <c r="C349" s="73" t="s">
        <v>24</v>
      </c>
      <c r="D349" s="87">
        <v>46128</v>
      </c>
      <c r="E349" s="73" t="s">
        <v>356</v>
      </c>
      <c r="F349" s="70" t="s">
        <v>254</v>
      </c>
      <c r="G349" s="73" t="s">
        <v>28</v>
      </c>
      <c r="H349" s="73" t="s">
        <v>1558</v>
      </c>
      <c r="I349" s="73" t="s">
        <v>44</v>
      </c>
      <c r="J349" s="73" t="s">
        <v>45</v>
      </c>
      <c r="K349" s="73" t="s">
        <v>32</v>
      </c>
      <c r="L349" s="73" t="s">
        <v>33</v>
      </c>
      <c r="M349" s="73">
        <v>13</v>
      </c>
      <c r="N349" s="73">
        <v>2200</v>
      </c>
      <c r="O349" s="71">
        <v>0.15</v>
      </c>
      <c r="P349" s="73">
        <v>24310</v>
      </c>
      <c r="Q349" s="73">
        <v>2</v>
      </c>
      <c r="R349" s="73" t="s">
        <v>48</v>
      </c>
      <c r="S349" s="73" t="s">
        <v>115</v>
      </c>
      <c r="T349" s="70" t="s">
        <v>256</v>
      </c>
      <c r="U349" s="73">
        <v>9697433584</v>
      </c>
      <c r="V349" s="73" t="s">
        <v>64</v>
      </c>
      <c r="AQ349" s="87">
        <v>46128</v>
      </c>
    </row>
    <row r="350" spans="1:43" x14ac:dyDescent="0.5">
      <c r="A350" s="69" t="s">
        <v>1560</v>
      </c>
      <c r="B350" s="70" t="s">
        <v>53</v>
      </c>
      <c r="C350" s="70" t="s">
        <v>1561</v>
      </c>
      <c r="D350" s="86">
        <v>45943</v>
      </c>
      <c r="E350" s="70" t="s">
        <v>346</v>
      </c>
      <c r="F350" s="70" t="s">
        <v>163</v>
      </c>
      <c r="G350" s="70" t="s">
        <v>28</v>
      </c>
      <c r="H350" s="70" t="s">
        <v>1562</v>
      </c>
      <c r="I350" s="70" t="s">
        <v>294</v>
      </c>
      <c r="J350" s="70" t="s">
        <v>295</v>
      </c>
      <c r="K350" s="70" t="s">
        <v>32</v>
      </c>
      <c r="L350" s="70" t="s">
        <v>174</v>
      </c>
      <c r="M350" s="70">
        <v>11</v>
      </c>
      <c r="N350" s="70">
        <v>8500</v>
      </c>
      <c r="O350" s="71">
        <v>0.05</v>
      </c>
      <c r="P350" s="70">
        <v>88825</v>
      </c>
      <c r="Q350" s="70">
        <v>1</v>
      </c>
      <c r="R350" s="70" t="s">
        <v>88</v>
      </c>
      <c r="S350" s="70" t="s">
        <v>115</v>
      </c>
      <c r="T350" s="70" t="s">
        <v>62</v>
      </c>
      <c r="U350" s="70">
        <v>9837969758</v>
      </c>
      <c r="V350" s="70" t="s">
        <v>69</v>
      </c>
      <c r="AQ350" s="86">
        <v>45943</v>
      </c>
    </row>
    <row r="351" spans="1:43" x14ac:dyDescent="0.5">
      <c r="A351" s="72" t="s">
        <v>1564</v>
      </c>
      <c r="B351" s="73" t="s">
        <v>53</v>
      </c>
      <c r="C351" s="73" t="s">
        <v>24</v>
      </c>
      <c r="D351" s="87">
        <v>45996</v>
      </c>
      <c r="E351" s="73" t="s">
        <v>1475</v>
      </c>
      <c r="F351" s="70" t="s">
        <v>163</v>
      </c>
      <c r="G351" s="73" t="s">
        <v>28</v>
      </c>
      <c r="H351" s="73" t="s">
        <v>1566</v>
      </c>
      <c r="I351" s="73" t="s">
        <v>212</v>
      </c>
      <c r="J351" s="73" t="s">
        <v>45</v>
      </c>
      <c r="K351" s="73" t="s">
        <v>32</v>
      </c>
      <c r="L351" s="73" t="s">
        <v>33</v>
      </c>
      <c r="M351" s="73">
        <v>2</v>
      </c>
      <c r="N351" s="73">
        <v>2200</v>
      </c>
      <c r="O351" s="71">
        <v>0</v>
      </c>
      <c r="P351" s="73">
        <v>4400</v>
      </c>
      <c r="Q351" s="73">
        <v>4</v>
      </c>
      <c r="R351" s="73" t="s">
        <v>88</v>
      </c>
      <c r="S351" s="73" t="s">
        <v>151</v>
      </c>
      <c r="T351" s="70" t="s">
        <v>62</v>
      </c>
      <c r="U351" s="73">
        <v>9209736419</v>
      </c>
      <c r="V351" s="73" t="s">
        <v>64</v>
      </c>
      <c r="AQ351" s="87">
        <v>45789</v>
      </c>
    </row>
    <row r="352" spans="1:43" x14ac:dyDescent="0.5">
      <c r="A352" s="69" t="s">
        <v>1568</v>
      </c>
      <c r="B352" s="70" t="s">
        <v>83</v>
      </c>
      <c r="C352" s="70" t="s">
        <v>184</v>
      </c>
      <c r="D352" s="86">
        <v>45868</v>
      </c>
      <c r="E352" s="70" t="s">
        <v>720</v>
      </c>
      <c r="F352" s="70" t="s">
        <v>180</v>
      </c>
      <c r="G352" s="70" t="s">
        <v>76</v>
      </c>
      <c r="H352" s="70" t="s">
        <v>1569</v>
      </c>
      <c r="I352" s="70" t="s">
        <v>105</v>
      </c>
      <c r="J352" s="70" t="s">
        <v>106</v>
      </c>
      <c r="K352" s="70" t="s">
        <v>46</v>
      </c>
      <c r="L352" s="70" t="s">
        <v>189</v>
      </c>
      <c r="M352" s="70">
        <v>15</v>
      </c>
      <c r="N352" s="70">
        <v>700</v>
      </c>
      <c r="O352" s="71">
        <v>0.15</v>
      </c>
      <c r="P352" s="70">
        <v>8925</v>
      </c>
      <c r="Q352" s="70">
        <v>3</v>
      </c>
      <c r="R352" s="70" t="s">
        <v>48</v>
      </c>
      <c r="S352" s="70" t="s">
        <v>115</v>
      </c>
      <c r="T352" s="70" t="s">
        <v>89</v>
      </c>
      <c r="U352" s="70">
        <v>9645907237</v>
      </c>
      <c r="V352" s="70" t="s">
        <v>38</v>
      </c>
      <c r="AQ352" s="86">
        <v>45868</v>
      </c>
    </row>
    <row r="353" spans="1:43" x14ac:dyDescent="0.5">
      <c r="A353" s="72" t="s">
        <v>1571</v>
      </c>
      <c r="B353" s="73" t="s">
        <v>127</v>
      </c>
      <c r="C353" s="73" t="s">
        <v>24</v>
      </c>
      <c r="D353" s="87">
        <v>45856</v>
      </c>
      <c r="E353" s="73" t="s">
        <v>835</v>
      </c>
      <c r="F353" s="70" t="s">
        <v>200</v>
      </c>
      <c r="G353" s="73" t="s">
        <v>76</v>
      </c>
      <c r="H353" s="73" t="s">
        <v>1573</v>
      </c>
      <c r="I353" s="73" t="s">
        <v>138</v>
      </c>
      <c r="J353" s="73" t="s">
        <v>106</v>
      </c>
      <c r="K353" s="73" t="s">
        <v>32</v>
      </c>
      <c r="L353" s="73" t="s">
        <v>33</v>
      </c>
      <c r="M353" s="73">
        <v>5</v>
      </c>
      <c r="N353" s="73">
        <v>2200</v>
      </c>
      <c r="O353" s="71">
        <v>0.15</v>
      </c>
      <c r="P353" s="73">
        <v>9350</v>
      </c>
      <c r="Q353" s="73">
        <v>1</v>
      </c>
      <c r="R353" s="73" t="s">
        <v>48</v>
      </c>
      <c r="S353" s="73" t="s">
        <v>115</v>
      </c>
      <c r="T353" s="70" t="s">
        <v>132</v>
      </c>
      <c r="U353" s="73">
        <v>9566149945</v>
      </c>
      <c r="V353" s="73" t="s">
        <v>64</v>
      </c>
      <c r="AQ353" s="87">
        <v>45856</v>
      </c>
    </row>
    <row r="354" spans="1:43" x14ac:dyDescent="0.5">
      <c r="A354" s="69" t="s">
        <v>1575</v>
      </c>
      <c r="B354" s="70" t="s">
        <v>83</v>
      </c>
      <c r="C354" s="70" t="s">
        <v>72</v>
      </c>
      <c r="D354" s="86">
        <v>46092</v>
      </c>
      <c r="E354" s="70" t="s">
        <v>1480</v>
      </c>
      <c r="F354" s="70" t="s">
        <v>180</v>
      </c>
      <c r="G354" s="70" t="s">
        <v>76</v>
      </c>
      <c r="H354" s="70" t="s">
        <v>1576</v>
      </c>
      <c r="I354" s="70" t="s">
        <v>138</v>
      </c>
      <c r="J354" s="70" t="s">
        <v>106</v>
      </c>
      <c r="K354" s="70" t="s">
        <v>46</v>
      </c>
      <c r="L354" s="70" t="s">
        <v>78</v>
      </c>
      <c r="M354" s="70">
        <v>15</v>
      </c>
      <c r="N354" s="70">
        <v>1200</v>
      </c>
      <c r="O354" s="71">
        <v>0</v>
      </c>
      <c r="P354" s="70">
        <v>18000</v>
      </c>
      <c r="Q354" s="70">
        <v>3</v>
      </c>
      <c r="R354" s="70" t="s">
        <v>48</v>
      </c>
      <c r="S354" s="70" t="s">
        <v>61</v>
      </c>
      <c r="T354" s="70" t="s">
        <v>89</v>
      </c>
      <c r="U354" s="70">
        <v>9935018068</v>
      </c>
      <c r="V354" s="70" t="s">
        <v>69</v>
      </c>
      <c r="AQ354" s="86">
        <v>46329</v>
      </c>
    </row>
    <row r="355" spans="1:43" x14ac:dyDescent="0.5">
      <c r="A355" s="72" t="s">
        <v>1578</v>
      </c>
      <c r="B355" s="73" t="s">
        <v>251</v>
      </c>
      <c r="C355" s="73" t="s">
        <v>72</v>
      </c>
      <c r="D355" s="87">
        <v>46120</v>
      </c>
      <c r="E355" s="73" t="s">
        <v>657</v>
      </c>
      <c r="F355" s="70" t="s">
        <v>254</v>
      </c>
      <c r="G355" s="73" t="s">
        <v>28</v>
      </c>
      <c r="H355" s="73" t="s">
        <v>1579</v>
      </c>
      <c r="I355" s="73" t="s">
        <v>105</v>
      </c>
      <c r="J355" s="73" t="s">
        <v>106</v>
      </c>
      <c r="K355" s="73" t="s">
        <v>46</v>
      </c>
      <c r="L355" s="73" t="s">
        <v>78</v>
      </c>
      <c r="M355" s="73">
        <v>19</v>
      </c>
      <c r="N355" s="73">
        <v>1200</v>
      </c>
      <c r="O355" s="71">
        <v>0</v>
      </c>
      <c r="P355" s="73">
        <v>22800</v>
      </c>
      <c r="Q355" s="73">
        <v>1</v>
      </c>
      <c r="R355" s="73" t="s">
        <v>34</v>
      </c>
      <c r="S355" s="73" t="s">
        <v>49</v>
      </c>
      <c r="T355" s="70" t="s">
        <v>256</v>
      </c>
      <c r="U355" s="73">
        <v>9171794652</v>
      </c>
      <c r="V355" s="73" t="s">
        <v>69</v>
      </c>
      <c r="AQ355" s="87">
        <v>46238</v>
      </c>
    </row>
    <row r="356" spans="1:43" x14ac:dyDescent="0.5">
      <c r="A356" s="69" t="s">
        <v>1581</v>
      </c>
      <c r="B356" s="70" t="s">
        <v>168</v>
      </c>
      <c r="C356" s="70" t="s">
        <v>40</v>
      </c>
      <c r="D356" s="86">
        <v>45918</v>
      </c>
      <c r="E356" s="70" t="s">
        <v>1582</v>
      </c>
      <c r="F356" s="70" t="s">
        <v>361</v>
      </c>
      <c r="G356" s="70" t="s">
        <v>28</v>
      </c>
      <c r="H356" s="70" t="s">
        <v>1583</v>
      </c>
      <c r="I356" s="70" t="s">
        <v>105</v>
      </c>
      <c r="J356" s="70" t="s">
        <v>106</v>
      </c>
      <c r="K356" s="70" t="s">
        <v>46</v>
      </c>
      <c r="L356" s="70" t="s">
        <v>47</v>
      </c>
      <c r="M356" s="70">
        <v>9</v>
      </c>
      <c r="N356" s="70">
        <v>12000</v>
      </c>
      <c r="O356" s="71">
        <v>0.15</v>
      </c>
      <c r="P356" s="70">
        <v>91800</v>
      </c>
      <c r="Q356" s="70">
        <v>3</v>
      </c>
      <c r="R356" s="70" t="s">
        <v>88</v>
      </c>
      <c r="S356" s="70" t="s">
        <v>49</v>
      </c>
      <c r="T356" s="70" t="s">
        <v>175</v>
      </c>
      <c r="U356" s="70">
        <v>9671497416</v>
      </c>
      <c r="V356" s="70" t="s">
        <v>69</v>
      </c>
      <c r="AQ356" s="86">
        <v>45918</v>
      </c>
    </row>
    <row r="357" spans="1:43" x14ac:dyDescent="0.5">
      <c r="A357" s="72" t="s">
        <v>1585</v>
      </c>
      <c r="B357" s="73" t="s">
        <v>23</v>
      </c>
      <c r="C357" s="73" t="s">
        <v>259</v>
      </c>
      <c r="D357" s="87">
        <v>45941</v>
      </c>
      <c r="E357" s="73" t="s">
        <v>793</v>
      </c>
      <c r="F357" s="70" t="s">
        <v>27</v>
      </c>
      <c r="G357" s="73" t="s">
        <v>28</v>
      </c>
      <c r="H357" s="73" t="s">
        <v>1586</v>
      </c>
      <c r="I357" s="73" t="s">
        <v>212</v>
      </c>
      <c r="J357" s="73" t="s">
        <v>45</v>
      </c>
      <c r="K357" s="73" t="s">
        <v>122</v>
      </c>
      <c r="L357" s="73" t="s">
        <v>263</v>
      </c>
      <c r="M357" s="73">
        <v>5</v>
      </c>
      <c r="N357" s="73">
        <v>45</v>
      </c>
      <c r="O357" s="71">
        <v>0.05</v>
      </c>
      <c r="P357" s="73">
        <v>213.75</v>
      </c>
      <c r="Q357" s="73">
        <v>1</v>
      </c>
      <c r="R357" s="73" t="s">
        <v>79</v>
      </c>
      <c r="S357" s="73" t="s">
        <v>115</v>
      </c>
      <c r="T357" s="70" t="s">
        <v>50</v>
      </c>
      <c r="U357" s="73">
        <v>9810433484</v>
      </c>
      <c r="V357" s="73" t="s">
        <v>38</v>
      </c>
      <c r="AQ357" s="87">
        <v>45971</v>
      </c>
    </row>
    <row r="358" spans="1:43" x14ac:dyDescent="0.5">
      <c r="A358" s="69" t="s">
        <v>1588</v>
      </c>
      <c r="B358" s="70" t="s">
        <v>251</v>
      </c>
      <c r="C358" s="70" t="s">
        <v>184</v>
      </c>
      <c r="D358" s="86" t="s">
        <v>2166</v>
      </c>
      <c r="E358" s="70" t="s">
        <v>1373</v>
      </c>
      <c r="F358" s="70" t="s">
        <v>254</v>
      </c>
      <c r="G358" s="70" t="s">
        <v>28</v>
      </c>
      <c r="H358" s="70" t="s">
        <v>1590</v>
      </c>
      <c r="I358" s="70" t="s">
        <v>105</v>
      </c>
      <c r="J358" s="70" t="s">
        <v>106</v>
      </c>
      <c r="K358" s="70" t="s">
        <v>46</v>
      </c>
      <c r="L358" s="70" t="s">
        <v>189</v>
      </c>
      <c r="M358" s="70">
        <v>3</v>
      </c>
      <c r="N358" s="70">
        <v>700</v>
      </c>
      <c r="O358" s="71">
        <v>0.15</v>
      </c>
      <c r="P358" s="70">
        <v>1785</v>
      </c>
      <c r="Q358" s="70">
        <v>4</v>
      </c>
      <c r="R358" s="70" t="s">
        <v>34</v>
      </c>
      <c r="S358" s="70" t="s">
        <v>151</v>
      </c>
      <c r="T358" s="70" t="s">
        <v>256</v>
      </c>
      <c r="U358" s="70">
        <v>9990243436</v>
      </c>
      <c r="V358" s="70" t="s">
        <v>38</v>
      </c>
      <c r="AQ358" s="86">
        <v>45658</v>
      </c>
    </row>
    <row r="359" spans="1:43" x14ac:dyDescent="0.5">
      <c r="A359" s="72" t="s">
        <v>1592</v>
      </c>
      <c r="B359" s="73" t="s">
        <v>71</v>
      </c>
      <c r="C359" s="73" t="s">
        <v>169</v>
      </c>
      <c r="D359" s="87">
        <v>46005</v>
      </c>
      <c r="E359" s="73" t="s">
        <v>961</v>
      </c>
      <c r="F359" s="70" t="s">
        <v>217</v>
      </c>
      <c r="G359" s="73" t="s">
        <v>76</v>
      </c>
      <c r="H359" s="73" t="s">
        <v>1593</v>
      </c>
      <c r="I359" s="73" t="s">
        <v>212</v>
      </c>
      <c r="J359" s="73" t="s">
        <v>45</v>
      </c>
      <c r="K359" s="73" t="s">
        <v>32</v>
      </c>
      <c r="L359" s="73" t="s">
        <v>174</v>
      </c>
      <c r="M359" s="73">
        <v>12</v>
      </c>
      <c r="N359" s="73">
        <v>8500</v>
      </c>
      <c r="O359" s="71">
        <v>0.05</v>
      </c>
      <c r="P359" s="73">
        <v>96900</v>
      </c>
      <c r="Q359" s="73">
        <v>3</v>
      </c>
      <c r="R359" s="73" t="s">
        <v>79</v>
      </c>
      <c r="S359" s="73" t="s">
        <v>61</v>
      </c>
      <c r="T359" s="70" t="s">
        <v>80</v>
      </c>
      <c r="U359" s="73">
        <v>9396678031</v>
      </c>
      <c r="V359" s="73" t="s">
        <v>64</v>
      </c>
      <c r="AQ359" s="87">
        <v>46005</v>
      </c>
    </row>
    <row r="360" spans="1:43" x14ac:dyDescent="0.5">
      <c r="A360" s="69" t="s">
        <v>1595</v>
      </c>
      <c r="B360" s="70" t="s">
        <v>251</v>
      </c>
      <c r="C360" s="70" t="s">
        <v>169</v>
      </c>
      <c r="D360" s="86">
        <v>46123</v>
      </c>
      <c r="E360" s="70" t="s">
        <v>356</v>
      </c>
      <c r="F360" s="70" t="s">
        <v>254</v>
      </c>
      <c r="G360" s="70" t="s">
        <v>28</v>
      </c>
      <c r="H360" s="70" t="s">
        <v>1596</v>
      </c>
      <c r="I360" s="70" t="s">
        <v>114</v>
      </c>
      <c r="J360" s="70" t="s">
        <v>106</v>
      </c>
      <c r="K360" s="70" t="s">
        <v>32</v>
      </c>
      <c r="L360" s="70" t="s">
        <v>174</v>
      </c>
      <c r="M360" s="70">
        <v>4</v>
      </c>
      <c r="N360" s="70">
        <v>8500</v>
      </c>
      <c r="O360" s="71">
        <v>0.15</v>
      </c>
      <c r="P360" s="70">
        <v>28900</v>
      </c>
      <c r="Q360" s="70">
        <v>4</v>
      </c>
      <c r="R360" s="70" t="s">
        <v>48</v>
      </c>
      <c r="S360" s="70" t="s">
        <v>61</v>
      </c>
      <c r="T360" s="70" t="s">
        <v>256</v>
      </c>
      <c r="U360" s="70">
        <v>9818591245</v>
      </c>
      <c r="V360" s="70" t="s">
        <v>64</v>
      </c>
      <c r="AQ360" s="86">
        <v>46330</v>
      </c>
    </row>
    <row r="361" spans="1:43" x14ac:dyDescent="0.5">
      <c r="A361" s="72" t="s">
        <v>1598</v>
      </c>
      <c r="B361" s="73" t="s">
        <v>127</v>
      </c>
      <c r="C361" s="73" t="s">
        <v>222</v>
      </c>
      <c r="D361" s="87">
        <v>45766</v>
      </c>
      <c r="E361" s="73" t="s">
        <v>953</v>
      </c>
      <c r="F361" s="70" t="s">
        <v>200</v>
      </c>
      <c r="G361" s="73" t="s">
        <v>76</v>
      </c>
      <c r="H361" s="73" t="s">
        <v>1599</v>
      </c>
      <c r="I361" s="73" t="s">
        <v>212</v>
      </c>
      <c r="J361" s="73" t="s">
        <v>45</v>
      </c>
      <c r="K361" s="73" t="s">
        <v>122</v>
      </c>
      <c r="L361" s="73" t="s">
        <v>227</v>
      </c>
      <c r="M361" s="73">
        <v>16</v>
      </c>
      <c r="N361" s="73">
        <v>20</v>
      </c>
      <c r="O361" s="71">
        <v>0.1</v>
      </c>
      <c r="P361" s="73">
        <v>288</v>
      </c>
      <c r="Q361" s="73">
        <v>4</v>
      </c>
      <c r="R361" s="73" t="s">
        <v>34</v>
      </c>
      <c r="S361" s="73" t="s">
        <v>115</v>
      </c>
      <c r="T361" s="70" t="s">
        <v>132</v>
      </c>
      <c r="U361" s="73">
        <v>9505550047</v>
      </c>
      <c r="V361" s="73" t="s">
        <v>69</v>
      </c>
      <c r="AQ361" s="87">
        <v>45766</v>
      </c>
    </row>
    <row r="362" spans="1:43" x14ac:dyDescent="0.5">
      <c r="A362" s="69" t="s">
        <v>1601</v>
      </c>
      <c r="B362" s="70" t="s">
        <v>127</v>
      </c>
      <c r="C362" s="70" t="s">
        <v>118</v>
      </c>
      <c r="D362" s="86">
        <v>46152</v>
      </c>
      <c r="E362" s="70" t="s">
        <v>1602</v>
      </c>
      <c r="F362" s="70" t="s">
        <v>200</v>
      </c>
      <c r="G362" s="70" t="s">
        <v>76</v>
      </c>
      <c r="H362" s="70" t="s">
        <v>1603</v>
      </c>
      <c r="I362" s="70" t="s">
        <v>105</v>
      </c>
      <c r="J362" s="70" t="s">
        <v>106</v>
      </c>
      <c r="K362" s="70" t="s">
        <v>122</v>
      </c>
      <c r="L362" s="70" t="s">
        <v>123</v>
      </c>
      <c r="M362" s="70">
        <v>3</v>
      </c>
      <c r="N362" s="70">
        <v>60</v>
      </c>
      <c r="O362" s="71">
        <v>0.2</v>
      </c>
      <c r="P362" s="70">
        <v>144</v>
      </c>
      <c r="Q362" s="70">
        <v>4</v>
      </c>
      <c r="R362" s="70" t="s">
        <v>88</v>
      </c>
      <c r="S362" s="70" t="s">
        <v>151</v>
      </c>
      <c r="T362" s="70" t="s">
        <v>132</v>
      </c>
      <c r="U362" s="70">
        <v>9469828772</v>
      </c>
      <c r="V362" s="70" t="s">
        <v>64</v>
      </c>
      <c r="AQ362" s="86">
        <v>46300</v>
      </c>
    </row>
    <row r="363" spans="1:43" x14ac:dyDescent="0.5">
      <c r="A363" s="72" t="s">
        <v>1605</v>
      </c>
      <c r="B363" s="73" t="s">
        <v>71</v>
      </c>
      <c r="C363" s="73" t="s">
        <v>24</v>
      </c>
      <c r="D363" s="87">
        <v>45858</v>
      </c>
      <c r="E363" s="73" t="s">
        <v>155</v>
      </c>
      <c r="F363" s="70" t="s">
        <v>217</v>
      </c>
      <c r="G363" s="73" t="s">
        <v>76</v>
      </c>
      <c r="H363" s="73" t="s">
        <v>1606</v>
      </c>
      <c r="I363" s="73" t="s">
        <v>105</v>
      </c>
      <c r="J363" s="73" t="s">
        <v>106</v>
      </c>
      <c r="K363" s="73" t="s">
        <v>32</v>
      </c>
      <c r="L363" s="73" t="s">
        <v>33</v>
      </c>
      <c r="M363" s="73">
        <v>19</v>
      </c>
      <c r="N363" s="73">
        <v>2200</v>
      </c>
      <c r="O363" s="71">
        <v>0.1</v>
      </c>
      <c r="P363" s="73">
        <v>37620</v>
      </c>
      <c r="Q363" s="73">
        <v>2</v>
      </c>
      <c r="R363" s="73" t="s">
        <v>34</v>
      </c>
      <c r="S363" s="73" t="s">
        <v>151</v>
      </c>
      <c r="T363" s="70" t="s">
        <v>80</v>
      </c>
      <c r="U363" s="73">
        <v>9885092680</v>
      </c>
      <c r="V363" s="73" t="s">
        <v>64</v>
      </c>
      <c r="AQ363" s="87">
        <v>45858</v>
      </c>
    </row>
    <row r="364" spans="1:43" x14ac:dyDescent="0.5">
      <c r="A364" s="69" t="s">
        <v>1608</v>
      </c>
      <c r="B364" s="70" t="s">
        <v>71</v>
      </c>
      <c r="C364" s="70" t="s">
        <v>72</v>
      </c>
      <c r="D364" s="86">
        <v>46045</v>
      </c>
      <c r="E364" s="70" t="s">
        <v>588</v>
      </c>
      <c r="F364" s="70" t="s">
        <v>217</v>
      </c>
      <c r="G364" s="70" t="s">
        <v>76</v>
      </c>
      <c r="H364" s="70" t="s">
        <v>1610</v>
      </c>
      <c r="I364" s="70" t="s">
        <v>30</v>
      </c>
      <c r="J364" s="70" t="s">
        <v>31</v>
      </c>
      <c r="K364" s="70" t="s">
        <v>46</v>
      </c>
      <c r="L364" s="70" t="s">
        <v>78</v>
      </c>
      <c r="M364" s="70">
        <v>7</v>
      </c>
      <c r="N364" s="70">
        <v>1200</v>
      </c>
      <c r="O364" s="71">
        <v>0.2</v>
      </c>
      <c r="P364" s="70">
        <v>6720</v>
      </c>
      <c r="Q364" s="70">
        <v>3</v>
      </c>
      <c r="R364" s="70" t="s">
        <v>79</v>
      </c>
      <c r="S364" s="70" t="s">
        <v>115</v>
      </c>
      <c r="T364" s="70" t="s">
        <v>80</v>
      </c>
      <c r="U364" s="70">
        <v>9362319457</v>
      </c>
      <c r="V364" s="70" t="s">
        <v>69</v>
      </c>
      <c r="AQ364" s="86">
        <v>46045</v>
      </c>
    </row>
    <row r="365" spans="1:43" x14ac:dyDescent="0.5">
      <c r="A365" s="72" t="s">
        <v>1612</v>
      </c>
      <c r="B365" s="73" t="s">
        <v>53</v>
      </c>
      <c r="C365" s="73" t="s">
        <v>222</v>
      </c>
      <c r="D365" s="87">
        <v>46097</v>
      </c>
      <c r="E365" s="73" t="s">
        <v>65</v>
      </c>
      <c r="F365" s="70" t="s">
        <v>163</v>
      </c>
      <c r="G365" s="73" t="s">
        <v>28</v>
      </c>
      <c r="H365" s="73" t="s">
        <v>1613</v>
      </c>
      <c r="I365" s="73" t="s">
        <v>59</v>
      </c>
      <c r="J365" s="73" t="s">
        <v>31</v>
      </c>
      <c r="K365" s="73" t="s">
        <v>122</v>
      </c>
      <c r="L365" s="73" t="s">
        <v>227</v>
      </c>
      <c r="M365" s="73">
        <v>20</v>
      </c>
      <c r="N365" s="73">
        <v>20</v>
      </c>
      <c r="O365" s="71">
        <v>0.2</v>
      </c>
      <c r="P365" s="73">
        <v>320</v>
      </c>
      <c r="Q365" s="73">
        <v>5</v>
      </c>
      <c r="R365" s="73" t="s">
        <v>79</v>
      </c>
      <c r="S365" s="73" t="s">
        <v>115</v>
      </c>
      <c r="T365" s="70" t="s">
        <v>62</v>
      </c>
      <c r="U365" s="73">
        <v>9223945130</v>
      </c>
      <c r="V365" s="73" t="s">
        <v>64</v>
      </c>
      <c r="AQ365" s="87">
        <v>46097</v>
      </c>
    </row>
    <row r="366" spans="1:43" x14ac:dyDescent="0.5">
      <c r="A366" s="69" t="s">
        <v>1615</v>
      </c>
      <c r="B366" s="70" t="s">
        <v>100</v>
      </c>
      <c r="C366" s="70" t="s">
        <v>72</v>
      </c>
      <c r="D366" s="86">
        <v>45777</v>
      </c>
      <c r="E366" s="70" t="s">
        <v>1616</v>
      </c>
      <c r="F366" s="70" t="s">
        <v>103</v>
      </c>
      <c r="G366" s="70" t="s">
        <v>28</v>
      </c>
      <c r="H366" s="70" t="s">
        <v>1617</v>
      </c>
      <c r="I366" s="70" t="s">
        <v>30</v>
      </c>
      <c r="J366" s="70" t="s">
        <v>31</v>
      </c>
      <c r="K366" s="70" t="s">
        <v>46</v>
      </c>
      <c r="L366" s="70" t="s">
        <v>78</v>
      </c>
      <c r="M366" s="70">
        <v>19</v>
      </c>
      <c r="N366" s="70">
        <v>1200</v>
      </c>
      <c r="O366" s="71">
        <v>0.05</v>
      </c>
      <c r="P366" s="70">
        <v>21660</v>
      </c>
      <c r="Q366" s="70">
        <v>3</v>
      </c>
      <c r="R366" s="70" t="s">
        <v>79</v>
      </c>
      <c r="S366" s="70" t="s">
        <v>35</v>
      </c>
      <c r="T366" s="70" t="s">
        <v>144</v>
      </c>
      <c r="U366" s="70">
        <v>9910804926</v>
      </c>
      <c r="V366" s="70" t="s">
        <v>64</v>
      </c>
      <c r="AQ366" s="86">
        <v>45777</v>
      </c>
    </row>
    <row r="367" spans="1:43" x14ac:dyDescent="0.5">
      <c r="A367" s="72" t="s">
        <v>1619</v>
      </c>
      <c r="B367" s="73" t="s">
        <v>53</v>
      </c>
      <c r="C367" s="73" t="s">
        <v>222</v>
      </c>
      <c r="D367" s="87">
        <v>45691</v>
      </c>
      <c r="E367" s="73" t="s">
        <v>302</v>
      </c>
      <c r="F367" s="70" t="s">
        <v>163</v>
      </c>
      <c r="G367" s="73" t="s">
        <v>28</v>
      </c>
      <c r="H367" s="73" t="s">
        <v>1621</v>
      </c>
      <c r="I367" s="73" t="s">
        <v>30</v>
      </c>
      <c r="J367" s="73" t="s">
        <v>31</v>
      </c>
      <c r="K367" s="73" t="s">
        <v>122</v>
      </c>
      <c r="L367" s="73" t="s">
        <v>227</v>
      </c>
      <c r="M367" s="73">
        <v>5</v>
      </c>
      <c r="N367" s="73">
        <v>20</v>
      </c>
      <c r="O367" s="71">
        <v>0</v>
      </c>
      <c r="P367" s="73">
        <v>100</v>
      </c>
      <c r="Q367" s="73">
        <v>2</v>
      </c>
      <c r="R367" s="73" t="s">
        <v>88</v>
      </c>
      <c r="S367" s="73" t="s">
        <v>49</v>
      </c>
      <c r="T367" s="70" t="s">
        <v>62</v>
      </c>
      <c r="U367" s="73">
        <v>9274269744</v>
      </c>
      <c r="V367" s="73" t="s">
        <v>64</v>
      </c>
      <c r="AQ367" s="87">
        <v>45718</v>
      </c>
    </row>
    <row r="368" spans="1:43" x14ac:dyDescent="0.5">
      <c r="A368" s="69" t="s">
        <v>1623</v>
      </c>
      <c r="B368" s="70" t="s">
        <v>100</v>
      </c>
      <c r="C368" s="70" t="s">
        <v>259</v>
      </c>
      <c r="D368" s="86">
        <v>46088</v>
      </c>
      <c r="E368" s="70" t="s">
        <v>543</v>
      </c>
      <c r="F368" s="70" t="s">
        <v>103</v>
      </c>
      <c r="G368" s="70" t="s">
        <v>28</v>
      </c>
      <c r="H368" s="70" t="s">
        <v>1624</v>
      </c>
      <c r="I368" s="70" t="s">
        <v>212</v>
      </c>
      <c r="J368" s="70" t="s">
        <v>45</v>
      </c>
      <c r="K368" s="70" t="s">
        <v>122</v>
      </c>
      <c r="L368" s="70" t="s">
        <v>263</v>
      </c>
      <c r="M368" s="70">
        <v>16</v>
      </c>
      <c r="N368" s="70">
        <v>45</v>
      </c>
      <c r="O368" s="71">
        <v>0.15</v>
      </c>
      <c r="P368" s="70">
        <v>612</v>
      </c>
      <c r="Q368" s="70">
        <v>5</v>
      </c>
      <c r="R368" s="70" t="s">
        <v>34</v>
      </c>
      <c r="S368" s="70" t="s">
        <v>61</v>
      </c>
      <c r="T368" s="70" t="s">
        <v>144</v>
      </c>
      <c r="U368" s="70">
        <v>9223196101</v>
      </c>
      <c r="V368" s="70" t="s">
        <v>69</v>
      </c>
      <c r="AQ368" s="86">
        <v>46206</v>
      </c>
    </row>
    <row r="369" spans="1:43" x14ac:dyDescent="0.5">
      <c r="A369" s="72" t="s">
        <v>1626</v>
      </c>
      <c r="B369" s="73" t="s">
        <v>23</v>
      </c>
      <c r="C369" s="73" t="s">
        <v>24</v>
      </c>
      <c r="D369" s="87">
        <v>45780</v>
      </c>
      <c r="E369" s="73" t="s">
        <v>944</v>
      </c>
      <c r="F369" s="70" t="s">
        <v>27</v>
      </c>
      <c r="G369" s="73" t="s">
        <v>28</v>
      </c>
      <c r="H369" s="73" t="s">
        <v>1627</v>
      </c>
      <c r="I369" s="73" t="s">
        <v>212</v>
      </c>
      <c r="J369" s="73" t="s">
        <v>45</v>
      </c>
      <c r="K369" s="73" t="s">
        <v>32</v>
      </c>
      <c r="L369" s="73" t="s">
        <v>33</v>
      </c>
      <c r="M369" s="73">
        <v>1</v>
      </c>
      <c r="N369" s="73">
        <v>2200</v>
      </c>
      <c r="O369" s="71">
        <v>0.1</v>
      </c>
      <c r="P369" s="73">
        <v>1980</v>
      </c>
      <c r="Q369" s="73">
        <v>5</v>
      </c>
      <c r="R369" s="73" t="s">
        <v>79</v>
      </c>
      <c r="S369" s="73" t="s">
        <v>49</v>
      </c>
      <c r="T369" s="70" t="s">
        <v>50</v>
      </c>
      <c r="U369" s="73">
        <v>9888477457</v>
      </c>
      <c r="V369" s="73" t="s">
        <v>38</v>
      </c>
      <c r="AQ369" s="87">
        <v>45721</v>
      </c>
    </row>
    <row r="370" spans="1:43" x14ac:dyDescent="0.5">
      <c r="A370" s="69" t="s">
        <v>1629</v>
      </c>
      <c r="B370" s="70" t="s">
        <v>53</v>
      </c>
      <c r="C370" s="70" t="s">
        <v>118</v>
      </c>
      <c r="D370" s="86">
        <v>46113</v>
      </c>
      <c r="E370" s="70" t="s">
        <v>1630</v>
      </c>
      <c r="F370" s="70" t="s">
        <v>163</v>
      </c>
      <c r="G370" s="70" t="s">
        <v>28</v>
      </c>
      <c r="H370" s="70" t="s">
        <v>1631</v>
      </c>
      <c r="I370" s="70" t="s">
        <v>30</v>
      </c>
      <c r="J370" s="70" t="s">
        <v>31</v>
      </c>
      <c r="K370" s="70" t="s">
        <v>122</v>
      </c>
      <c r="L370" s="70" t="s">
        <v>123</v>
      </c>
      <c r="M370" s="70">
        <v>19</v>
      </c>
      <c r="N370" s="70">
        <v>60</v>
      </c>
      <c r="O370" s="71">
        <v>0.15</v>
      </c>
      <c r="P370" s="70">
        <v>969</v>
      </c>
      <c r="Q370" s="70">
        <v>4</v>
      </c>
      <c r="R370" s="70" t="s">
        <v>48</v>
      </c>
      <c r="S370" s="70" t="s">
        <v>115</v>
      </c>
      <c r="T370" s="70" t="s">
        <v>62</v>
      </c>
      <c r="U370" s="70">
        <v>9435947486</v>
      </c>
      <c r="V370" s="70" t="s">
        <v>69</v>
      </c>
      <c r="AQ370" s="86">
        <v>46026</v>
      </c>
    </row>
    <row r="371" spans="1:43" x14ac:dyDescent="0.5">
      <c r="A371" s="72" t="s">
        <v>1633</v>
      </c>
      <c r="B371" s="73" t="s">
        <v>327</v>
      </c>
      <c r="C371" s="73" t="s">
        <v>54</v>
      </c>
      <c r="D371" s="87" t="s">
        <v>2166</v>
      </c>
      <c r="E371" s="73" t="s">
        <v>1634</v>
      </c>
      <c r="F371" s="70" t="s">
        <v>394</v>
      </c>
      <c r="G371" s="73" t="s">
        <v>76</v>
      </c>
      <c r="H371" s="73" t="s">
        <v>1635</v>
      </c>
      <c r="I371" s="73" t="s">
        <v>44</v>
      </c>
      <c r="J371" s="73" t="s">
        <v>45</v>
      </c>
      <c r="K371" s="73" t="s">
        <v>46</v>
      </c>
      <c r="L371" s="73" t="s">
        <v>60</v>
      </c>
      <c r="M371" s="73">
        <v>15</v>
      </c>
      <c r="N371" s="73">
        <v>55000</v>
      </c>
      <c r="O371" s="71">
        <v>0</v>
      </c>
      <c r="P371" s="73">
        <v>825000</v>
      </c>
      <c r="Q371" s="73">
        <v>5</v>
      </c>
      <c r="R371" s="73" t="s">
        <v>79</v>
      </c>
      <c r="S371" s="73" t="s">
        <v>115</v>
      </c>
      <c r="T371" s="70" t="s">
        <v>332</v>
      </c>
      <c r="U371" s="73">
        <v>9411668831</v>
      </c>
      <c r="V371" s="73" t="s">
        <v>69</v>
      </c>
      <c r="AQ371" s="87">
        <v>45658</v>
      </c>
    </row>
    <row r="372" spans="1:43" x14ac:dyDescent="0.5">
      <c r="A372" s="69" t="s">
        <v>1637</v>
      </c>
      <c r="B372" s="70" t="s">
        <v>71</v>
      </c>
      <c r="C372" s="70" t="s">
        <v>259</v>
      </c>
      <c r="D372" s="86">
        <v>45936</v>
      </c>
      <c r="E372" s="70" t="s">
        <v>1638</v>
      </c>
      <c r="F372" s="70" t="s">
        <v>217</v>
      </c>
      <c r="G372" s="70" t="s">
        <v>76</v>
      </c>
      <c r="H372" s="70" t="s">
        <v>1639</v>
      </c>
      <c r="I372" s="70" t="s">
        <v>59</v>
      </c>
      <c r="J372" s="70" t="s">
        <v>31</v>
      </c>
      <c r="K372" s="70" t="s">
        <v>122</v>
      </c>
      <c r="L372" s="70" t="s">
        <v>263</v>
      </c>
      <c r="M372" s="70">
        <v>11</v>
      </c>
      <c r="N372" s="70">
        <v>45</v>
      </c>
      <c r="O372" s="71">
        <v>0.05</v>
      </c>
      <c r="P372" s="70">
        <v>470.25</v>
      </c>
      <c r="Q372" s="70">
        <v>5</v>
      </c>
      <c r="R372" s="70" t="s">
        <v>48</v>
      </c>
      <c r="S372" s="70" t="s">
        <v>151</v>
      </c>
      <c r="T372" s="70" t="s">
        <v>80</v>
      </c>
      <c r="U372" s="70">
        <v>9523682403</v>
      </c>
      <c r="V372" s="70" t="s">
        <v>38</v>
      </c>
      <c r="AQ372" s="86">
        <v>45818</v>
      </c>
    </row>
    <row r="373" spans="1:43" x14ac:dyDescent="0.5">
      <c r="A373" s="72" t="s">
        <v>1641</v>
      </c>
      <c r="B373" s="73" t="s">
        <v>251</v>
      </c>
      <c r="C373" s="73" t="s">
        <v>222</v>
      </c>
      <c r="D373" s="87">
        <v>45820</v>
      </c>
      <c r="E373" s="73" t="s">
        <v>1643</v>
      </c>
      <c r="F373" s="70" t="s">
        <v>254</v>
      </c>
      <c r="G373" s="73" t="s">
        <v>28</v>
      </c>
      <c r="H373" s="73" t="s">
        <v>1644</v>
      </c>
      <c r="I373" s="73" t="s">
        <v>212</v>
      </c>
      <c r="J373" s="73" t="s">
        <v>45</v>
      </c>
      <c r="K373" s="73" t="s">
        <v>122</v>
      </c>
      <c r="L373" s="73" t="s">
        <v>227</v>
      </c>
      <c r="M373" s="73">
        <v>9</v>
      </c>
      <c r="N373" s="73">
        <v>20</v>
      </c>
      <c r="O373" s="71">
        <v>0.1</v>
      </c>
      <c r="P373" s="73">
        <v>162</v>
      </c>
      <c r="Q373" s="73">
        <v>1</v>
      </c>
      <c r="R373" s="73" t="s">
        <v>79</v>
      </c>
      <c r="S373" s="73" t="s">
        <v>49</v>
      </c>
      <c r="T373" s="70" t="s">
        <v>256</v>
      </c>
      <c r="U373" s="73">
        <v>9652936744</v>
      </c>
      <c r="V373" s="73" t="s">
        <v>69</v>
      </c>
      <c r="AQ373" s="87">
        <v>45997</v>
      </c>
    </row>
    <row r="374" spans="1:43" x14ac:dyDescent="0.5">
      <c r="A374" s="69" t="s">
        <v>1646</v>
      </c>
      <c r="B374" s="70" t="s">
        <v>168</v>
      </c>
      <c r="C374" s="70" t="s">
        <v>259</v>
      </c>
      <c r="D374" s="86">
        <v>45979</v>
      </c>
      <c r="E374" s="70" t="s">
        <v>980</v>
      </c>
      <c r="F374" s="70" t="s">
        <v>361</v>
      </c>
      <c r="G374" s="70" t="s">
        <v>28</v>
      </c>
      <c r="H374" s="70" t="s">
        <v>1647</v>
      </c>
      <c r="I374" s="70" t="s">
        <v>59</v>
      </c>
      <c r="J374" s="70" t="s">
        <v>31</v>
      </c>
      <c r="K374" s="70" t="s">
        <v>122</v>
      </c>
      <c r="L374" s="70" t="s">
        <v>263</v>
      </c>
      <c r="M374" s="70">
        <v>5</v>
      </c>
      <c r="N374" s="70">
        <v>45</v>
      </c>
      <c r="O374" s="71">
        <v>0.05</v>
      </c>
      <c r="P374" s="70">
        <v>213.75</v>
      </c>
      <c r="Q374" s="70">
        <v>3</v>
      </c>
      <c r="R374" s="70" t="s">
        <v>79</v>
      </c>
      <c r="S374" s="70" t="s">
        <v>115</v>
      </c>
      <c r="T374" s="70" t="s">
        <v>175</v>
      </c>
      <c r="U374" s="70">
        <v>9726464733</v>
      </c>
      <c r="V374" s="70" t="s">
        <v>64</v>
      </c>
      <c r="AQ374" s="86">
        <v>45979</v>
      </c>
    </row>
    <row r="375" spans="1:43" x14ac:dyDescent="0.5">
      <c r="A375" s="72" t="s">
        <v>1649</v>
      </c>
      <c r="B375" s="73" t="s">
        <v>83</v>
      </c>
      <c r="C375" s="73" t="s">
        <v>184</v>
      </c>
      <c r="D375" s="87">
        <v>45962</v>
      </c>
      <c r="E375" s="73" t="s">
        <v>1102</v>
      </c>
      <c r="F375" s="70" t="s">
        <v>180</v>
      </c>
      <c r="G375" s="73" t="s">
        <v>76</v>
      </c>
      <c r="H375" s="73" t="s">
        <v>1651</v>
      </c>
      <c r="I375" s="73" t="s">
        <v>30</v>
      </c>
      <c r="J375" s="73" t="s">
        <v>31</v>
      </c>
      <c r="K375" s="73" t="s">
        <v>46</v>
      </c>
      <c r="L375" s="73" t="s">
        <v>189</v>
      </c>
      <c r="M375" s="73">
        <v>5</v>
      </c>
      <c r="N375" s="73">
        <v>700</v>
      </c>
      <c r="O375" s="71">
        <v>0.1</v>
      </c>
      <c r="P375" s="73">
        <v>3150</v>
      </c>
      <c r="Q375" s="73">
        <v>2</v>
      </c>
      <c r="R375" s="73" t="s">
        <v>88</v>
      </c>
      <c r="S375" s="73" t="s">
        <v>49</v>
      </c>
      <c r="T375" s="70" t="s">
        <v>89</v>
      </c>
      <c r="U375" s="73">
        <v>9273520544</v>
      </c>
      <c r="V375" s="73" t="s">
        <v>38</v>
      </c>
      <c r="AQ375" s="87">
        <v>45668</v>
      </c>
    </row>
    <row r="376" spans="1:43" x14ac:dyDescent="0.5">
      <c r="A376" s="69" t="s">
        <v>1653</v>
      </c>
      <c r="B376" s="70" t="s">
        <v>221</v>
      </c>
      <c r="C376" s="70" t="s">
        <v>184</v>
      </c>
      <c r="D376" s="86">
        <v>45681</v>
      </c>
      <c r="E376" s="70" t="s">
        <v>1654</v>
      </c>
      <c r="F376" s="70" t="s">
        <v>225</v>
      </c>
      <c r="G376" s="70" t="s">
        <v>76</v>
      </c>
      <c r="H376" s="70" t="s">
        <v>1655</v>
      </c>
      <c r="I376" s="70" t="s">
        <v>294</v>
      </c>
      <c r="J376" s="70" t="s">
        <v>295</v>
      </c>
      <c r="K376" s="70" t="s">
        <v>46</v>
      </c>
      <c r="L376" s="70" t="s">
        <v>189</v>
      </c>
      <c r="M376" s="70">
        <v>1</v>
      </c>
      <c r="N376" s="70">
        <v>700</v>
      </c>
      <c r="O376" s="71">
        <v>0</v>
      </c>
      <c r="P376" s="70">
        <v>700</v>
      </c>
      <c r="Q376" s="70">
        <v>1</v>
      </c>
      <c r="R376" s="70" t="s">
        <v>88</v>
      </c>
      <c r="S376" s="70" t="s">
        <v>151</v>
      </c>
      <c r="T376" s="70" t="s">
        <v>228</v>
      </c>
      <c r="U376" s="70">
        <v>9374259988</v>
      </c>
      <c r="V376" s="70" t="s">
        <v>38</v>
      </c>
      <c r="AQ376" s="86">
        <v>45681</v>
      </c>
    </row>
    <row r="377" spans="1:43" x14ac:dyDescent="0.5">
      <c r="A377" s="72" t="s">
        <v>1657</v>
      </c>
      <c r="B377" s="73" t="s">
        <v>23</v>
      </c>
      <c r="C377" s="73" t="s">
        <v>184</v>
      </c>
      <c r="D377" s="87">
        <v>46066</v>
      </c>
      <c r="E377" s="73" t="s">
        <v>923</v>
      </c>
      <c r="F377" s="70" t="s">
        <v>27</v>
      </c>
      <c r="G377" s="73" t="s">
        <v>28</v>
      </c>
      <c r="H377" s="73" t="s">
        <v>1658</v>
      </c>
      <c r="I377" s="73" t="s">
        <v>105</v>
      </c>
      <c r="J377" s="73" t="s">
        <v>106</v>
      </c>
      <c r="K377" s="73" t="s">
        <v>46</v>
      </c>
      <c r="L377" s="73" t="s">
        <v>189</v>
      </c>
      <c r="M377" s="73">
        <v>13</v>
      </c>
      <c r="N377" s="73">
        <v>700</v>
      </c>
      <c r="O377" s="71">
        <v>0.2</v>
      </c>
      <c r="P377" s="73">
        <v>7280</v>
      </c>
      <c r="Q377" s="73">
        <v>2</v>
      </c>
      <c r="R377" s="73" t="s">
        <v>79</v>
      </c>
      <c r="S377" s="73" t="s">
        <v>35</v>
      </c>
      <c r="T377" s="70" t="s">
        <v>50</v>
      </c>
      <c r="U377" s="73">
        <v>9538129419</v>
      </c>
      <c r="V377" s="73" t="s">
        <v>38</v>
      </c>
      <c r="AQ377" s="87">
        <v>46066</v>
      </c>
    </row>
    <row r="378" spans="1:43" x14ac:dyDescent="0.5">
      <c r="A378" s="69" t="s">
        <v>1660</v>
      </c>
      <c r="B378" s="70" t="s">
        <v>71</v>
      </c>
      <c r="C378" s="70" t="s">
        <v>40</v>
      </c>
      <c r="D378" s="86">
        <v>45696</v>
      </c>
      <c r="E378" s="70" t="s">
        <v>303</v>
      </c>
      <c r="F378" s="70" t="s">
        <v>217</v>
      </c>
      <c r="G378" s="70" t="s">
        <v>76</v>
      </c>
      <c r="H378" s="70" t="s">
        <v>1661</v>
      </c>
      <c r="I378" s="70" t="s">
        <v>114</v>
      </c>
      <c r="J378" s="70" t="s">
        <v>106</v>
      </c>
      <c r="K378" s="70" t="s">
        <v>46</v>
      </c>
      <c r="L378" s="70" t="s">
        <v>47</v>
      </c>
      <c r="M378" s="70">
        <v>20</v>
      </c>
      <c r="N378" s="70">
        <v>12000</v>
      </c>
      <c r="O378" s="71">
        <v>0</v>
      </c>
      <c r="P378" s="70">
        <v>240000</v>
      </c>
      <c r="Q378" s="70">
        <v>2</v>
      </c>
      <c r="R378" s="70" t="s">
        <v>79</v>
      </c>
      <c r="S378" s="70" t="s">
        <v>115</v>
      </c>
      <c r="T378" s="70" t="s">
        <v>80</v>
      </c>
      <c r="U378" s="70">
        <v>9382815686</v>
      </c>
      <c r="V378" s="70" t="s">
        <v>38</v>
      </c>
      <c r="AQ378" s="86">
        <v>45871</v>
      </c>
    </row>
    <row r="379" spans="1:43" x14ac:dyDescent="0.5">
      <c r="A379" s="72" t="s">
        <v>1663</v>
      </c>
      <c r="B379" s="73" t="s">
        <v>83</v>
      </c>
      <c r="C379" s="73" t="s">
        <v>72</v>
      </c>
      <c r="D379" s="87">
        <v>46019</v>
      </c>
      <c r="E379" s="73" t="s">
        <v>712</v>
      </c>
      <c r="F379" s="70" t="s">
        <v>180</v>
      </c>
      <c r="G379" s="73" t="s">
        <v>76</v>
      </c>
      <c r="H379" s="73" t="s">
        <v>1664</v>
      </c>
      <c r="I379" s="73" t="s">
        <v>294</v>
      </c>
      <c r="J379" s="73" t="s">
        <v>295</v>
      </c>
      <c r="K379" s="73" t="s">
        <v>46</v>
      </c>
      <c r="L379" s="73" t="s">
        <v>78</v>
      </c>
      <c r="M379" s="73">
        <v>9</v>
      </c>
      <c r="N379" s="73">
        <v>1200</v>
      </c>
      <c r="O379" s="71">
        <v>0.15</v>
      </c>
      <c r="P379" s="73">
        <v>9180</v>
      </c>
      <c r="Q379" s="73">
        <v>1</v>
      </c>
      <c r="R379" s="73" t="s">
        <v>88</v>
      </c>
      <c r="S379" s="73" t="s">
        <v>35</v>
      </c>
      <c r="T379" s="70" t="s">
        <v>89</v>
      </c>
      <c r="U379" s="73">
        <v>9450746157</v>
      </c>
      <c r="V379" s="73" t="s">
        <v>64</v>
      </c>
      <c r="AQ379" s="87">
        <v>46019</v>
      </c>
    </row>
    <row r="380" spans="1:43" x14ac:dyDescent="0.5">
      <c r="A380" s="69" t="s">
        <v>1666</v>
      </c>
      <c r="B380" s="70" t="s">
        <v>83</v>
      </c>
      <c r="C380" s="70" t="s">
        <v>222</v>
      </c>
      <c r="D380" s="86">
        <v>45931</v>
      </c>
      <c r="E380" s="70" t="s">
        <v>1667</v>
      </c>
      <c r="F380" s="70" t="s">
        <v>180</v>
      </c>
      <c r="G380" s="70" t="s">
        <v>76</v>
      </c>
      <c r="H380" s="70" t="s">
        <v>1668</v>
      </c>
      <c r="I380" s="70" t="s">
        <v>212</v>
      </c>
      <c r="J380" s="70" t="s">
        <v>45</v>
      </c>
      <c r="K380" s="70" t="s">
        <v>122</v>
      </c>
      <c r="L380" s="70" t="s">
        <v>227</v>
      </c>
      <c r="M380" s="70">
        <v>3</v>
      </c>
      <c r="N380" s="70">
        <v>20</v>
      </c>
      <c r="O380" s="71">
        <v>0.15</v>
      </c>
      <c r="P380" s="70">
        <v>51</v>
      </c>
      <c r="Q380" s="70">
        <v>3</v>
      </c>
      <c r="R380" s="70" t="s">
        <v>34</v>
      </c>
      <c r="S380" s="70" t="s">
        <v>115</v>
      </c>
      <c r="T380" s="70" t="s">
        <v>89</v>
      </c>
      <c r="U380" s="70">
        <v>9349012570</v>
      </c>
      <c r="V380" s="70" t="s">
        <v>64</v>
      </c>
      <c r="AQ380" s="86">
        <v>45667</v>
      </c>
    </row>
    <row r="381" spans="1:43" x14ac:dyDescent="0.5">
      <c r="A381" s="72" t="s">
        <v>1670</v>
      </c>
      <c r="B381" s="73" t="s">
        <v>251</v>
      </c>
      <c r="C381" s="73" t="s">
        <v>54</v>
      </c>
      <c r="D381" s="87">
        <v>46009</v>
      </c>
      <c r="E381" s="73" t="s">
        <v>455</v>
      </c>
      <c r="F381" s="70" t="s">
        <v>254</v>
      </c>
      <c r="G381" s="73" t="s">
        <v>28</v>
      </c>
      <c r="H381" s="73" t="s">
        <v>1671</v>
      </c>
      <c r="I381" s="73" t="s">
        <v>44</v>
      </c>
      <c r="J381" s="73" t="s">
        <v>45</v>
      </c>
      <c r="K381" s="73" t="s">
        <v>46</v>
      </c>
      <c r="L381" s="73" t="s">
        <v>60</v>
      </c>
      <c r="M381" s="73">
        <v>8</v>
      </c>
      <c r="N381" s="73">
        <v>55000</v>
      </c>
      <c r="O381" s="71">
        <v>0.2</v>
      </c>
      <c r="P381" s="73">
        <v>352000</v>
      </c>
      <c r="Q381" s="73">
        <v>5</v>
      </c>
      <c r="R381" s="73" t="s">
        <v>79</v>
      </c>
      <c r="S381" s="73" t="s">
        <v>151</v>
      </c>
      <c r="T381" s="70" t="s">
        <v>256</v>
      </c>
      <c r="U381" s="73">
        <v>9442163790</v>
      </c>
      <c r="V381" s="73" t="s">
        <v>64</v>
      </c>
      <c r="AQ381" s="87">
        <v>46009</v>
      </c>
    </row>
    <row r="382" spans="1:43" x14ac:dyDescent="0.5">
      <c r="A382" s="69" t="s">
        <v>1673</v>
      </c>
      <c r="B382" s="70" t="s">
        <v>251</v>
      </c>
      <c r="C382" s="70" t="s">
        <v>118</v>
      </c>
      <c r="D382" s="86">
        <v>45929</v>
      </c>
      <c r="E382" s="70" t="s">
        <v>74</v>
      </c>
      <c r="F382" s="70" t="s">
        <v>254</v>
      </c>
      <c r="G382" s="70" t="s">
        <v>28</v>
      </c>
      <c r="H382" s="70" t="s">
        <v>1674</v>
      </c>
      <c r="I382" s="70" t="s">
        <v>44</v>
      </c>
      <c r="J382" s="70" t="s">
        <v>45</v>
      </c>
      <c r="K382" s="70" t="s">
        <v>122</v>
      </c>
      <c r="L382" s="70" t="s">
        <v>123</v>
      </c>
      <c r="M382" s="70">
        <v>17</v>
      </c>
      <c r="N382" s="70">
        <v>60</v>
      </c>
      <c r="O382" s="71">
        <v>0.2</v>
      </c>
      <c r="P382" s="70">
        <v>816</v>
      </c>
      <c r="Q382" s="70">
        <v>1</v>
      </c>
      <c r="R382" s="70" t="s">
        <v>88</v>
      </c>
      <c r="S382" s="70" t="s">
        <v>35</v>
      </c>
      <c r="T382" s="70" t="s">
        <v>256</v>
      </c>
      <c r="U382" s="70">
        <v>9953329223</v>
      </c>
      <c r="V382" s="70" t="s">
        <v>64</v>
      </c>
      <c r="AQ382" s="86">
        <v>45929</v>
      </c>
    </row>
    <row r="383" spans="1:43" x14ac:dyDescent="0.5">
      <c r="A383" s="72" t="s">
        <v>1676</v>
      </c>
      <c r="B383" s="73" t="s">
        <v>127</v>
      </c>
      <c r="C383" s="73" t="s">
        <v>222</v>
      </c>
      <c r="D383" s="87">
        <v>45791</v>
      </c>
      <c r="E383" s="73" t="s">
        <v>236</v>
      </c>
      <c r="F383" s="70" t="s">
        <v>200</v>
      </c>
      <c r="G383" s="73" t="s">
        <v>76</v>
      </c>
      <c r="H383" s="73" t="s">
        <v>1678</v>
      </c>
      <c r="I383" s="73" t="s">
        <v>59</v>
      </c>
      <c r="J383" s="73" t="s">
        <v>31</v>
      </c>
      <c r="K383" s="73" t="s">
        <v>122</v>
      </c>
      <c r="L383" s="73" t="s">
        <v>227</v>
      </c>
      <c r="M383" s="73">
        <v>4</v>
      </c>
      <c r="N383" s="73">
        <v>20</v>
      </c>
      <c r="O383" s="71">
        <v>0.15</v>
      </c>
      <c r="P383" s="73">
        <v>68</v>
      </c>
      <c r="Q383" s="73">
        <v>3</v>
      </c>
      <c r="R383" s="73" t="s">
        <v>48</v>
      </c>
      <c r="S383" s="73" t="s">
        <v>61</v>
      </c>
      <c r="T383" s="70" t="s">
        <v>132</v>
      </c>
      <c r="U383" s="73">
        <v>9202321359</v>
      </c>
      <c r="V383" s="73" t="s">
        <v>64</v>
      </c>
      <c r="AQ383" s="87">
        <v>45791</v>
      </c>
    </row>
    <row r="384" spans="1:43" x14ac:dyDescent="0.5">
      <c r="A384" s="69" t="s">
        <v>1680</v>
      </c>
      <c r="B384" s="70" t="s">
        <v>127</v>
      </c>
      <c r="C384" s="70" t="s">
        <v>24</v>
      </c>
      <c r="D384" s="86">
        <v>45748</v>
      </c>
      <c r="E384" s="70" t="s">
        <v>775</v>
      </c>
      <c r="F384" s="70" t="s">
        <v>200</v>
      </c>
      <c r="G384" s="70" t="s">
        <v>76</v>
      </c>
      <c r="H384" s="70" t="s">
        <v>1682</v>
      </c>
      <c r="I384" s="70" t="s">
        <v>294</v>
      </c>
      <c r="J384" s="70" t="s">
        <v>295</v>
      </c>
      <c r="K384" s="70" t="s">
        <v>32</v>
      </c>
      <c r="L384" s="70" t="s">
        <v>33</v>
      </c>
      <c r="M384" s="70">
        <v>2</v>
      </c>
      <c r="N384" s="70">
        <v>2200</v>
      </c>
      <c r="O384" s="71">
        <v>0.1</v>
      </c>
      <c r="P384" s="70">
        <v>3960</v>
      </c>
      <c r="Q384" s="70">
        <v>2</v>
      </c>
      <c r="R384" s="70" t="s">
        <v>88</v>
      </c>
      <c r="S384" s="70" t="s">
        <v>49</v>
      </c>
      <c r="T384" s="70" t="s">
        <v>132</v>
      </c>
      <c r="U384" s="70">
        <v>9812564160</v>
      </c>
      <c r="V384" s="70" t="s">
        <v>64</v>
      </c>
      <c r="AQ384" s="86">
        <v>45661</v>
      </c>
    </row>
    <row r="385" spans="1:43" x14ac:dyDescent="0.5">
      <c r="A385" s="72" t="s">
        <v>1684</v>
      </c>
      <c r="B385" s="73" t="s">
        <v>221</v>
      </c>
      <c r="C385" s="73" t="s">
        <v>118</v>
      </c>
      <c r="D385" s="87">
        <v>45754</v>
      </c>
      <c r="E385" s="73" t="s">
        <v>539</v>
      </c>
      <c r="F385" s="70" t="s">
        <v>225</v>
      </c>
      <c r="G385" s="73" t="s">
        <v>76</v>
      </c>
      <c r="H385" s="73" t="s">
        <v>1685</v>
      </c>
      <c r="I385" s="73" t="s">
        <v>59</v>
      </c>
      <c r="J385" s="73" t="s">
        <v>31</v>
      </c>
      <c r="K385" s="73" t="s">
        <v>122</v>
      </c>
      <c r="L385" s="73" t="s">
        <v>123</v>
      </c>
      <c r="M385" s="73">
        <v>5</v>
      </c>
      <c r="N385" s="73">
        <v>60</v>
      </c>
      <c r="O385" s="71">
        <v>0.05</v>
      </c>
      <c r="P385" s="73">
        <v>285</v>
      </c>
      <c r="Q385" s="73">
        <v>1</v>
      </c>
      <c r="R385" s="73" t="s">
        <v>88</v>
      </c>
      <c r="S385" s="73" t="s">
        <v>35</v>
      </c>
      <c r="T385" s="70" t="s">
        <v>228</v>
      </c>
      <c r="U385" s="73">
        <v>9688458222</v>
      </c>
      <c r="V385" s="73" t="s">
        <v>69</v>
      </c>
      <c r="AQ385" s="87">
        <v>45842</v>
      </c>
    </row>
    <row r="386" spans="1:43" x14ac:dyDescent="0.5">
      <c r="A386" s="69" t="s">
        <v>1687</v>
      </c>
      <c r="B386" s="70" t="s">
        <v>127</v>
      </c>
      <c r="C386" s="70" t="s">
        <v>24</v>
      </c>
      <c r="D386" s="86">
        <v>46072</v>
      </c>
      <c r="E386" s="70" t="s">
        <v>1689</v>
      </c>
      <c r="F386" s="70" t="s">
        <v>200</v>
      </c>
      <c r="G386" s="70" t="s">
        <v>76</v>
      </c>
      <c r="H386" s="70" t="s">
        <v>1690</v>
      </c>
      <c r="I386" s="70" t="s">
        <v>44</v>
      </c>
      <c r="J386" s="70" t="s">
        <v>45</v>
      </c>
      <c r="K386" s="70" t="s">
        <v>32</v>
      </c>
      <c r="L386" s="70" t="s">
        <v>33</v>
      </c>
      <c r="M386" s="70">
        <v>17</v>
      </c>
      <c r="N386" s="70">
        <v>2200</v>
      </c>
      <c r="O386" s="71">
        <v>0</v>
      </c>
      <c r="P386" s="70">
        <v>37400</v>
      </c>
      <c r="Q386" s="70">
        <v>2</v>
      </c>
      <c r="R386" s="70" t="s">
        <v>88</v>
      </c>
      <c r="S386" s="70" t="s">
        <v>151</v>
      </c>
      <c r="T386" s="70" t="s">
        <v>132</v>
      </c>
      <c r="U386" s="70">
        <v>9634473337</v>
      </c>
      <c r="V386" s="70" t="s">
        <v>69</v>
      </c>
      <c r="AQ386" s="86">
        <v>46072</v>
      </c>
    </row>
    <row r="387" spans="1:43" x14ac:dyDescent="0.5">
      <c r="A387" s="72" t="s">
        <v>1692</v>
      </c>
      <c r="B387" s="73" t="s">
        <v>168</v>
      </c>
      <c r="C387" s="73" t="s">
        <v>118</v>
      </c>
      <c r="D387" s="87">
        <v>45995</v>
      </c>
      <c r="E387" s="73" t="s">
        <v>610</v>
      </c>
      <c r="F387" s="70" t="s">
        <v>361</v>
      </c>
      <c r="G387" s="73" t="s">
        <v>28</v>
      </c>
      <c r="H387" s="73" t="s">
        <v>1693</v>
      </c>
      <c r="I387" s="73" t="s">
        <v>138</v>
      </c>
      <c r="J387" s="73" t="s">
        <v>106</v>
      </c>
      <c r="K387" s="73" t="s">
        <v>122</v>
      </c>
      <c r="L387" s="73" t="s">
        <v>123</v>
      </c>
      <c r="M387" s="73">
        <v>7</v>
      </c>
      <c r="N387" s="73">
        <v>60</v>
      </c>
      <c r="O387" s="71">
        <v>0</v>
      </c>
      <c r="P387" s="73">
        <v>420</v>
      </c>
      <c r="Q387" s="73">
        <v>2</v>
      </c>
      <c r="R387" s="73" t="s">
        <v>88</v>
      </c>
      <c r="S387" s="73" t="s">
        <v>61</v>
      </c>
      <c r="T387" s="70" t="s">
        <v>175</v>
      </c>
      <c r="U387" s="73">
        <v>9608737026</v>
      </c>
      <c r="V387" s="73" t="s">
        <v>64</v>
      </c>
      <c r="AQ387" s="87">
        <v>45759</v>
      </c>
    </row>
    <row r="388" spans="1:43" x14ac:dyDescent="0.5">
      <c r="A388" s="69" t="s">
        <v>1695</v>
      </c>
      <c r="B388" s="70" t="s">
        <v>221</v>
      </c>
      <c r="C388" s="70" t="s">
        <v>54</v>
      </c>
      <c r="D388" s="86">
        <v>45950</v>
      </c>
      <c r="E388" s="70" t="s">
        <v>1696</v>
      </c>
      <c r="F388" s="70" t="s">
        <v>225</v>
      </c>
      <c r="G388" s="70" t="s">
        <v>76</v>
      </c>
      <c r="H388" s="70" t="s">
        <v>1697</v>
      </c>
      <c r="I388" s="70" t="s">
        <v>30</v>
      </c>
      <c r="J388" s="70" t="s">
        <v>31</v>
      </c>
      <c r="K388" s="70" t="s">
        <v>46</v>
      </c>
      <c r="L388" s="70" t="s">
        <v>60</v>
      </c>
      <c r="M388" s="70">
        <v>6</v>
      </c>
      <c r="N388" s="70">
        <v>55000</v>
      </c>
      <c r="O388" s="71">
        <v>0.05</v>
      </c>
      <c r="P388" s="70">
        <v>313500</v>
      </c>
      <c r="Q388" s="70">
        <v>4</v>
      </c>
      <c r="R388" s="70" t="s">
        <v>79</v>
      </c>
      <c r="S388" s="70" t="s">
        <v>61</v>
      </c>
      <c r="T388" s="70" t="s">
        <v>228</v>
      </c>
      <c r="U388" s="70">
        <v>9804498139</v>
      </c>
      <c r="V388" s="70" t="s">
        <v>38</v>
      </c>
      <c r="AQ388" s="86">
        <v>45950</v>
      </c>
    </row>
    <row r="389" spans="1:43" x14ac:dyDescent="0.5">
      <c r="A389" s="72" t="s">
        <v>1699</v>
      </c>
      <c r="B389" s="73" t="s">
        <v>71</v>
      </c>
      <c r="C389" s="73" t="s">
        <v>222</v>
      </c>
      <c r="D389" s="87">
        <v>46043</v>
      </c>
      <c r="E389" s="73" t="s">
        <v>1700</v>
      </c>
      <c r="F389" s="70" t="s">
        <v>217</v>
      </c>
      <c r="G389" s="73" t="s">
        <v>76</v>
      </c>
      <c r="H389" s="73" t="s">
        <v>1701</v>
      </c>
      <c r="I389" s="73" t="s">
        <v>30</v>
      </c>
      <c r="J389" s="73" t="s">
        <v>31</v>
      </c>
      <c r="K389" s="73" t="s">
        <v>122</v>
      </c>
      <c r="L389" s="73" t="s">
        <v>227</v>
      </c>
      <c r="M389" s="73">
        <v>16</v>
      </c>
      <c r="N389" s="73">
        <v>20</v>
      </c>
      <c r="O389" s="71">
        <v>0.05</v>
      </c>
      <c r="P389" s="73">
        <v>304</v>
      </c>
      <c r="Q389" s="73">
        <v>1</v>
      </c>
      <c r="R389" s="73" t="s">
        <v>79</v>
      </c>
      <c r="S389" s="73" t="s">
        <v>49</v>
      </c>
      <c r="T389" s="70" t="s">
        <v>80</v>
      </c>
      <c r="U389" s="73">
        <v>9798643580</v>
      </c>
      <c r="V389" s="73" t="s">
        <v>38</v>
      </c>
      <c r="AQ389" s="87">
        <v>46043</v>
      </c>
    </row>
    <row r="390" spans="1:43" x14ac:dyDescent="0.5">
      <c r="A390" s="69" t="s">
        <v>1703</v>
      </c>
      <c r="B390" s="70" t="s">
        <v>23</v>
      </c>
      <c r="C390" s="70" t="s">
        <v>24</v>
      </c>
      <c r="D390" s="86">
        <v>45682</v>
      </c>
      <c r="E390" s="70" t="s">
        <v>1705</v>
      </c>
      <c r="F390" s="70" t="s">
        <v>27</v>
      </c>
      <c r="G390" s="70" t="s">
        <v>28</v>
      </c>
      <c r="H390" s="70" t="s">
        <v>1706</v>
      </c>
      <c r="I390" s="70" t="s">
        <v>294</v>
      </c>
      <c r="J390" s="70" t="s">
        <v>295</v>
      </c>
      <c r="K390" s="70" t="s">
        <v>32</v>
      </c>
      <c r="L390" s="70" t="s">
        <v>33</v>
      </c>
      <c r="M390" s="70">
        <v>11</v>
      </c>
      <c r="N390" s="70">
        <v>2200</v>
      </c>
      <c r="O390" s="71">
        <v>0.15</v>
      </c>
      <c r="P390" s="70">
        <v>20570</v>
      </c>
      <c r="Q390" s="70">
        <v>1</v>
      </c>
      <c r="R390" s="70" t="s">
        <v>48</v>
      </c>
      <c r="S390" s="70" t="s">
        <v>115</v>
      </c>
      <c r="T390" s="70" t="s">
        <v>50</v>
      </c>
      <c r="U390" s="70">
        <v>9809823278</v>
      </c>
      <c r="V390" s="70" t="s">
        <v>69</v>
      </c>
      <c r="AQ390" s="86">
        <v>45682</v>
      </c>
    </row>
    <row r="391" spans="1:43" x14ac:dyDescent="0.5">
      <c r="A391" s="72" t="s">
        <v>1708</v>
      </c>
      <c r="B391" s="73" t="s">
        <v>100</v>
      </c>
      <c r="C391" s="73" t="s">
        <v>222</v>
      </c>
      <c r="D391" s="87">
        <v>45716</v>
      </c>
      <c r="E391" s="73" t="s">
        <v>1409</v>
      </c>
      <c r="F391" s="70" t="s">
        <v>103</v>
      </c>
      <c r="G391" s="73" t="s">
        <v>28</v>
      </c>
      <c r="H391" s="73" t="s">
        <v>1709</v>
      </c>
      <c r="I391" s="73" t="s">
        <v>114</v>
      </c>
      <c r="J391" s="73" t="s">
        <v>106</v>
      </c>
      <c r="K391" s="73" t="s">
        <v>122</v>
      </c>
      <c r="L391" s="73" t="s">
        <v>227</v>
      </c>
      <c r="M391" s="73">
        <v>19</v>
      </c>
      <c r="N391" s="73">
        <v>20</v>
      </c>
      <c r="O391" s="71">
        <v>0.05</v>
      </c>
      <c r="P391" s="73">
        <v>361</v>
      </c>
      <c r="Q391" s="73">
        <v>4</v>
      </c>
      <c r="R391" s="73" t="s">
        <v>88</v>
      </c>
      <c r="S391" s="73" t="s">
        <v>35</v>
      </c>
      <c r="T391" s="70" t="s">
        <v>144</v>
      </c>
      <c r="U391" s="73">
        <v>9177767854</v>
      </c>
      <c r="V391" s="73" t="s">
        <v>64</v>
      </c>
      <c r="AQ391" s="87">
        <v>45716</v>
      </c>
    </row>
    <row r="392" spans="1:43" x14ac:dyDescent="0.5">
      <c r="A392" s="69" t="s">
        <v>1711</v>
      </c>
      <c r="B392" s="70" t="s">
        <v>100</v>
      </c>
      <c r="C392" s="70" t="s">
        <v>72</v>
      </c>
      <c r="D392" s="86">
        <v>45828</v>
      </c>
      <c r="E392" s="70" t="s">
        <v>1713</v>
      </c>
      <c r="F392" s="70" t="s">
        <v>103</v>
      </c>
      <c r="G392" s="70" t="s">
        <v>28</v>
      </c>
      <c r="H392" s="70" t="s">
        <v>1714</v>
      </c>
      <c r="I392" s="70" t="s">
        <v>114</v>
      </c>
      <c r="J392" s="70" t="s">
        <v>106</v>
      </c>
      <c r="K392" s="70" t="s">
        <v>46</v>
      </c>
      <c r="L392" s="70" t="s">
        <v>78</v>
      </c>
      <c r="M392" s="70">
        <v>20</v>
      </c>
      <c r="N392" s="70">
        <v>1200</v>
      </c>
      <c r="O392" s="71">
        <v>0.15</v>
      </c>
      <c r="P392" s="70">
        <v>20400</v>
      </c>
      <c r="Q392" s="70">
        <v>4</v>
      </c>
      <c r="R392" s="70" t="s">
        <v>79</v>
      </c>
      <c r="S392" s="70" t="s">
        <v>35</v>
      </c>
      <c r="T392" s="70" t="s">
        <v>144</v>
      </c>
      <c r="U392" s="70">
        <v>9643440006</v>
      </c>
      <c r="V392" s="70" t="s">
        <v>64</v>
      </c>
      <c r="AQ392" s="86">
        <v>45828</v>
      </c>
    </row>
    <row r="393" spans="1:43" x14ac:dyDescent="0.5">
      <c r="A393" s="72" t="s">
        <v>1716</v>
      </c>
      <c r="B393" s="73" t="s">
        <v>53</v>
      </c>
      <c r="C393" s="73" t="s">
        <v>222</v>
      </c>
      <c r="D393" s="87">
        <v>45805</v>
      </c>
      <c r="E393" s="73" t="s">
        <v>1718</v>
      </c>
      <c r="F393" s="70" t="s">
        <v>163</v>
      </c>
      <c r="G393" s="73" t="s">
        <v>28</v>
      </c>
      <c r="H393" s="73" t="s">
        <v>1719</v>
      </c>
      <c r="I393" s="73" t="s">
        <v>30</v>
      </c>
      <c r="J393" s="73" t="s">
        <v>31</v>
      </c>
      <c r="K393" s="73" t="s">
        <v>122</v>
      </c>
      <c r="L393" s="73" t="s">
        <v>227</v>
      </c>
      <c r="M393" s="73">
        <v>13</v>
      </c>
      <c r="N393" s="73">
        <v>20</v>
      </c>
      <c r="O393" s="71">
        <v>0.15</v>
      </c>
      <c r="P393" s="73">
        <v>221</v>
      </c>
      <c r="Q393" s="73">
        <v>4</v>
      </c>
      <c r="R393" s="73" t="s">
        <v>34</v>
      </c>
      <c r="S393" s="73" t="s">
        <v>35</v>
      </c>
      <c r="T393" s="70" t="s">
        <v>62</v>
      </c>
      <c r="U393" s="73">
        <v>9673698825</v>
      </c>
      <c r="V393" s="73" t="s">
        <v>64</v>
      </c>
      <c r="AQ393" s="87">
        <v>45805</v>
      </c>
    </row>
    <row r="394" spans="1:43" x14ac:dyDescent="0.5">
      <c r="A394" s="69" t="s">
        <v>1721</v>
      </c>
      <c r="B394" s="70" t="s">
        <v>251</v>
      </c>
      <c r="C394" s="70" t="s">
        <v>72</v>
      </c>
      <c r="D394" s="86">
        <v>45660</v>
      </c>
      <c r="E394" s="70" t="s">
        <v>206</v>
      </c>
      <c r="F394" s="70" t="s">
        <v>254</v>
      </c>
      <c r="G394" s="70" t="s">
        <v>28</v>
      </c>
      <c r="H394" s="70" t="s">
        <v>1722</v>
      </c>
      <c r="I394" s="70" t="s">
        <v>44</v>
      </c>
      <c r="J394" s="70" t="s">
        <v>45</v>
      </c>
      <c r="K394" s="70" t="s">
        <v>46</v>
      </c>
      <c r="L394" s="70" t="s">
        <v>78</v>
      </c>
      <c r="M394" s="70">
        <v>12</v>
      </c>
      <c r="N394" s="70">
        <v>1200</v>
      </c>
      <c r="O394" s="71">
        <v>0.1</v>
      </c>
      <c r="P394" s="70">
        <v>12960</v>
      </c>
      <c r="Q394" s="70">
        <v>3</v>
      </c>
      <c r="R394" s="70" t="s">
        <v>48</v>
      </c>
      <c r="S394" s="70" t="s">
        <v>35</v>
      </c>
      <c r="T394" s="70" t="s">
        <v>256</v>
      </c>
      <c r="U394" s="70">
        <v>9706238784</v>
      </c>
      <c r="V394" s="70" t="s">
        <v>64</v>
      </c>
      <c r="AQ394" s="86">
        <v>45717</v>
      </c>
    </row>
    <row r="395" spans="1:43" x14ac:dyDescent="0.5">
      <c r="A395" s="72" t="s">
        <v>1724</v>
      </c>
      <c r="B395" s="73" t="s">
        <v>100</v>
      </c>
      <c r="C395" s="73" t="s">
        <v>169</v>
      </c>
      <c r="D395" s="87">
        <v>45685</v>
      </c>
      <c r="E395" s="73" t="s">
        <v>783</v>
      </c>
      <c r="F395" s="70" t="s">
        <v>103</v>
      </c>
      <c r="G395" s="73" t="s">
        <v>28</v>
      </c>
      <c r="H395" s="73" t="s">
        <v>1725</v>
      </c>
      <c r="I395" s="73" t="s">
        <v>294</v>
      </c>
      <c r="J395" s="73" t="s">
        <v>295</v>
      </c>
      <c r="K395" s="73" t="s">
        <v>32</v>
      </c>
      <c r="L395" s="73" t="s">
        <v>174</v>
      </c>
      <c r="M395" s="73">
        <v>6</v>
      </c>
      <c r="N395" s="73">
        <v>8500</v>
      </c>
      <c r="O395" s="71">
        <v>0.05</v>
      </c>
      <c r="P395" s="73">
        <v>48450</v>
      </c>
      <c r="Q395" s="73">
        <v>5</v>
      </c>
      <c r="R395" s="73" t="s">
        <v>34</v>
      </c>
      <c r="S395" s="73" t="s">
        <v>115</v>
      </c>
      <c r="T395" s="70" t="s">
        <v>144</v>
      </c>
      <c r="U395" s="73">
        <v>9132959877</v>
      </c>
      <c r="V395" s="73" t="s">
        <v>69</v>
      </c>
      <c r="AQ395" s="87">
        <v>45685</v>
      </c>
    </row>
    <row r="396" spans="1:43" x14ac:dyDescent="0.5">
      <c r="A396" s="69" t="s">
        <v>1727</v>
      </c>
      <c r="B396" s="70" t="s">
        <v>23</v>
      </c>
      <c r="C396" s="70" t="s">
        <v>169</v>
      </c>
      <c r="D396" s="86">
        <v>46071</v>
      </c>
      <c r="E396" s="70" t="s">
        <v>1728</v>
      </c>
      <c r="F396" s="70" t="s">
        <v>27</v>
      </c>
      <c r="G396" s="70" t="s">
        <v>28</v>
      </c>
      <c r="H396" s="70" t="s">
        <v>1729</v>
      </c>
      <c r="I396" s="70" t="s">
        <v>138</v>
      </c>
      <c r="J396" s="70" t="s">
        <v>106</v>
      </c>
      <c r="K396" s="70" t="s">
        <v>32</v>
      </c>
      <c r="L396" s="70" t="s">
        <v>174</v>
      </c>
      <c r="M396" s="70">
        <v>15</v>
      </c>
      <c r="N396" s="70">
        <v>8500</v>
      </c>
      <c r="O396" s="71">
        <v>0.1</v>
      </c>
      <c r="P396" s="70">
        <v>114750</v>
      </c>
      <c r="Q396" s="70">
        <v>1</v>
      </c>
      <c r="R396" s="70" t="s">
        <v>34</v>
      </c>
      <c r="S396" s="70" t="s">
        <v>115</v>
      </c>
      <c r="T396" s="70" t="s">
        <v>50</v>
      </c>
      <c r="U396" s="70">
        <v>9295011645</v>
      </c>
      <c r="V396" s="70" t="s">
        <v>38</v>
      </c>
      <c r="AQ396" s="86">
        <v>46071</v>
      </c>
    </row>
    <row r="397" spans="1:43" x14ac:dyDescent="0.5">
      <c r="A397" s="72" t="s">
        <v>1731</v>
      </c>
      <c r="B397" s="73" t="s">
        <v>127</v>
      </c>
      <c r="C397" s="73" t="s">
        <v>40</v>
      </c>
      <c r="D397" s="87">
        <v>45872</v>
      </c>
      <c r="E397" s="73" t="s">
        <v>1733</v>
      </c>
      <c r="F397" s="70" t="s">
        <v>200</v>
      </c>
      <c r="G397" s="73" t="s">
        <v>76</v>
      </c>
      <c r="H397" s="73" t="s">
        <v>1734</v>
      </c>
      <c r="I397" s="73" t="s">
        <v>30</v>
      </c>
      <c r="J397" s="73" t="s">
        <v>31</v>
      </c>
      <c r="K397" s="73" t="s">
        <v>46</v>
      </c>
      <c r="L397" s="73" t="s">
        <v>47</v>
      </c>
      <c r="M397" s="73">
        <v>19</v>
      </c>
      <c r="N397" s="73">
        <v>12000</v>
      </c>
      <c r="O397" s="71">
        <v>0.2</v>
      </c>
      <c r="P397" s="73">
        <v>182400</v>
      </c>
      <c r="Q397" s="73">
        <v>5</v>
      </c>
      <c r="R397" s="73" t="s">
        <v>34</v>
      </c>
      <c r="S397" s="73" t="s">
        <v>115</v>
      </c>
      <c r="T397" s="70" t="s">
        <v>132</v>
      </c>
      <c r="U397" s="73">
        <v>9677606427</v>
      </c>
      <c r="V397" s="73" t="s">
        <v>38</v>
      </c>
      <c r="AQ397" s="87">
        <v>45724</v>
      </c>
    </row>
    <row r="398" spans="1:43" x14ac:dyDescent="0.5">
      <c r="A398" s="69" t="s">
        <v>1736</v>
      </c>
      <c r="B398" s="70" t="s">
        <v>83</v>
      </c>
      <c r="C398" s="70" t="s">
        <v>184</v>
      </c>
      <c r="D398" s="86">
        <v>45672</v>
      </c>
      <c r="E398" s="70" t="s">
        <v>1737</v>
      </c>
      <c r="F398" s="70" t="s">
        <v>180</v>
      </c>
      <c r="G398" s="70" t="s">
        <v>76</v>
      </c>
      <c r="H398" s="70" t="s">
        <v>1738</v>
      </c>
      <c r="I398" s="70" t="s">
        <v>44</v>
      </c>
      <c r="J398" s="70" t="s">
        <v>45</v>
      </c>
      <c r="K398" s="70" t="s">
        <v>46</v>
      </c>
      <c r="L398" s="70" t="s">
        <v>189</v>
      </c>
      <c r="M398" s="70">
        <v>5</v>
      </c>
      <c r="N398" s="70">
        <v>700</v>
      </c>
      <c r="O398" s="71">
        <v>0</v>
      </c>
      <c r="P398" s="70">
        <v>3500</v>
      </c>
      <c r="Q398" s="70">
        <v>2</v>
      </c>
      <c r="R398" s="70" t="s">
        <v>79</v>
      </c>
      <c r="S398" s="70" t="s">
        <v>61</v>
      </c>
      <c r="T398" s="70" t="s">
        <v>89</v>
      </c>
      <c r="U398" s="70">
        <v>9161631566</v>
      </c>
      <c r="V398" s="70" t="s">
        <v>69</v>
      </c>
      <c r="AQ398" s="86">
        <v>45672</v>
      </c>
    </row>
    <row r="399" spans="1:43" x14ac:dyDescent="0.5">
      <c r="A399" s="72" t="s">
        <v>1740</v>
      </c>
      <c r="B399" s="73" t="s">
        <v>83</v>
      </c>
      <c r="C399" s="73" t="s">
        <v>40</v>
      </c>
      <c r="D399" s="87">
        <v>45688</v>
      </c>
      <c r="E399" s="73" t="s">
        <v>765</v>
      </c>
      <c r="F399" s="70" t="s">
        <v>180</v>
      </c>
      <c r="G399" s="73" t="s">
        <v>76</v>
      </c>
      <c r="H399" s="73" t="s">
        <v>1741</v>
      </c>
      <c r="I399" s="73" t="s">
        <v>294</v>
      </c>
      <c r="J399" s="73" t="s">
        <v>295</v>
      </c>
      <c r="K399" s="73" t="s">
        <v>46</v>
      </c>
      <c r="L399" s="73" t="s">
        <v>47</v>
      </c>
      <c r="M399" s="73">
        <v>19</v>
      </c>
      <c r="N399" s="73">
        <v>12000</v>
      </c>
      <c r="O399" s="71">
        <v>0</v>
      </c>
      <c r="P399" s="73">
        <v>228000</v>
      </c>
      <c r="Q399" s="73">
        <v>4</v>
      </c>
      <c r="R399" s="73" t="s">
        <v>88</v>
      </c>
      <c r="S399" s="73" t="s">
        <v>61</v>
      </c>
      <c r="T399" s="70" t="s">
        <v>89</v>
      </c>
      <c r="U399" s="73">
        <v>9136906750</v>
      </c>
      <c r="V399" s="73" t="s">
        <v>64</v>
      </c>
      <c r="AQ399" s="87">
        <v>45688</v>
      </c>
    </row>
    <row r="400" spans="1:43" x14ac:dyDescent="0.5">
      <c r="A400" s="69" t="s">
        <v>1743</v>
      </c>
      <c r="B400" s="70" t="s">
        <v>327</v>
      </c>
      <c r="C400" s="70" t="s">
        <v>184</v>
      </c>
      <c r="D400" s="86" t="s">
        <v>2166</v>
      </c>
      <c r="E400" s="70" t="s">
        <v>1225</v>
      </c>
      <c r="F400" s="70" t="s">
        <v>394</v>
      </c>
      <c r="G400" s="70" t="s">
        <v>76</v>
      </c>
      <c r="H400" s="70" t="s">
        <v>1744</v>
      </c>
      <c r="I400" s="70" t="s">
        <v>59</v>
      </c>
      <c r="J400" s="70" t="s">
        <v>31</v>
      </c>
      <c r="K400" s="70" t="s">
        <v>46</v>
      </c>
      <c r="L400" s="70" t="s">
        <v>189</v>
      </c>
      <c r="M400" s="70">
        <v>12</v>
      </c>
      <c r="N400" s="70">
        <v>700</v>
      </c>
      <c r="O400" s="71">
        <v>0.15</v>
      </c>
      <c r="P400" s="70">
        <v>7140</v>
      </c>
      <c r="Q400" s="70">
        <v>3</v>
      </c>
      <c r="R400" s="70" t="s">
        <v>79</v>
      </c>
      <c r="S400" s="70" t="s">
        <v>35</v>
      </c>
      <c r="T400" s="70" t="s">
        <v>332</v>
      </c>
      <c r="U400" s="70">
        <v>9485286324</v>
      </c>
      <c r="V400" s="70" t="s">
        <v>38</v>
      </c>
      <c r="AQ400" s="86">
        <v>45658</v>
      </c>
    </row>
    <row r="401" spans="1:43" x14ac:dyDescent="0.5">
      <c r="A401" s="72" t="s">
        <v>1746</v>
      </c>
      <c r="B401" s="73" t="s">
        <v>23</v>
      </c>
      <c r="C401" s="73" t="s">
        <v>72</v>
      </c>
      <c r="D401" s="87">
        <v>45790</v>
      </c>
      <c r="E401" s="73" t="s">
        <v>707</v>
      </c>
      <c r="F401" s="70" t="s">
        <v>27</v>
      </c>
      <c r="G401" s="73" t="s">
        <v>28</v>
      </c>
      <c r="H401" s="73" t="s">
        <v>1748</v>
      </c>
      <c r="I401" s="73" t="s">
        <v>44</v>
      </c>
      <c r="J401" s="73" t="s">
        <v>45</v>
      </c>
      <c r="K401" s="73" t="s">
        <v>46</v>
      </c>
      <c r="L401" s="73" t="s">
        <v>78</v>
      </c>
      <c r="M401" s="73">
        <v>16</v>
      </c>
      <c r="N401" s="73">
        <v>1200</v>
      </c>
      <c r="O401" s="71">
        <v>0.2</v>
      </c>
      <c r="P401" s="73">
        <v>15360</v>
      </c>
      <c r="Q401" s="73">
        <v>1</v>
      </c>
      <c r="R401" s="73" t="s">
        <v>34</v>
      </c>
      <c r="S401" s="73" t="s">
        <v>49</v>
      </c>
      <c r="T401" s="70" t="s">
        <v>50</v>
      </c>
      <c r="U401" s="73">
        <v>9414633966</v>
      </c>
      <c r="V401" s="73" t="s">
        <v>64</v>
      </c>
      <c r="AQ401" s="87">
        <v>45790</v>
      </c>
    </row>
    <row r="402" spans="1:43" x14ac:dyDescent="0.5">
      <c r="A402" s="69" t="s">
        <v>1750</v>
      </c>
      <c r="B402" s="70" t="s">
        <v>71</v>
      </c>
      <c r="C402" s="70" t="s">
        <v>169</v>
      </c>
      <c r="D402" s="86">
        <v>46018</v>
      </c>
      <c r="E402" s="70" t="s">
        <v>84</v>
      </c>
      <c r="F402" s="70" t="s">
        <v>217</v>
      </c>
      <c r="G402" s="70" t="s">
        <v>76</v>
      </c>
      <c r="H402" s="70" t="s">
        <v>1751</v>
      </c>
      <c r="I402" s="70" t="s">
        <v>30</v>
      </c>
      <c r="J402" s="70" t="s">
        <v>31</v>
      </c>
      <c r="K402" s="70" t="s">
        <v>32</v>
      </c>
      <c r="L402" s="70" t="s">
        <v>174</v>
      </c>
      <c r="M402" s="70">
        <v>10</v>
      </c>
      <c r="N402" s="70">
        <v>8500</v>
      </c>
      <c r="O402" s="71">
        <v>0.05</v>
      </c>
      <c r="P402" s="70">
        <v>80750</v>
      </c>
      <c r="Q402" s="70">
        <v>5</v>
      </c>
      <c r="R402" s="70" t="s">
        <v>48</v>
      </c>
      <c r="S402" s="70" t="s">
        <v>35</v>
      </c>
      <c r="T402" s="70" t="s">
        <v>80</v>
      </c>
      <c r="U402" s="70">
        <v>9833735234</v>
      </c>
      <c r="V402" s="70" t="s">
        <v>38</v>
      </c>
      <c r="AQ402" s="86">
        <v>46018</v>
      </c>
    </row>
    <row r="403" spans="1:43" x14ac:dyDescent="0.5">
      <c r="A403" s="72" t="s">
        <v>1753</v>
      </c>
      <c r="B403" s="73" t="s">
        <v>23</v>
      </c>
      <c r="C403" s="73" t="s">
        <v>222</v>
      </c>
      <c r="D403" s="87">
        <v>45699</v>
      </c>
      <c r="E403" s="73" t="s">
        <v>386</v>
      </c>
      <c r="F403" s="70" t="s">
        <v>27</v>
      </c>
      <c r="G403" s="73" t="s">
        <v>28</v>
      </c>
      <c r="H403" s="73" t="s">
        <v>1754</v>
      </c>
      <c r="I403" s="73" t="s">
        <v>138</v>
      </c>
      <c r="J403" s="73" t="s">
        <v>106</v>
      </c>
      <c r="K403" s="73" t="s">
        <v>122</v>
      </c>
      <c r="L403" s="73" t="s">
        <v>227</v>
      </c>
      <c r="M403" s="73">
        <v>18</v>
      </c>
      <c r="N403" s="73">
        <v>20</v>
      </c>
      <c r="O403" s="71">
        <v>0.2</v>
      </c>
      <c r="P403" s="73">
        <v>288</v>
      </c>
      <c r="Q403" s="73">
        <v>1</v>
      </c>
      <c r="R403" s="73" t="s">
        <v>88</v>
      </c>
      <c r="S403" s="73" t="s">
        <v>35</v>
      </c>
      <c r="T403" s="70" t="s">
        <v>50</v>
      </c>
      <c r="U403" s="73">
        <v>9523689108</v>
      </c>
      <c r="V403" s="73" t="s">
        <v>64</v>
      </c>
      <c r="AQ403" s="87">
        <v>45963</v>
      </c>
    </row>
    <row r="404" spans="1:43" x14ac:dyDescent="0.5">
      <c r="A404" s="69" t="s">
        <v>1756</v>
      </c>
      <c r="B404" s="70" t="s">
        <v>71</v>
      </c>
      <c r="C404" s="70" t="s">
        <v>169</v>
      </c>
      <c r="D404" s="86">
        <v>46094</v>
      </c>
      <c r="E404" s="70" t="s">
        <v>404</v>
      </c>
      <c r="F404" s="70" t="s">
        <v>217</v>
      </c>
      <c r="G404" s="70" t="s">
        <v>76</v>
      </c>
      <c r="H404" s="70" t="s">
        <v>1757</v>
      </c>
      <c r="I404" s="70" t="s">
        <v>105</v>
      </c>
      <c r="J404" s="70" t="s">
        <v>106</v>
      </c>
      <c r="K404" s="70" t="s">
        <v>32</v>
      </c>
      <c r="L404" s="70" t="s">
        <v>174</v>
      </c>
      <c r="M404" s="70">
        <v>9</v>
      </c>
      <c r="N404" s="70">
        <v>8500</v>
      </c>
      <c r="O404" s="71">
        <v>0</v>
      </c>
      <c r="P404" s="70">
        <v>76500</v>
      </c>
      <c r="Q404" s="70">
        <v>2</v>
      </c>
      <c r="R404" s="70" t="s">
        <v>79</v>
      </c>
      <c r="S404" s="70" t="s">
        <v>35</v>
      </c>
      <c r="T404" s="70" t="s">
        <v>80</v>
      </c>
      <c r="U404" s="70">
        <v>9812909831</v>
      </c>
      <c r="V404" s="70" t="s">
        <v>64</v>
      </c>
      <c r="AQ404" s="86">
        <v>46094</v>
      </c>
    </row>
    <row r="405" spans="1:43" x14ac:dyDescent="0.5">
      <c r="A405" s="72" t="s">
        <v>1759</v>
      </c>
      <c r="B405" s="73" t="s">
        <v>23</v>
      </c>
      <c r="C405" s="73" t="s">
        <v>169</v>
      </c>
      <c r="D405" s="87">
        <v>45931</v>
      </c>
      <c r="E405" s="73" t="s">
        <v>1760</v>
      </c>
      <c r="F405" s="70" t="s">
        <v>27</v>
      </c>
      <c r="G405" s="73" t="s">
        <v>28</v>
      </c>
      <c r="H405" s="73" t="s">
        <v>1761</v>
      </c>
      <c r="I405" s="73" t="s">
        <v>105</v>
      </c>
      <c r="J405" s="73" t="s">
        <v>106</v>
      </c>
      <c r="K405" s="73" t="s">
        <v>32</v>
      </c>
      <c r="L405" s="73" t="s">
        <v>174</v>
      </c>
      <c r="M405" s="73">
        <v>8</v>
      </c>
      <c r="N405" s="73">
        <v>8500</v>
      </c>
      <c r="O405" s="71">
        <v>0.1</v>
      </c>
      <c r="P405" s="73">
        <v>61200</v>
      </c>
      <c r="Q405" s="73">
        <v>4</v>
      </c>
      <c r="R405" s="73" t="s">
        <v>34</v>
      </c>
      <c r="S405" s="73" t="s">
        <v>115</v>
      </c>
      <c r="T405" s="70" t="s">
        <v>50</v>
      </c>
      <c r="U405" s="73">
        <v>9106290987</v>
      </c>
      <c r="V405" s="73" t="s">
        <v>69</v>
      </c>
      <c r="AQ405" s="87">
        <v>45667</v>
      </c>
    </row>
    <row r="406" spans="1:43" x14ac:dyDescent="0.5">
      <c r="A406" s="69" t="s">
        <v>1763</v>
      </c>
      <c r="B406" s="70" t="s">
        <v>53</v>
      </c>
      <c r="C406" s="70" t="s">
        <v>222</v>
      </c>
      <c r="D406" s="86">
        <v>46048</v>
      </c>
      <c r="E406" s="70" t="s">
        <v>1764</v>
      </c>
      <c r="F406" s="70" t="s">
        <v>163</v>
      </c>
      <c r="G406" s="70" t="s">
        <v>28</v>
      </c>
      <c r="H406" s="70" t="s">
        <v>1765</v>
      </c>
      <c r="I406" s="70" t="s">
        <v>114</v>
      </c>
      <c r="J406" s="70" t="s">
        <v>106</v>
      </c>
      <c r="K406" s="70" t="s">
        <v>122</v>
      </c>
      <c r="L406" s="70" t="s">
        <v>227</v>
      </c>
      <c r="M406" s="70">
        <v>3</v>
      </c>
      <c r="N406" s="70">
        <v>20</v>
      </c>
      <c r="O406" s="71">
        <v>0.1</v>
      </c>
      <c r="P406" s="70">
        <v>54</v>
      </c>
      <c r="Q406" s="70">
        <v>3</v>
      </c>
      <c r="R406" s="70" t="s">
        <v>79</v>
      </c>
      <c r="S406" s="70" t="s">
        <v>151</v>
      </c>
      <c r="T406" s="70" t="s">
        <v>62</v>
      </c>
      <c r="U406" s="70">
        <v>9767727724</v>
      </c>
      <c r="V406" s="70" t="s">
        <v>64</v>
      </c>
      <c r="AQ406" s="86">
        <v>46048</v>
      </c>
    </row>
    <row r="407" spans="1:43" x14ac:dyDescent="0.5">
      <c r="A407" s="72" t="s">
        <v>1767</v>
      </c>
      <c r="B407" s="73" t="s">
        <v>168</v>
      </c>
      <c r="C407" s="73" t="s">
        <v>169</v>
      </c>
      <c r="D407" s="87">
        <v>45840</v>
      </c>
      <c r="E407" s="73" t="s">
        <v>641</v>
      </c>
      <c r="F407" s="70" t="s">
        <v>361</v>
      </c>
      <c r="G407" s="73" t="s">
        <v>28</v>
      </c>
      <c r="H407" s="73" t="s">
        <v>1768</v>
      </c>
      <c r="I407" s="73" t="s">
        <v>294</v>
      </c>
      <c r="J407" s="73" t="s">
        <v>295</v>
      </c>
      <c r="K407" s="73" t="s">
        <v>32</v>
      </c>
      <c r="L407" s="73" t="s">
        <v>174</v>
      </c>
      <c r="M407" s="73">
        <v>18</v>
      </c>
      <c r="N407" s="73">
        <v>8500</v>
      </c>
      <c r="O407" s="71">
        <v>0.1</v>
      </c>
      <c r="P407" s="73">
        <v>137700</v>
      </c>
      <c r="Q407" s="73">
        <v>4</v>
      </c>
      <c r="R407" s="73" t="s">
        <v>34</v>
      </c>
      <c r="S407" s="73" t="s">
        <v>49</v>
      </c>
      <c r="T407" s="70" t="s">
        <v>175</v>
      </c>
      <c r="U407" s="73">
        <v>9865401727</v>
      </c>
      <c r="V407" s="73" t="s">
        <v>69</v>
      </c>
      <c r="AQ407" s="87">
        <v>45695</v>
      </c>
    </row>
    <row r="408" spans="1:43" x14ac:dyDescent="0.5">
      <c r="A408" s="69" t="s">
        <v>1770</v>
      </c>
      <c r="B408" s="70" t="s">
        <v>53</v>
      </c>
      <c r="C408" s="70" t="s">
        <v>259</v>
      </c>
      <c r="D408" s="86">
        <v>45935</v>
      </c>
      <c r="E408" s="70" t="s">
        <v>281</v>
      </c>
      <c r="F408" s="70" t="s">
        <v>163</v>
      </c>
      <c r="G408" s="70" t="s">
        <v>28</v>
      </c>
      <c r="H408" s="70" t="s">
        <v>1771</v>
      </c>
      <c r="I408" s="70" t="s">
        <v>114</v>
      </c>
      <c r="J408" s="70" t="s">
        <v>106</v>
      </c>
      <c r="K408" s="70" t="s">
        <v>122</v>
      </c>
      <c r="L408" s="70" t="s">
        <v>263</v>
      </c>
      <c r="M408" s="70">
        <v>5</v>
      </c>
      <c r="N408" s="70">
        <v>45</v>
      </c>
      <c r="O408" s="71">
        <v>0.1</v>
      </c>
      <c r="P408" s="70">
        <v>202.5</v>
      </c>
      <c r="Q408" s="70">
        <v>3</v>
      </c>
      <c r="R408" s="70" t="s">
        <v>34</v>
      </c>
      <c r="S408" s="70" t="s">
        <v>115</v>
      </c>
      <c r="T408" s="70" t="s">
        <v>62</v>
      </c>
      <c r="U408" s="70">
        <v>9603848571</v>
      </c>
      <c r="V408" s="70" t="s">
        <v>64</v>
      </c>
      <c r="AQ408" s="86">
        <v>45787</v>
      </c>
    </row>
    <row r="409" spans="1:43" x14ac:dyDescent="0.5">
      <c r="A409" s="72" t="s">
        <v>1773</v>
      </c>
      <c r="B409" s="73" t="s">
        <v>71</v>
      </c>
      <c r="C409" s="73" t="s">
        <v>259</v>
      </c>
      <c r="D409" s="87">
        <v>45807</v>
      </c>
      <c r="E409" s="73" t="s">
        <v>684</v>
      </c>
      <c r="F409" s="70" t="s">
        <v>217</v>
      </c>
      <c r="G409" s="73" t="s">
        <v>76</v>
      </c>
      <c r="H409" s="73" t="s">
        <v>1774</v>
      </c>
      <c r="I409" s="73" t="s">
        <v>105</v>
      </c>
      <c r="J409" s="73" t="s">
        <v>106</v>
      </c>
      <c r="K409" s="73" t="s">
        <v>122</v>
      </c>
      <c r="L409" s="73" t="s">
        <v>263</v>
      </c>
      <c r="M409" s="73">
        <v>2</v>
      </c>
      <c r="N409" s="73">
        <v>45</v>
      </c>
      <c r="O409" s="71">
        <v>0.2</v>
      </c>
      <c r="P409" s="73">
        <v>72</v>
      </c>
      <c r="Q409" s="73">
        <v>5</v>
      </c>
      <c r="R409" s="73" t="s">
        <v>88</v>
      </c>
      <c r="S409" s="73" t="s">
        <v>61</v>
      </c>
      <c r="T409" s="70" t="s">
        <v>80</v>
      </c>
      <c r="U409" s="73">
        <v>9101231789</v>
      </c>
      <c r="V409" s="73" t="s">
        <v>69</v>
      </c>
      <c r="AQ409" s="87">
        <v>45807</v>
      </c>
    </row>
    <row r="410" spans="1:43" x14ac:dyDescent="0.5">
      <c r="A410" s="69" t="s">
        <v>1776</v>
      </c>
      <c r="B410" s="70" t="s">
        <v>100</v>
      </c>
      <c r="C410" s="70" t="s">
        <v>259</v>
      </c>
      <c r="D410" s="86">
        <v>45684</v>
      </c>
      <c r="E410" s="70" t="s">
        <v>900</v>
      </c>
      <c r="F410" s="70" t="s">
        <v>103</v>
      </c>
      <c r="G410" s="70" t="s">
        <v>28</v>
      </c>
      <c r="H410" s="70" t="s">
        <v>1777</v>
      </c>
      <c r="I410" s="70" t="s">
        <v>30</v>
      </c>
      <c r="J410" s="70" t="s">
        <v>31</v>
      </c>
      <c r="K410" s="70" t="s">
        <v>122</v>
      </c>
      <c r="L410" s="70" t="s">
        <v>263</v>
      </c>
      <c r="M410" s="70">
        <v>18</v>
      </c>
      <c r="N410" s="70">
        <v>45</v>
      </c>
      <c r="O410" s="71">
        <v>0.1</v>
      </c>
      <c r="P410" s="70">
        <v>729</v>
      </c>
      <c r="Q410" s="70">
        <v>2</v>
      </c>
      <c r="R410" s="70" t="s">
        <v>48</v>
      </c>
      <c r="S410" s="70" t="s">
        <v>115</v>
      </c>
      <c r="T410" s="70" t="s">
        <v>144</v>
      </c>
      <c r="U410" s="70">
        <v>9485017802</v>
      </c>
      <c r="V410" s="70" t="s">
        <v>64</v>
      </c>
      <c r="AQ410" s="86">
        <v>45684</v>
      </c>
    </row>
    <row r="411" spans="1:43" x14ac:dyDescent="0.5">
      <c r="A411" s="72" t="s">
        <v>1779</v>
      </c>
      <c r="B411" s="73" t="s">
        <v>127</v>
      </c>
      <c r="C411" s="73" t="s">
        <v>72</v>
      </c>
      <c r="D411" s="87">
        <v>46015</v>
      </c>
      <c r="E411" s="73" t="s">
        <v>216</v>
      </c>
      <c r="F411" s="70" t="s">
        <v>200</v>
      </c>
      <c r="G411" s="73" t="s">
        <v>76</v>
      </c>
      <c r="H411" s="73" t="s">
        <v>1780</v>
      </c>
      <c r="I411" s="73" t="s">
        <v>294</v>
      </c>
      <c r="J411" s="73" t="s">
        <v>295</v>
      </c>
      <c r="K411" s="73" t="s">
        <v>46</v>
      </c>
      <c r="L411" s="73" t="s">
        <v>78</v>
      </c>
      <c r="M411" s="73">
        <v>13</v>
      </c>
      <c r="N411" s="73">
        <v>1200</v>
      </c>
      <c r="O411" s="71">
        <v>0.05</v>
      </c>
      <c r="P411" s="73">
        <v>14820</v>
      </c>
      <c r="Q411" s="73">
        <v>4</v>
      </c>
      <c r="R411" s="73" t="s">
        <v>79</v>
      </c>
      <c r="S411" s="73" t="s">
        <v>115</v>
      </c>
      <c r="T411" s="70" t="s">
        <v>132</v>
      </c>
      <c r="U411" s="73">
        <v>9815464650</v>
      </c>
      <c r="V411" s="73" t="s">
        <v>38</v>
      </c>
      <c r="AQ411" s="87">
        <v>46015</v>
      </c>
    </row>
    <row r="412" spans="1:43" x14ac:dyDescent="0.5">
      <c r="A412" s="69" t="s">
        <v>1782</v>
      </c>
      <c r="B412" s="70" t="s">
        <v>23</v>
      </c>
      <c r="C412" s="70" t="s">
        <v>222</v>
      </c>
      <c r="D412" s="86">
        <v>46153</v>
      </c>
      <c r="E412" s="70" t="s">
        <v>1783</v>
      </c>
      <c r="F412" s="70" t="s">
        <v>27</v>
      </c>
      <c r="G412" s="70" t="s">
        <v>28</v>
      </c>
      <c r="H412" s="70" t="s">
        <v>1784</v>
      </c>
      <c r="I412" s="70" t="s">
        <v>30</v>
      </c>
      <c r="J412" s="70" t="s">
        <v>31</v>
      </c>
      <c r="K412" s="70" t="s">
        <v>122</v>
      </c>
      <c r="L412" s="70" t="s">
        <v>227</v>
      </c>
      <c r="M412" s="70">
        <v>14</v>
      </c>
      <c r="N412" s="70">
        <v>20</v>
      </c>
      <c r="O412" s="71">
        <v>0.2</v>
      </c>
      <c r="P412" s="70">
        <v>224</v>
      </c>
      <c r="Q412" s="70">
        <v>5</v>
      </c>
      <c r="R412" s="70" t="s">
        <v>88</v>
      </c>
      <c r="S412" s="70" t="s">
        <v>49</v>
      </c>
      <c r="T412" s="70" t="s">
        <v>50</v>
      </c>
      <c r="U412" s="70">
        <v>9860715839</v>
      </c>
      <c r="V412" s="70" t="s">
        <v>64</v>
      </c>
      <c r="AQ412" s="86">
        <v>46331</v>
      </c>
    </row>
    <row r="413" spans="1:43" x14ac:dyDescent="0.5">
      <c r="A413" s="72" t="s">
        <v>1786</v>
      </c>
      <c r="B413" s="73" t="s">
        <v>100</v>
      </c>
      <c r="C413" s="73" t="s">
        <v>92</v>
      </c>
      <c r="D413" s="87">
        <v>46064</v>
      </c>
      <c r="E413" s="73" t="s">
        <v>1689</v>
      </c>
      <c r="F413" s="70" t="s">
        <v>103</v>
      </c>
      <c r="G413" s="73" t="s">
        <v>28</v>
      </c>
      <c r="H413" s="73" t="s">
        <v>1788</v>
      </c>
      <c r="I413" s="73" t="s">
        <v>30</v>
      </c>
      <c r="J413" s="73" t="s">
        <v>31</v>
      </c>
      <c r="K413" s="73" t="s">
        <v>32</v>
      </c>
      <c r="L413" s="73" t="s">
        <v>97</v>
      </c>
      <c r="M413" s="73">
        <v>16</v>
      </c>
      <c r="N413" s="73">
        <v>3500</v>
      </c>
      <c r="O413" s="71">
        <v>0.15</v>
      </c>
      <c r="P413" s="73">
        <v>47600</v>
      </c>
      <c r="Q413" s="73">
        <v>3</v>
      </c>
      <c r="R413" s="73" t="s">
        <v>88</v>
      </c>
      <c r="S413" s="73" t="s">
        <v>61</v>
      </c>
      <c r="T413" s="70" t="s">
        <v>144</v>
      </c>
      <c r="U413" s="73">
        <v>9207561051</v>
      </c>
      <c r="V413" s="73" t="s">
        <v>69</v>
      </c>
      <c r="AQ413" s="87">
        <v>46328</v>
      </c>
    </row>
    <row r="414" spans="1:43" x14ac:dyDescent="0.5">
      <c r="A414" s="69" t="s">
        <v>1790</v>
      </c>
      <c r="B414" s="70" t="s">
        <v>251</v>
      </c>
      <c r="C414" s="70" t="s">
        <v>222</v>
      </c>
      <c r="D414" s="86">
        <v>45704</v>
      </c>
      <c r="E414" s="70" t="s">
        <v>1110</v>
      </c>
      <c r="F414" s="70" t="s">
        <v>254</v>
      </c>
      <c r="G414" s="70" t="s">
        <v>28</v>
      </c>
      <c r="H414" s="70" t="s">
        <v>1791</v>
      </c>
      <c r="I414" s="70" t="s">
        <v>59</v>
      </c>
      <c r="J414" s="70" t="s">
        <v>31</v>
      </c>
      <c r="K414" s="70" t="s">
        <v>122</v>
      </c>
      <c r="L414" s="70" t="s">
        <v>227</v>
      </c>
      <c r="M414" s="70">
        <v>20</v>
      </c>
      <c r="N414" s="70">
        <v>20</v>
      </c>
      <c r="O414" s="71">
        <v>0.15</v>
      </c>
      <c r="P414" s="70">
        <v>340</v>
      </c>
      <c r="Q414" s="70">
        <v>1</v>
      </c>
      <c r="R414" s="70" t="s">
        <v>48</v>
      </c>
      <c r="S414" s="70" t="s">
        <v>61</v>
      </c>
      <c r="T414" s="70" t="s">
        <v>256</v>
      </c>
      <c r="U414" s="70">
        <v>9159894508</v>
      </c>
      <c r="V414" s="70" t="s">
        <v>69</v>
      </c>
      <c r="AQ414" s="86">
        <v>45704</v>
      </c>
    </row>
    <row r="415" spans="1:43" x14ac:dyDescent="0.5">
      <c r="A415" s="72" t="s">
        <v>1793</v>
      </c>
      <c r="B415" s="73" t="s">
        <v>168</v>
      </c>
      <c r="C415" s="73" t="s">
        <v>54</v>
      </c>
      <c r="D415" s="87">
        <v>45756</v>
      </c>
      <c r="E415" s="73" t="s">
        <v>666</v>
      </c>
      <c r="F415" s="70" t="s">
        <v>361</v>
      </c>
      <c r="G415" s="73" t="s">
        <v>28</v>
      </c>
      <c r="H415" s="73" t="s">
        <v>1794</v>
      </c>
      <c r="I415" s="73" t="s">
        <v>138</v>
      </c>
      <c r="J415" s="73" t="s">
        <v>106</v>
      </c>
      <c r="K415" s="73" t="s">
        <v>46</v>
      </c>
      <c r="L415" s="73" t="s">
        <v>60</v>
      </c>
      <c r="M415" s="73">
        <v>1</v>
      </c>
      <c r="N415" s="73">
        <v>55000</v>
      </c>
      <c r="O415" s="71">
        <v>0.15</v>
      </c>
      <c r="P415" s="73">
        <v>46750</v>
      </c>
      <c r="Q415" s="73">
        <v>2</v>
      </c>
      <c r="R415" s="73" t="s">
        <v>88</v>
      </c>
      <c r="S415" s="73" t="s">
        <v>115</v>
      </c>
      <c r="T415" s="70" t="s">
        <v>175</v>
      </c>
      <c r="U415" s="73">
        <v>9531465024</v>
      </c>
      <c r="V415" s="73" t="s">
        <v>69</v>
      </c>
      <c r="AQ415" s="87">
        <v>45904</v>
      </c>
    </row>
    <row r="416" spans="1:43" x14ac:dyDescent="0.5">
      <c r="A416" s="69" t="s">
        <v>1796</v>
      </c>
      <c r="B416" s="70" t="s">
        <v>100</v>
      </c>
      <c r="C416" s="70" t="s">
        <v>118</v>
      </c>
      <c r="D416" s="86">
        <v>45672</v>
      </c>
      <c r="E416" s="70" t="s">
        <v>620</v>
      </c>
      <c r="F416" s="70" t="s">
        <v>103</v>
      </c>
      <c r="G416" s="70" t="s">
        <v>28</v>
      </c>
      <c r="H416" s="70" t="s">
        <v>1797</v>
      </c>
      <c r="I416" s="70" t="s">
        <v>138</v>
      </c>
      <c r="J416" s="70" t="s">
        <v>106</v>
      </c>
      <c r="K416" s="70" t="s">
        <v>122</v>
      </c>
      <c r="L416" s="70" t="s">
        <v>123</v>
      </c>
      <c r="M416" s="70">
        <v>15</v>
      </c>
      <c r="N416" s="70">
        <v>60</v>
      </c>
      <c r="O416" s="71">
        <v>0.05</v>
      </c>
      <c r="P416" s="70">
        <v>855</v>
      </c>
      <c r="Q416" s="70">
        <v>4</v>
      </c>
      <c r="R416" s="70" t="s">
        <v>48</v>
      </c>
      <c r="S416" s="70" t="s">
        <v>61</v>
      </c>
      <c r="T416" s="70" t="s">
        <v>144</v>
      </c>
      <c r="U416" s="70">
        <v>9158813608</v>
      </c>
      <c r="V416" s="70" t="s">
        <v>38</v>
      </c>
      <c r="AQ416" s="86">
        <v>45672</v>
      </c>
    </row>
    <row r="417" spans="1:43" x14ac:dyDescent="0.5">
      <c r="A417" s="72" t="s">
        <v>1799</v>
      </c>
      <c r="B417" s="73" t="s">
        <v>83</v>
      </c>
      <c r="C417" s="73" t="s">
        <v>184</v>
      </c>
      <c r="D417" s="87">
        <v>46108</v>
      </c>
      <c r="E417" s="73" t="s">
        <v>66</v>
      </c>
      <c r="F417" s="70" t="s">
        <v>180</v>
      </c>
      <c r="G417" s="73" t="s">
        <v>76</v>
      </c>
      <c r="H417" s="73" t="s">
        <v>1801</v>
      </c>
      <c r="I417" s="73" t="s">
        <v>105</v>
      </c>
      <c r="J417" s="73" t="s">
        <v>106</v>
      </c>
      <c r="K417" s="73" t="s">
        <v>46</v>
      </c>
      <c r="L417" s="73" t="s">
        <v>189</v>
      </c>
      <c r="M417" s="73">
        <v>15</v>
      </c>
      <c r="N417" s="73">
        <v>700</v>
      </c>
      <c r="O417" s="71">
        <v>0</v>
      </c>
      <c r="P417" s="73">
        <v>10500</v>
      </c>
      <c r="Q417" s="73">
        <v>5</v>
      </c>
      <c r="R417" s="73" t="s">
        <v>48</v>
      </c>
      <c r="S417" s="73" t="s">
        <v>115</v>
      </c>
      <c r="T417" s="70" t="s">
        <v>89</v>
      </c>
      <c r="U417" s="73">
        <v>9308461700</v>
      </c>
      <c r="V417" s="73" t="s">
        <v>38</v>
      </c>
      <c r="AQ417" s="87">
        <v>46108</v>
      </c>
    </row>
    <row r="418" spans="1:43" x14ac:dyDescent="0.5">
      <c r="A418" s="69" t="s">
        <v>1803</v>
      </c>
      <c r="B418" s="70" t="s">
        <v>221</v>
      </c>
      <c r="C418" s="70" t="s">
        <v>40</v>
      </c>
      <c r="D418" s="86">
        <v>46027</v>
      </c>
      <c r="E418" s="70" t="s">
        <v>440</v>
      </c>
      <c r="F418" s="70" t="s">
        <v>225</v>
      </c>
      <c r="G418" s="70" t="s">
        <v>76</v>
      </c>
      <c r="H418" s="70" t="s">
        <v>1804</v>
      </c>
      <c r="I418" s="70" t="s">
        <v>294</v>
      </c>
      <c r="J418" s="70" t="s">
        <v>295</v>
      </c>
      <c r="K418" s="70" t="s">
        <v>46</v>
      </c>
      <c r="L418" s="70" t="s">
        <v>47</v>
      </c>
      <c r="M418" s="70">
        <v>13</v>
      </c>
      <c r="N418" s="70">
        <v>12000</v>
      </c>
      <c r="O418" s="71">
        <v>0.1</v>
      </c>
      <c r="P418" s="70">
        <v>140400</v>
      </c>
      <c r="Q418" s="70">
        <v>1</v>
      </c>
      <c r="R418" s="70" t="s">
        <v>34</v>
      </c>
      <c r="S418" s="70" t="s">
        <v>151</v>
      </c>
      <c r="T418" s="70" t="s">
        <v>228</v>
      </c>
      <c r="U418" s="70">
        <v>9882279049</v>
      </c>
      <c r="V418" s="70" t="s">
        <v>69</v>
      </c>
      <c r="AQ418" s="86">
        <v>46143</v>
      </c>
    </row>
    <row r="419" spans="1:43" x14ac:dyDescent="0.5">
      <c r="A419" s="72" t="s">
        <v>1806</v>
      </c>
      <c r="B419" s="73" t="s">
        <v>83</v>
      </c>
      <c r="C419" s="73" t="s">
        <v>40</v>
      </c>
      <c r="D419" s="87">
        <v>46129</v>
      </c>
      <c r="E419" s="73" t="s">
        <v>1081</v>
      </c>
      <c r="F419" s="70" t="s">
        <v>180</v>
      </c>
      <c r="G419" s="73" t="s">
        <v>76</v>
      </c>
      <c r="H419" s="73" t="s">
        <v>1808</v>
      </c>
      <c r="I419" s="73" t="s">
        <v>30</v>
      </c>
      <c r="J419" s="73" t="s">
        <v>31</v>
      </c>
      <c r="K419" s="73" t="s">
        <v>46</v>
      </c>
      <c r="L419" s="73" t="s">
        <v>47</v>
      </c>
      <c r="M419" s="73">
        <v>12</v>
      </c>
      <c r="N419" s="73">
        <v>12000</v>
      </c>
      <c r="O419" s="71">
        <v>0.2</v>
      </c>
      <c r="P419" s="73">
        <v>115200</v>
      </c>
      <c r="Q419" s="73">
        <v>2</v>
      </c>
      <c r="R419" s="73" t="s">
        <v>34</v>
      </c>
      <c r="S419" s="73" t="s">
        <v>35</v>
      </c>
      <c r="T419" s="70" t="s">
        <v>89</v>
      </c>
      <c r="U419" s="73">
        <v>9961801338</v>
      </c>
      <c r="V419" s="73" t="s">
        <v>38</v>
      </c>
      <c r="AQ419" s="87">
        <v>46129</v>
      </c>
    </row>
    <row r="420" spans="1:43" x14ac:dyDescent="0.5">
      <c r="A420" s="69" t="s">
        <v>1810</v>
      </c>
      <c r="B420" s="70" t="s">
        <v>83</v>
      </c>
      <c r="C420" s="70" t="s">
        <v>259</v>
      </c>
      <c r="D420" s="86">
        <v>45741</v>
      </c>
      <c r="E420" s="70" t="s">
        <v>1298</v>
      </c>
      <c r="F420" s="70" t="s">
        <v>180</v>
      </c>
      <c r="G420" s="70" t="s">
        <v>76</v>
      </c>
      <c r="H420" s="70" t="s">
        <v>1811</v>
      </c>
      <c r="I420" s="70" t="s">
        <v>105</v>
      </c>
      <c r="J420" s="70" t="s">
        <v>106</v>
      </c>
      <c r="K420" s="70" t="s">
        <v>122</v>
      </c>
      <c r="L420" s="70" t="s">
        <v>263</v>
      </c>
      <c r="M420" s="70">
        <v>10</v>
      </c>
      <c r="N420" s="70">
        <v>45</v>
      </c>
      <c r="O420" s="71">
        <v>0</v>
      </c>
      <c r="P420" s="70">
        <v>450</v>
      </c>
      <c r="Q420" s="70">
        <v>5</v>
      </c>
      <c r="R420" s="70" t="s">
        <v>79</v>
      </c>
      <c r="S420" s="70" t="s">
        <v>115</v>
      </c>
      <c r="T420" s="70" t="s">
        <v>89</v>
      </c>
      <c r="U420" s="70">
        <v>9853525026</v>
      </c>
      <c r="V420" s="70" t="s">
        <v>69</v>
      </c>
      <c r="AQ420" s="86">
        <v>45741</v>
      </c>
    </row>
    <row r="421" spans="1:43" x14ac:dyDescent="0.5">
      <c r="A421" s="72" t="s">
        <v>1813</v>
      </c>
      <c r="B421" s="73" t="s">
        <v>127</v>
      </c>
      <c r="C421" s="73" t="s">
        <v>72</v>
      </c>
      <c r="D421" s="87">
        <v>45774</v>
      </c>
      <c r="E421" s="73" t="s">
        <v>596</v>
      </c>
      <c r="F421" s="70" t="s">
        <v>200</v>
      </c>
      <c r="G421" s="73" t="s">
        <v>76</v>
      </c>
      <c r="H421" s="73" t="s">
        <v>1814</v>
      </c>
      <c r="I421" s="73" t="s">
        <v>105</v>
      </c>
      <c r="J421" s="73" t="s">
        <v>106</v>
      </c>
      <c r="K421" s="73" t="s">
        <v>46</v>
      </c>
      <c r="L421" s="73" t="s">
        <v>78</v>
      </c>
      <c r="M421" s="73">
        <v>20</v>
      </c>
      <c r="N421" s="73">
        <v>1200</v>
      </c>
      <c r="O421" s="71">
        <v>0.2</v>
      </c>
      <c r="P421" s="73">
        <v>19200</v>
      </c>
      <c r="Q421" s="73">
        <v>5</v>
      </c>
      <c r="R421" s="73" t="s">
        <v>48</v>
      </c>
      <c r="S421" s="73" t="s">
        <v>61</v>
      </c>
      <c r="T421" s="70" t="s">
        <v>132</v>
      </c>
      <c r="U421" s="73">
        <v>9209649485</v>
      </c>
      <c r="V421" s="73" t="s">
        <v>69</v>
      </c>
      <c r="AQ421" s="87">
        <v>45774</v>
      </c>
    </row>
    <row r="422" spans="1:43" x14ac:dyDescent="0.5">
      <c r="A422" s="69" t="s">
        <v>1816</v>
      </c>
      <c r="B422" s="70" t="s">
        <v>71</v>
      </c>
      <c r="C422" s="70" t="s">
        <v>72</v>
      </c>
      <c r="D422" s="86">
        <v>45919</v>
      </c>
      <c r="E422" s="70" t="s">
        <v>1817</v>
      </c>
      <c r="F422" s="70" t="s">
        <v>217</v>
      </c>
      <c r="G422" s="70" t="s">
        <v>76</v>
      </c>
      <c r="H422" s="70" t="s">
        <v>1818</v>
      </c>
      <c r="I422" s="70" t="s">
        <v>114</v>
      </c>
      <c r="J422" s="70" t="s">
        <v>106</v>
      </c>
      <c r="K422" s="70" t="s">
        <v>46</v>
      </c>
      <c r="L422" s="70" t="s">
        <v>78</v>
      </c>
      <c r="M422" s="70">
        <v>8</v>
      </c>
      <c r="N422" s="70">
        <v>1200</v>
      </c>
      <c r="O422" s="71">
        <v>0.1</v>
      </c>
      <c r="P422" s="70">
        <v>8640</v>
      </c>
      <c r="Q422" s="70">
        <v>4</v>
      </c>
      <c r="R422" s="70" t="s">
        <v>48</v>
      </c>
      <c r="S422" s="70" t="s">
        <v>61</v>
      </c>
      <c r="T422" s="70" t="s">
        <v>80</v>
      </c>
      <c r="U422" s="70">
        <v>9712905525</v>
      </c>
      <c r="V422" s="70" t="s">
        <v>38</v>
      </c>
      <c r="AQ422" s="86">
        <v>45919</v>
      </c>
    </row>
    <row r="423" spans="1:43" x14ac:dyDescent="0.5">
      <c r="A423" s="72" t="s">
        <v>1820</v>
      </c>
      <c r="B423" s="73" t="s">
        <v>127</v>
      </c>
      <c r="C423" s="73" t="s">
        <v>72</v>
      </c>
      <c r="D423" s="87">
        <v>45795</v>
      </c>
      <c r="E423" s="73" t="s">
        <v>1086</v>
      </c>
      <c r="F423" s="70" t="s">
        <v>200</v>
      </c>
      <c r="G423" s="73" t="s">
        <v>76</v>
      </c>
      <c r="H423" s="73" t="s">
        <v>1821</v>
      </c>
      <c r="I423" s="73" t="s">
        <v>212</v>
      </c>
      <c r="J423" s="73" t="s">
        <v>45</v>
      </c>
      <c r="K423" s="73" t="s">
        <v>46</v>
      </c>
      <c r="L423" s="73" t="s">
        <v>78</v>
      </c>
      <c r="M423" s="73">
        <v>8</v>
      </c>
      <c r="N423" s="73">
        <v>1200</v>
      </c>
      <c r="O423" s="71">
        <v>0.1</v>
      </c>
      <c r="P423" s="73">
        <v>8640</v>
      </c>
      <c r="Q423" s="73">
        <v>5</v>
      </c>
      <c r="R423" s="73" t="s">
        <v>79</v>
      </c>
      <c r="S423" s="73" t="s">
        <v>49</v>
      </c>
      <c r="T423" s="70" t="s">
        <v>132</v>
      </c>
      <c r="U423" s="73">
        <v>9812472447</v>
      </c>
      <c r="V423" s="73" t="s">
        <v>69</v>
      </c>
      <c r="AQ423" s="87">
        <v>45795</v>
      </c>
    </row>
    <row r="424" spans="1:43" x14ac:dyDescent="0.5">
      <c r="A424" s="69" t="s">
        <v>1823</v>
      </c>
      <c r="B424" s="70" t="s">
        <v>327</v>
      </c>
      <c r="C424" s="70" t="s">
        <v>24</v>
      </c>
      <c r="D424" s="86">
        <v>46020</v>
      </c>
      <c r="E424" s="70" t="s">
        <v>1444</v>
      </c>
      <c r="F424" s="70" t="s">
        <v>394</v>
      </c>
      <c r="G424" s="70" t="s">
        <v>76</v>
      </c>
      <c r="H424" s="70" t="s">
        <v>1825</v>
      </c>
      <c r="I424" s="70" t="s">
        <v>212</v>
      </c>
      <c r="J424" s="70" t="s">
        <v>45</v>
      </c>
      <c r="K424" s="70" t="s">
        <v>32</v>
      </c>
      <c r="L424" s="70" t="s">
        <v>33</v>
      </c>
      <c r="M424" s="70">
        <v>9</v>
      </c>
      <c r="N424" s="70">
        <v>2200</v>
      </c>
      <c r="O424" s="71">
        <v>0.2</v>
      </c>
      <c r="P424" s="70">
        <v>15840</v>
      </c>
      <c r="Q424" s="70">
        <v>1</v>
      </c>
      <c r="R424" s="70" t="s">
        <v>48</v>
      </c>
      <c r="S424" s="70" t="s">
        <v>115</v>
      </c>
      <c r="T424" s="70" t="s">
        <v>332</v>
      </c>
      <c r="U424" s="70">
        <v>9281127052</v>
      </c>
      <c r="V424" s="70" t="s">
        <v>38</v>
      </c>
      <c r="AQ424" s="86">
        <v>46020</v>
      </c>
    </row>
    <row r="425" spans="1:43" x14ac:dyDescent="0.5">
      <c r="A425" s="72" t="s">
        <v>1827</v>
      </c>
      <c r="B425" s="73" t="s">
        <v>127</v>
      </c>
      <c r="C425" s="73" t="s">
        <v>222</v>
      </c>
      <c r="D425" s="87">
        <v>45669</v>
      </c>
      <c r="E425" s="73" t="s">
        <v>760</v>
      </c>
      <c r="F425" s="70" t="s">
        <v>200</v>
      </c>
      <c r="G425" s="73" t="s">
        <v>76</v>
      </c>
      <c r="H425" s="73" t="s">
        <v>1828</v>
      </c>
      <c r="I425" s="73" t="s">
        <v>294</v>
      </c>
      <c r="J425" s="73" t="s">
        <v>295</v>
      </c>
      <c r="K425" s="73" t="s">
        <v>122</v>
      </c>
      <c r="L425" s="73" t="s">
        <v>227</v>
      </c>
      <c r="M425" s="73">
        <v>8</v>
      </c>
      <c r="N425" s="73">
        <v>20</v>
      </c>
      <c r="O425" s="71">
        <v>0.2</v>
      </c>
      <c r="P425" s="73">
        <v>128</v>
      </c>
      <c r="Q425" s="73">
        <v>4</v>
      </c>
      <c r="R425" s="73" t="s">
        <v>34</v>
      </c>
      <c r="S425" s="73" t="s">
        <v>35</v>
      </c>
      <c r="T425" s="70" t="s">
        <v>132</v>
      </c>
      <c r="U425" s="73">
        <v>9346312555</v>
      </c>
      <c r="V425" s="73" t="s">
        <v>69</v>
      </c>
      <c r="AQ425" s="87">
        <v>45992</v>
      </c>
    </row>
    <row r="426" spans="1:43" x14ac:dyDescent="0.5">
      <c r="A426" s="69" t="s">
        <v>1830</v>
      </c>
      <c r="B426" s="70" t="s">
        <v>221</v>
      </c>
      <c r="C426" s="70" t="s">
        <v>54</v>
      </c>
      <c r="D426" s="86">
        <v>46035</v>
      </c>
      <c r="E426" s="70" t="s">
        <v>1831</v>
      </c>
      <c r="F426" s="70" t="s">
        <v>225</v>
      </c>
      <c r="G426" s="70" t="s">
        <v>76</v>
      </c>
      <c r="H426" s="70" t="s">
        <v>1006</v>
      </c>
      <c r="I426" s="70" t="s">
        <v>114</v>
      </c>
      <c r="J426" s="70" t="s">
        <v>106</v>
      </c>
      <c r="K426" s="70" t="s">
        <v>46</v>
      </c>
      <c r="L426" s="70" t="s">
        <v>60</v>
      </c>
      <c r="M426" s="70">
        <v>5</v>
      </c>
      <c r="N426" s="70">
        <v>55000</v>
      </c>
      <c r="O426" s="71">
        <v>0</v>
      </c>
      <c r="P426" s="70">
        <v>275000</v>
      </c>
      <c r="Q426" s="70">
        <v>1</v>
      </c>
      <c r="R426" s="70" t="s">
        <v>79</v>
      </c>
      <c r="S426" s="70" t="s">
        <v>115</v>
      </c>
      <c r="T426" s="70" t="s">
        <v>228</v>
      </c>
      <c r="U426" s="70">
        <v>9443786067</v>
      </c>
      <c r="V426" s="70" t="s">
        <v>38</v>
      </c>
      <c r="AQ426" s="86">
        <v>46035</v>
      </c>
    </row>
    <row r="427" spans="1:43" x14ac:dyDescent="0.5">
      <c r="A427" s="72" t="s">
        <v>1833</v>
      </c>
      <c r="B427" s="73" t="s">
        <v>100</v>
      </c>
      <c r="C427" s="73" t="s">
        <v>72</v>
      </c>
      <c r="D427" s="87">
        <v>46096</v>
      </c>
      <c r="E427" s="73" t="s">
        <v>636</v>
      </c>
      <c r="F427" s="70" t="s">
        <v>103</v>
      </c>
      <c r="G427" s="73" t="s">
        <v>28</v>
      </c>
      <c r="H427" s="73" t="s">
        <v>1835</v>
      </c>
      <c r="I427" s="73" t="s">
        <v>105</v>
      </c>
      <c r="J427" s="73" t="s">
        <v>106</v>
      </c>
      <c r="K427" s="73" t="s">
        <v>46</v>
      </c>
      <c r="L427" s="73" t="s">
        <v>78</v>
      </c>
      <c r="M427" s="73">
        <v>13</v>
      </c>
      <c r="N427" s="73">
        <v>1200</v>
      </c>
      <c r="O427" s="71">
        <v>0.05</v>
      </c>
      <c r="P427" s="73">
        <v>14820</v>
      </c>
      <c r="Q427" s="73">
        <v>2</v>
      </c>
      <c r="R427" s="73" t="s">
        <v>79</v>
      </c>
      <c r="S427" s="73" t="s">
        <v>35</v>
      </c>
      <c r="T427" s="70" t="s">
        <v>144</v>
      </c>
      <c r="U427" s="73">
        <v>9452540528</v>
      </c>
      <c r="V427" s="73" t="s">
        <v>69</v>
      </c>
      <c r="AQ427" s="87">
        <v>46096</v>
      </c>
    </row>
    <row r="428" spans="1:43" x14ac:dyDescent="0.5">
      <c r="A428" s="69" t="s">
        <v>1837</v>
      </c>
      <c r="B428" s="70" t="s">
        <v>83</v>
      </c>
      <c r="C428" s="70" t="s">
        <v>169</v>
      </c>
      <c r="D428" s="86">
        <v>45986</v>
      </c>
      <c r="E428" s="70" t="s">
        <v>1838</v>
      </c>
      <c r="F428" s="70" t="s">
        <v>180</v>
      </c>
      <c r="G428" s="70" t="s">
        <v>76</v>
      </c>
      <c r="H428" s="70" t="s">
        <v>1839</v>
      </c>
      <c r="I428" s="70" t="s">
        <v>212</v>
      </c>
      <c r="J428" s="70" t="s">
        <v>45</v>
      </c>
      <c r="K428" s="70" t="s">
        <v>32</v>
      </c>
      <c r="L428" s="70" t="s">
        <v>174</v>
      </c>
      <c r="M428" s="70">
        <v>13</v>
      </c>
      <c r="N428" s="70">
        <v>8500</v>
      </c>
      <c r="O428" s="71">
        <v>0.2</v>
      </c>
      <c r="P428" s="70">
        <v>88400</v>
      </c>
      <c r="Q428" s="70">
        <v>5</v>
      </c>
      <c r="R428" s="70" t="s">
        <v>34</v>
      </c>
      <c r="S428" s="70" t="s">
        <v>49</v>
      </c>
      <c r="T428" s="70" t="s">
        <v>89</v>
      </c>
      <c r="U428" s="70">
        <v>9750918728</v>
      </c>
      <c r="V428" s="70" t="s">
        <v>64</v>
      </c>
      <c r="AQ428" s="86">
        <v>45986</v>
      </c>
    </row>
    <row r="429" spans="1:43" x14ac:dyDescent="0.5">
      <c r="A429" s="72" t="s">
        <v>1841</v>
      </c>
      <c r="B429" s="73" t="s">
        <v>71</v>
      </c>
      <c r="C429" s="73" t="s">
        <v>118</v>
      </c>
      <c r="D429" s="87">
        <v>45692</v>
      </c>
      <c r="E429" s="73" t="s">
        <v>1842</v>
      </c>
      <c r="F429" s="70" t="s">
        <v>217</v>
      </c>
      <c r="G429" s="73" t="s">
        <v>76</v>
      </c>
      <c r="H429" s="73" t="s">
        <v>1843</v>
      </c>
      <c r="I429" s="73" t="s">
        <v>114</v>
      </c>
      <c r="J429" s="73" t="s">
        <v>106</v>
      </c>
      <c r="K429" s="73" t="s">
        <v>122</v>
      </c>
      <c r="L429" s="73" t="s">
        <v>123</v>
      </c>
      <c r="M429" s="73">
        <v>14</v>
      </c>
      <c r="N429" s="73">
        <v>60</v>
      </c>
      <c r="O429" s="71">
        <v>0.1</v>
      </c>
      <c r="P429" s="73">
        <v>756</v>
      </c>
      <c r="Q429" s="73">
        <v>1</v>
      </c>
      <c r="R429" s="73" t="s">
        <v>34</v>
      </c>
      <c r="S429" s="73" t="s">
        <v>61</v>
      </c>
      <c r="T429" s="70" t="s">
        <v>80</v>
      </c>
      <c r="U429" s="73">
        <v>9375975834</v>
      </c>
      <c r="V429" s="73" t="s">
        <v>69</v>
      </c>
      <c r="AQ429" s="87">
        <v>45749</v>
      </c>
    </row>
    <row r="430" spans="1:43" x14ac:dyDescent="0.5">
      <c r="A430" s="69" t="s">
        <v>1845</v>
      </c>
      <c r="B430" s="70" t="s">
        <v>251</v>
      </c>
      <c r="C430" s="70" t="s">
        <v>24</v>
      </c>
      <c r="D430" s="86">
        <v>45775</v>
      </c>
      <c r="E430" s="70" t="s">
        <v>606</v>
      </c>
      <c r="F430" s="70" t="s">
        <v>254</v>
      </c>
      <c r="G430" s="70" t="s">
        <v>28</v>
      </c>
      <c r="H430" s="70" t="s">
        <v>1846</v>
      </c>
      <c r="I430" s="70" t="s">
        <v>59</v>
      </c>
      <c r="J430" s="70" t="s">
        <v>31</v>
      </c>
      <c r="K430" s="70" t="s">
        <v>32</v>
      </c>
      <c r="L430" s="70" t="s">
        <v>33</v>
      </c>
      <c r="M430" s="70">
        <v>15</v>
      </c>
      <c r="N430" s="70">
        <v>2200</v>
      </c>
      <c r="O430" s="71">
        <v>0</v>
      </c>
      <c r="P430" s="70">
        <v>33000</v>
      </c>
      <c r="Q430" s="70">
        <v>1</v>
      </c>
      <c r="R430" s="70" t="s">
        <v>34</v>
      </c>
      <c r="S430" s="70" t="s">
        <v>61</v>
      </c>
      <c r="T430" s="70" t="s">
        <v>256</v>
      </c>
      <c r="U430" s="70">
        <v>9497321112</v>
      </c>
      <c r="V430" s="70" t="s">
        <v>38</v>
      </c>
      <c r="AQ430" s="86">
        <v>45775</v>
      </c>
    </row>
    <row r="431" spans="1:43" x14ac:dyDescent="0.5">
      <c r="A431" s="72" t="s">
        <v>1848</v>
      </c>
      <c r="B431" s="73" t="s">
        <v>83</v>
      </c>
      <c r="C431" s="73" t="s">
        <v>118</v>
      </c>
      <c r="D431" s="87">
        <v>45896</v>
      </c>
      <c r="E431" s="73" t="s">
        <v>1850</v>
      </c>
      <c r="F431" s="70" t="s">
        <v>180</v>
      </c>
      <c r="G431" s="73" t="s">
        <v>76</v>
      </c>
      <c r="H431" s="73" t="s">
        <v>1851</v>
      </c>
      <c r="I431" s="73" t="s">
        <v>212</v>
      </c>
      <c r="J431" s="73" t="s">
        <v>45</v>
      </c>
      <c r="K431" s="73" t="s">
        <v>122</v>
      </c>
      <c r="L431" s="73" t="s">
        <v>123</v>
      </c>
      <c r="M431" s="73">
        <v>19</v>
      </c>
      <c r="N431" s="73">
        <v>60</v>
      </c>
      <c r="O431" s="71">
        <v>0.2</v>
      </c>
      <c r="P431" s="73">
        <v>912</v>
      </c>
      <c r="Q431" s="73">
        <v>3</v>
      </c>
      <c r="R431" s="73" t="s">
        <v>34</v>
      </c>
      <c r="S431" s="73" t="s">
        <v>151</v>
      </c>
      <c r="T431" s="70" t="s">
        <v>89</v>
      </c>
      <c r="U431" s="73">
        <v>9828749888</v>
      </c>
      <c r="V431" s="73" t="s">
        <v>64</v>
      </c>
      <c r="AQ431" s="87">
        <v>45896</v>
      </c>
    </row>
    <row r="432" spans="1:43" x14ac:dyDescent="0.5">
      <c r="A432" s="69" t="s">
        <v>1853</v>
      </c>
      <c r="B432" s="70" t="s">
        <v>53</v>
      </c>
      <c r="C432" s="70" t="s">
        <v>259</v>
      </c>
      <c r="D432" s="86">
        <v>45942</v>
      </c>
      <c r="E432" s="70" t="s">
        <v>341</v>
      </c>
      <c r="F432" s="70" t="s">
        <v>163</v>
      </c>
      <c r="G432" s="70" t="s">
        <v>28</v>
      </c>
      <c r="H432" s="70" t="s">
        <v>1854</v>
      </c>
      <c r="I432" s="70" t="s">
        <v>212</v>
      </c>
      <c r="J432" s="70" t="s">
        <v>45</v>
      </c>
      <c r="K432" s="70" t="s">
        <v>122</v>
      </c>
      <c r="L432" s="70" t="s">
        <v>263</v>
      </c>
      <c r="M432" s="70">
        <v>13</v>
      </c>
      <c r="N432" s="70">
        <v>45</v>
      </c>
      <c r="O432" s="71">
        <v>0.15</v>
      </c>
      <c r="P432" s="70">
        <v>497.25</v>
      </c>
      <c r="Q432" s="70">
        <v>2</v>
      </c>
      <c r="R432" s="70" t="s">
        <v>34</v>
      </c>
      <c r="S432" s="70" t="s">
        <v>49</v>
      </c>
      <c r="T432" s="70" t="s">
        <v>62</v>
      </c>
      <c r="U432" s="70">
        <v>9814267382</v>
      </c>
      <c r="V432" s="70" t="s">
        <v>38</v>
      </c>
      <c r="AQ432" s="86">
        <v>46001</v>
      </c>
    </row>
    <row r="433" spans="1:43" x14ac:dyDescent="0.5">
      <c r="A433" s="72" t="s">
        <v>1856</v>
      </c>
      <c r="B433" s="73" t="s">
        <v>251</v>
      </c>
      <c r="C433" s="73" t="s">
        <v>40</v>
      </c>
      <c r="D433" s="87">
        <v>46036</v>
      </c>
      <c r="E433" s="73" t="s">
        <v>1128</v>
      </c>
      <c r="F433" s="70" t="s">
        <v>254</v>
      </c>
      <c r="G433" s="73" t="s">
        <v>28</v>
      </c>
      <c r="H433" s="73" t="s">
        <v>1857</v>
      </c>
      <c r="I433" s="73" t="s">
        <v>105</v>
      </c>
      <c r="J433" s="73" t="s">
        <v>106</v>
      </c>
      <c r="K433" s="73" t="s">
        <v>46</v>
      </c>
      <c r="L433" s="73" t="s">
        <v>47</v>
      </c>
      <c r="M433" s="73">
        <v>7</v>
      </c>
      <c r="N433" s="73">
        <v>12000</v>
      </c>
      <c r="O433" s="71">
        <v>0.05</v>
      </c>
      <c r="P433" s="73">
        <v>79800</v>
      </c>
      <c r="Q433" s="73">
        <v>4</v>
      </c>
      <c r="R433" s="73" t="s">
        <v>79</v>
      </c>
      <c r="S433" s="73" t="s">
        <v>151</v>
      </c>
      <c r="T433" s="70" t="s">
        <v>256</v>
      </c>
      <c r="U433" s="73">
        <v>9937007439</v>
      </c>
      <c r="V433" s="73" t="s">
        <v>69</v>
      </c>
      <c r="AQ433" s="87">
        <v>46036</v>
      </c>
    </row>
    <row r="434" spans="1:43" x14ac:dyDescent="0.5">
      <c r="A434" s="69" t="s">
        <v>1859</v>
      </c>
      <c r="B434" s="70" t="s">
        <v>327</v>
      </c>
      <c r="C434" s="70" t="s">
        <v>222</v>
      </c>
      <c r="D434" s="86">
        <v>46152</v>
      </c>
      <c r="E434" s="70" t="s">
        <v>64</v>
      </c>
      <c r="F434" s="70" t="s">
        <v>394</v>
      </c>
      <c r="G434" s="70" t="s">
        <v>76</v>
      </c>
      <c r="H434" s="70" t="s">
        <v>1860</v>
      </c>
      <c r="I434" s="70" t="s">
        <v>294</v>
      </c>
      <c r="J434" s="70" t="s">
        <v>295</v>
      </c>
      <c r="K434" s="70" t="s">
        <v>122</v>
      </c>
      <c r="L434" s="70" t="s">
        <v>227</v>
      </c>
      <c r="M434" s="70">
        <v>8</v>
      </c>
      <c r="N434" s="70">
        <v>20</v>
      </c>
      <c r="O434" s="71">
        <v>0</v>
      </c>
      <c r="P434" s="70">
        <v>160</v>
      </c>
      <c r="Q434" s="70">
        <v>4</v>
      </c>
      <c r="R434" s="70" t="s">
        <v>79</v>
      </c>
      <c r="S434" s="70" t="s">
        <v>61</v>
      </c>
      <c r="T434" s="70" t="s">
        <v>332</v>
      </c>
      <c r="U434" s="70">
        <v>9657513435</v>
      </c>
      <c r="V434" s="70" t="s">
        <v>64</v>
      </c>
      <c r="AQ434" s="86">
        <v>46300</v>
      </c>
    </row>
    <row r="435" spans="1:43" x14ac:dyDescent="0.5">
      <c r="A435" s="72" t="s">
        <v>1862</v>
      </c>
      <c r="B435" s="73" t="s">
        <v>23</v>
      </c>
      <c r="C435" s="73" t="s">
        <v>92</v>
      </c>
      <c r="D435" s="87">
        <v>45689</v>
      </c>
      <c r="E435" s="73" t="s">
        <v>900</v>
      </c>
      <c r="F435" s="70" t="s">
        <v>27</v>
      </c>
      <c r="G435" s="73" t="s">
        <v>28</v>
      </c>
      <c r="H435" s="73" t="s">
        <v>1864</v>
      </c>
      <c r="I435" s="73" t="s">
        <v>294</v>
      </c>
      <c r="J435" s="73" t="s">
        <v>295</v>
      </c>
      <c r="K435" s="73" t="s">
        <v>32</v>
      </c>
      <c r="L435" s="73" t="s">
        <v>97</v>
      </c>
      <c r="M435" s="73">
        <v>16</v>
      </c>
      <c r="N435" s="73">
        <v>3500</v>
      </c>
      <c r="O435" s="71">
        <v>0.05</v>
      </c>
      <c r="P435" s="73">
        <v>53200</v>
      </c>
      <c r="Q435" s="73">
        <v>1</v>
      </c>
      <c r="R435" s="73" t="s">
        <v>79</v>
      </c>
      <c r="S435" s="73" t="s">
        <v>61</v>
      </c>
      <c r="T435" s="70" t="s">
        <v>50</v>
      </c>
      <c r="U435" s="73">
        <v>9999406260</v>
      </c>
      <c r="V435" s="73" t="s">
        <v>69</v>
      </c>
      <c r="AQ435" s="87">
        <v>45659</v>
      </c>
    </row>
    <row r="436" spans="1:43" x14ac:dyDescent="0.5">
      <c r="A436" s="69" t="s">
        <v>1866</v>
      </c>
      <c r="B436" s="70" t="s">
        <v>327</v>
      </c>
      <c r="C436" s="70" t="s">
        <v>169</v>
      </c>
      <c r="D436" s="86">
        <v>45710</v>
      </c>
      <c r="E436" s="70" t="s">
        <v>1157</v>
      </c>
      <c r="F436" s="70" t="s">
        <v>394</v>
      </c>
      <c r="G436" s="70" t="s">
        <v>76</v>
      </c>
      <c r="H436" s="70" t="s">
        <v>1868</v>
      </c>
      <c r="I436" s="70" t="s">
        <v>105</v>
      </c>
      <c r="J436" s="70" t="s">
        <v>106</v>
      </c>
      <c r="K436" s="70" t="s">
        <v>32</v>
      </c>
      <c r="L436" s="70" t="s">
        <v>174</v>
      </c>
      <c r="M436" s="70">
        <v>12</v>
      </c>
      <c r="N436" s="70">
        <v>8500</v>
      </c>
      <c r="O436" s="71">
        <v>0.1</v>
      </c>
      <c r="P436" s="70">
        <v>91800</v>
      </c>
      <c r="Q436" s="70">
        <v>3</v>
      </c>
      <c r="R436" s="70" t="s">
        <v>79</v>
      </c>
      <c r="S436" s="70" t="s">
        <v>35</v>
      </c>
      <c r="T436" s="70" t="s">
        <v>332</v>
      </c>
      <c r="U436" s="70">
        <v>9233727886</v>
      </c>
      <c r="V436" s="70" t="s">
        <v>38</v>
      </c>
      <c r="AQ436" s="86">
        <v>45710</v>
      </c>
    </row>
    <row r="437" spans="1:43" x14ac:dyDescent="0.5">
      <c r="A437" s="72" t="s">
        <v>1870</v>
      </c>
      <c r="B437" s="73" t="s">
        <v>23</v>
      </c>
      <c r="C437" s="73" t="s">
        <v>118</v>
      </c>
      <c r="D437" s="87">
        <v>45765</v>
      </c>
      <c r="E437" s="73" t="s">
        <v>1114</v>
      </c>
      <c r="F437" s="70" t="s">
        <v>27</v>
      </c>
      <c r="G437" s="73" t="s">
        <v>28</v>
      </c>
      <c r="H437" s="73" t="s">
        <v>1871</v>
      </c>
      <c r="I437" s="73" t="s">
        <v>138</v>
      </c>
      <c r="J437" s="73" t="s">
        <v>106</v>
      </c>
      <c r="K437" s="73" t="s">
        <v>122</v>
      </c>
      <c r="L437" s="73" t="s">
        <v>123</v>
      </c>
      <c r="M437" s="73">
        <v>1</v>
      </c>
      <c r="N437" s="73">
        <v>60</v>
      </c>
      <c r="O437" s="71">
        <v>0.2</v>
      </c>
      <c r="P437" s="73">
        <v>48</v>
      </c>
      <c r="Q437" s="73">
        <v>2</v>
      </c>
      <c r="R437" s="73" t="s">
        <v>79</v>
      </c>
      <c r="S437" s="73" t="s">
        <v>151</v>
      </c>
      <c r="T437" s="70" t="s">
        <v>50</v>
      </c>
      <c r="U437" s="73">
        <v>9831688801</v>
      </c>
      <c r="V437" s="73" t="s">
        <v>38</v>
      </c>
      <c r="AQ437" s="87">
        <v>45765</v>
      </c>
    </row>
    <row r="438" spans="1:43" x14ac:dyDescent="0.5">
      <c r="A438" s="69" t="s">
        <v>1873</v>
      </c>
      <c r="B438" s="70" t="s">
        <v>127</v>
      </c>
      <c r="C438" s="70" t="s">
        <v>118</v>
      </c>
      <c r="D438" s="86">
        <v>45967</v>
      </c>
      <c r="E438" s="70" t="s">
        <v>535</v>
      </c>
      <c r="F438" s="70" t="s">
        <v>200</v>
      </c>
      <c r="G438" s="70" t="s">
        <v>76</v>
      </c>
      <c r="H438" s="70" t="s">
        <v>1874</v>
      </c>
      <c r="I438" s="70" t="s">
        <v>30</v>
      </c>
      <c r="J438" s="70" t="s">
        <v>31</v>
      </c>
      <c r="K438" s="70" t="s">
        <v>122</v>
      </c>
      <c r="L438" s="70" t="s">
        <v>123</v>
      </c>
      <c r="M438" s="70">
        <v>3</v>
      </c>
      <c r="N438" s="70">
        <v>60</v>
      </c>
      <c r="O438" s="71">
        <v>0.15</v>
      </c>
      <c r="P438" s="70">
        <v>153</v>
      </c>
      <c r="Q438" s="70">
        <v>4</v>
      </c>
      <c r="R438" s="70" t="s">
        <v>79</v>
      </c>
      <c r="S438" s="70" t="s">
        <v>35</v>
      </c>
      <c r="T438" s="70" t="s">
        <v>132</v>
      </c>
      <c r="U438" s="70">
        <v>9982849508</v>
      </c>
      <c r="V438" s="70" t="s">
        <v>38</v>
      </c>
      <c r="AQ438" s="86">
        <v>45819</v>
      </c>
    </row>
    <row r="439" spans="1:43" x14ac:dyDescent="0.5">
      <c r="A439" s="72" t="s">
        <v>1876</v>
      </c>
      <c r="B439" s="73" t="s">
        <v>100</v>
      </c>
      <c r="C439" s="73" t="s">
        <v>184</v>
      </c>
      <c r="D439" s="87">
        <v>45736</v>
      </c>
      <c r="E439" s="73" t="s">
        <v>119</v>
      </c>
      <c r="F439" s="70" t="s">
        <v>103</v>
      </c>
      <c r="G439" s="73" t="s">
        <v>28</v>
      </c>
      <c r="H439" s="73" t="s">
        <v>1877</v>
      </c>
      <c r="I439" s="73" t="s">
        <v>294</v>
      </c>
      <c r="J439" s="73" t="s">
        <v>295</v>
      </c>
      <c r="K439" s="73" t="s">
        <v>46</v>
      </c>
      <c r="L439" s="73" t="s">
        <v>189</v>
      </c>
      <c r="M439" s="73">
        <v>10</v>
      </c>
      <c r="N439" s="73">
        <v>700</v>
      </c>
      <c r="O439" s="71">
        <v>0.15</v>
      </c>
      <c r="P439" s="73">
        <v>5950</v>
      </c>
      <c r="Q439" s="73">
        <v>3</v>
      </c>
      <c r="R439" s="73" t="s">
        <v>48</v>
      </c>
      <c r="S439" s="73" t="s">
        <v>35</v>
      </c>
      <c r="T439" s="70" t="s">
        <v>144</v>
      </c>
      <c r="U439" s="73">
        <v>9288309246</v>
      </c>
      <c r="V439" s="73" t="s">
        <v>64</v>
      </c>
      <c r="AQ439" s="87">
        <v>45736</v>
      </c>
    </row>
    <row r="440" spans="1:43" x14ac:dyDescent="0.5">
      <c r="A440" s="69" t="s">
        <v>1879</v>
      </c>
      <c r="B440" s="70" t="s">
        <v>83</v>
      </c>
      <c r="C440" s="70" t="s">
        <v>222</v>
      </c>
      <c r="D440" s="86">
        <v>45952</v>
      </c>
      <c r="E440" s="70" t="s">
        <v>1881</v>
      </c>
      <c r="F440" s="70" t="s">
        <v>180</v>
      </c>
      <c r="G440" s="70" t="s">
        <v>76</v>
      </c>
      <c r="H440" s="70" t="s">
        <v>1882</v>
      </c>
      <c r="I440" s="70" t="s">
        <v>138</v>
      </c>
      <c r="J440" s="70" t="s">
        <v>106</v>
      </c>
      <c r="K440" s="70" t="s">
        <v>122</v>
      </c>
      <c r="L440" s="70" t="s">
        <v>227</v>
      </c>
      <c r="M440" s="70">
        <v>2</v>
      </c>
      <c r="N440" s="70">
        <v>20</v>
      </c>
      <c r="O440" s="71">
        <v>0.1</v>
      </c>
      <c r="P440" s="70">
        <v>36</v>
      </c>
      <c r="Q440" s="70">
        <v>2</v>
      </c>
      <c r="R440" s="70" t="s">
        <v>88</v>
      </c>
      <c r="S440" s="70" t="s">
        <v>61</v>
      </c>
      <c r="T440" s="70" t="s">
        <v>89</v>
      </c>
      <c r="U440" s="70">
        <v>9808476235</v>
      </c>
      <c r="V440" s="70" t="s">
        <v>38</v>
      </c>
      <c r="AQ440" s="86">
        <v>45952</v>
      </c>
    </row>
    <row r="441" spans="1:43" x14ac:dyDescent="0.5">
      <c r="A441" s="72" t="s">
        <v>1884</v>
      </c>
      <c r="B441" s="73" t="s">
        <v>83</v>
      </c>
      <c r="C441" s="73" t="s">
        <v>222</v>
      </c>
      <c r="D441" s="87">
        <v>46022</v>
      </c>
      <c r="E441" s="73" t="s">
        <v>1199</v>
      </c>
      <c r="F441" s="70" t="s">
        <v>180</v>
      </c>
      <c r="G441" s="73" t="s">
        <v>76</v>
      </c>
      <c r="H441" s="73" t="s">
        <v>1886</v>
      </c>
      <c r="I441" s="73" t="s">
        <v>44</v>
      </c>
      <c r="J441" s="73" t="s">
        <v>45</v>
      </c>
      <c r="K441" s="73" t="s">
        <v>122</v>
      </c>
      <c r="L441" s="73" t="s">
        <v>227</v>
      </c>
      <c r="M441" s="73">
        <v>14</v>
      </c>
      <c r="N441" s="73">
        <v>20</v>
      </c>
      <c r="O441" s="71">
        <v>0.2</v>
      </c>
      <c r="P441" s="73">
        <v>224</v>
      </c>
      <c r="Q441" s="73">
        <v>5</v>
      </c>
      <c r="R441" s="73" t="s">
        <v>34</v>
      </c>
      <c r="S441" s="73" t="s">
        <v>151</v>
      </c>
      <c r="T441" s="70" t="s">
        <v>89</v>
      </c>
      <c r="U441" s="73">
        <v>9869056117</v>
      </c>
      <c r="V441" s="73" t="s">
        <v>64</v>
      </c>
      <c r="AQ441" s="87">
        <v>46022</v>
      </c>
    </row>
    <row r="442" spans="1:43" x14ac:dyDescent="0.5">
      <c r="A442" s="69" t="s">
        <v>1888</v>
      </c>
      <c r="B442" s="70" t="s">
        <v>327</v>
      </c>
      <c r="C442" s="70" t="s">
        <v>92</v>
      </c>
      <c r="D442" s="86">
        <v>45829</v>
      </c>
      <c r="E442" s="70" t="s">
        <v>193</v>
      </c>
      <c r="F442" s="70" t="s">
        <v>394</v>
      </c>
      <c r="G442" s="70" t="s">
        <v>76</v>
      </c>
      <c r="H442" s="70" t="s">
        <v>1889</v>
      </c>
      <c r="I442" s="70" t="s">
        <v>138</v>
      </c>
      <c r="J442" s="70" t="s">
        <v>106</v>
      </c>
      <c r="K442" s="70" t="s">
        <v>32</v>
      </c>
      <c r="L442" s="70" t="s">
        <v>97</v>
      </c>
      <c r="M442" s="70">
        <v>4</v>
      </c>
      <c r="N442" s="70">
        <v>3500</v>
      </c>
      <c r="O442" s="71">
        <v>0</v>
      </c>
      <c r="P442" s="70">
        <v>14000</v>
      </c>
      <c r="Q442" s="70">
        <v>2</v>
      </c>
      <c r="R442" s="70" t="s">
        <v>88</v>
      </c>
      <c r="S442" s="70" t="s">
        <v>35</v>
      </c>
      <c r="T442" s="70" t="s">
        <v>332</v>
      </c>
      <c r="U442" s="70">
        <v>9734229772</v>
      </c>
      <c r="V442" s="70" t="s">
        <v>69</v>
      </c>
      <c r="AQ442" s="86">
        <v>45829</v>
      </c>
    </row>
    <row r="443" spans="1:43" x14ac:dyDescent="0.5">
      <c r="A443" s="72" t="s">
        <v>1891</v>
      </c>
      <c r="B443" s="73" t="s">
        <v>83</v>
      </c>
      <c r="C443" s="73" t="s">
        <v>92</v>
      </c>
      <c r="D443" s="87">
        <v>45812</v>
      </c>
      <c r="E443" s="73" t="s">
        <v>1119</v>
      </c>
      <c r="F443" s="70" t="s">
        <v>180</v>
      </c>
      <c r="G443" s="73" t="s">
        <v>76</v>
      </c>
      <c r="H443" s="73" t="s">
        <v>1892</v>
      </c>
      <c r="I443" s="73" t="s">
        <v>212</v>
      </c>
      <c r="J443" s="73" t="s">
        <v>45</v>
      </c>
      <c r="K443" s="73" t="s">
        <v>32</v>
      </c>
      <c r="L443" s="73" t="s">
        <v>97</v>
      </c>
      <c r="M443" s="73">
        <v>9</v>
      </c>
      <c r="N443" s="73">
        <v>3500</v>
      </c>
      <c r="O443" s="71">
        <v>0.05</v>
      </c>
      <c r="P443" s="73">
        <v>29925</v>
      </c>
      <c r="Q443" s="73">
        <v>3</v>
      </c>
      <c r="R443" s="73" t="s">
        <v>79</v>
      </c>
      <c r="S443" s="73" t="s">
        <v>61</v>
      </c>
      <c r="T443" s="70" t="s">
        <v>89</v>
      </c>
      <c r="U443" s="73">
        <v>9791617906</v>
      </c>
      <c r="V443" s="73" t="s">
        <v>38</v>
      </c>
      <c r="AQ443" s="87">
        <v>45753</v>
      </c>
    </row>
    <row r="444" spans="1:43" x14ac:dyDescent="0.5">
      <c r="A444" s="69" t="s">
        <v>1894</v>
      </c>
      <c r="B444" s="70" t="s">
        <v>127</v>
      </c>
      <c r="C444" s="70" t="s">
        <v>118</v>
      </c>
      <c r="D444" s="86">
        <v>45807</v>
      </c>
      <c r="E444" s="70" t="s">
        <v>1465</v>
      </c>
      <c r="F444" s="70" t="s">
        <v>200</v>
      </c>
      <c r="G444" s="70" t="s">
        <v>76</v>
      </c>
      <c r="H444" s="70" t="s">
        <v>1895</v>
      </c>
      <c r="I444" s="70" t="s">
        <v>105</v>
      </c>
      <c r="J444" s="70" t="s">
        <v>106</v>
      </c>
      <c r="K444" s="70" t="s">
        <v>122</v>
      </c>
      <c r="L444" s="70" t="s">
        <v>123</v>
      </c>
      <c r="M444" s="70">
        <v>9</v>
      </c>
      <c r="N444" s="70">
        <v>60</v>
      </c>
      <c r="O444" s="71">
        <v>0</v>
      </c>
      <c r="P444" s="70">
        <v>540</v>
      </c>
      <c r="Q444" s="70">
        <v>3</v>
      </c>
      <c r="R444" s="70" t="s">
        <v>88</v>
      </c>
      <c r="S444" s="70" t="s">
        <v>35</v>
      </c>
      <c r="T444" s="70" t="s">
        <v>132</v>
      </c>
      <c r="U444" s="70">
        <v>9286316823</v>
      </c>
      <c r="V444" s="70" t="s">
        <v>64</v>
      </c>
      <c r="AQ444" s="86">
        <v>45807</v>
      </c>
    </row>
    <row r="445" spans="1:43" x14ac:dyDescent="0.5">
      <c r="A445" s="72" t="s">
        <v>1897</v>
      </c>
      <c r="B445" s="73" t="s">
        <v>168</v>
      </c>
      <c r="C445" s="73" t="s">
        <v>72</v>
      </c>
      <c r="D445" s="87">
        <v>45779</v>
      </c>
      <c r="E445" s="73" t="s">
        <v>1263</v>
      </c>
      <c r="F445" s="70" t="s">
        <v>361</v>
      </c>
      <c r="G445" s="73" t="s">
        <v>28</v>
      </c>
      <c r="H445" s="73" t="s">
        <v>1899</v>
      </c>
      <c r="I445" s="73" t="s">
        <v>138</v>
      </c>
      <c r="J445" s="73" t="s">
        <v>106</v>
      </c>
      <c r="K445" s="73" t="s">
        <v>46</v>
      </c>
      <c r="L445" s="73" t="s">
        <v>78</v>
      </c>
      <c r="M445" s="73">
        <v>4</v>
      </c>
      <c r="N445" s="73">
        <v>1200</v>
      </c>
      <c r="O445" s="71">
        <v>0</v>
      </c>
      <c r="P445" s="73">
        <v>4800</v>
      </c>
      <c r="Q445" s="73">
        <v>1</v>
      </c>
      <c r="R445" s="73" t="s">
        <v>48</v>
      </c>
      <c r="S445" s="73" t="s">
        <v>61</v>
      </c>
      <c r="T445" s="70" t="s">
        <v>175</v>
      </c>
      <c r="U445" s="73">
        <v>9810569252</v>
      </c>
      <c r="V445" s="73" t="s">
        <v>38</v>
      </c>
      <c r="AQ445" s="87">
        <v>45693</v>
      </c>
    </row>
    <row r="446" spans="1:43" x14ac:dyDescent="0.5">
      <c r="A446" s="69" t="s">
        <v>1901</v>
      </c>
      <c r="B446" s="70" t="s">
        <v>53</v>
      </c>
      <c r="C446" s="70" t="s">
        <v>54</v>
      </c>
      <c r="D446" s="86">
        <v>45691</v>
      </c>
      <c r="E446" s="70" t="s">
        <v>302</v>
      </c>
      <c r="F446" s="70" t="s">
        <v>163</v>
      </c>
      <c r="G446" s="70" t="s">
        <v>28</v>
      </c>
      <c r="H446" s="70" t="s">
        <v>1902</v>
      </c>
      <c r="I446" s="70" t="s">
        <v>30</v>
      </c>
      <c r="J446" s="70" t="s">
        <v>31</v>
      </c>
      <c r="K446" s="70" t="s">
        <v>46</v>
      </c>
      <c r="L446" s="70" t="s">
        <v>60</v>
      </c>
      <c r="M446" s="70">
        <v>10</v>
      </c>
      <c r="N446" s="70">
        <v>55000</v>
      </c>
      <c r="O446" s="71">
        <v>0.05</v>
      </c>
      <c r="P446" s="70">
        <v>522500</v>
      </c>
      <c r="Q446" s="70">
        <v>5</v>
      </c>
      <c r="R446" s="70" t="s">
        <v>88</v>
      </c>
      <c r="S446" s="70" t="s">
        <v>115</v>
      </c>
      <c r="T446" s="70" t="s">
        <v>62</v>
      </c>
      <c r="U446" s="70">
        <v>9771745925</v>
      </c>
      <c r="V446" s="70" t="s">
        <v>38</v>
      </c>
      <c r="AQ446" s="86">
        <v>45718</v>
      </c>
    </row>
    <row r="447" spans="1:43" x14ac:dyDescent="0.5">
      <c r="A447" s="72" t="s">
        <v>1904</v>
      </c>
      <c r="B447" s="73" t="s">
        <v>221</v>
      </c>
      <c r="C447" s="73" t="s">
        <v>259</v>
      </c>
      <c r="D447" s="87">
        <v>45837</v>
      </c>
      <c r="E447" s="73" t="s">
        <v>881</v>
      </c>
      <c r="F447" s="70" t="s">
        <v>225</v>
      </c>
      <c r="G447" s="73" t="s">
        <v>76</v>
      </c>
      <c r="H447" s="73" t="s">
        <v>1906</v>
      </c>
      <c r="I447" s="73" t="s">
        <v>30</v>
      </c>
      <c r="J447" s="73" t="s">
        <v>31</v>
      </c>
      <c r="K447" s="73" t="s">
        <v>122</v>
      </c>
      <c r="L447" s="73" t="s">
        <v>263</v>
      </c>
      <c r="M447" s="73">
        <v>20</v>
      </c>
      <c r="N447" s="73">
        <v>45</v>
      </c>
      <c r="O447" s="71">
        <v>0.15</v>
      </c>
      <c r="P447" s="73">
        <v>765</v>
      </c>
      <c r="Q447" s="73">
        <v>2</v>
      </c>
      <c r="R447" s="73" t="s">
        <v>79</v>
      </c>
      <c r="S447" s="73" t="s">
        <v>35</v>
      </c>
      <c r="T447" s="70" t="s">
        <v>228</v>
      </c>
      <c r="U447" s="73">
        <v>9820683063</v>
      </c>
      <c r="V447" s="73" t="s">
        <v>69</v>
      </c>
      <c r="AQ447" s="87">
        <v>45837</v>
      </c>
    </row>
    <row r="448" spans="1:43" x14ac:dyDescent="0.5">
      <c r="A448" s="69" t="s">
        <v>1908</v>
      </c>
      <c r="B448" s="70" t="s">
        <v>23</v>
      </c>
      <c r="C448" s="70" t="s">
        <v>222</v>
      </c>
      <c r="D448" s="86">
        <v>46065</v>
      </c>
      <c r="E448" s="70" t="s">
        <v>170</v>
      </c>
      <c r="F448" s="70" t="s">
        <v>27</v>
      </c>
      <c r="G448" s="70" t="s">
        <v>28</v>
      </c>
      <c r="H448" s="70" t="s">
        <v>1909</v>
      </c>
      <c r="I448" s="70" t="s">
        <v>105</v>
      </c>
      <c r="J448" s="70" t="s">
        <v>106</v>
      </c>
      <c r="K448" s="70" t="s">
        <v>122</v>
      </c>
      <c r="L448" s="70" t="s">
        <v>227</v>
      </c>
      <c r="M448" s="70">
        <v>9</v>
      </c>
      <c r="N448" s="70">
        <v>20</v>
      </c>
      <c r="O448" s="71">
        <v>0.2</v>
      </c>
      <c r="P448" s="70">
        <v>144</v>
      </c>
      <c r="Q448" s="70">
        <v>3</v>
      </c>
      <c r="R448" s="70" t="s">
        <v>79</v>
      </c>
      <c r="S448" s="70" t="s">
        <v>61</v>
      </c>
      <c r="T448" s="70" t="s">
        <v>50</v>
      </c>
      <c r="U448" s="70">
        <v>9292891941</v>
      </c>
      <c r="V448" s="70" t="s">
        <v>38</v>
      </c>
      <c r="AQ448" s="86">
        <v>46358</v>
      </c>
    </row>
    <row r="449" spans="1:43" x14ac:dyDescent="0.5">
      <c r="A449" s="72" t="s">
        <v>1911</v>
      </c>
      <c r="B449" s="73" t="s">
        <v>23</v>
      </c>
      <c r="C449" s="73" t="s">
        <v>54</v>
      </c>
      <c r="D449" s="87">
        <v>45719</v>
      </c>
      <c r="E449" s="73" t="s">
        <v>910</v>
      </c>
      <c r="F449" s="70" t="s">
        <v>27</v>
      </c>
      <c r="G449" s="73" t="s">
        <v>28</v>
      </c>
      <c r="H449" s="73" t="s">
        <v>1913</v>
      </c>
      <c r="I449" s="73" t="s">
        <v>114</v>
      </c>
      <c r="J449" s="73" t="s">
        <v>106</v>
      </c>
      <c r="K449" s="73" t="s">
        <v>46</v>
      </c>
      <c r="L449" s="73" t="s">
        <v>60</v>
      </c>
      <c r="M449" s="73">
        <v>8</v>
      </c>
      <c r="N449" s="73">
        <v>55000</v>
      </c>
      <c r="O449" s="71">
        <v>0</v>
      </c>
      <c r="P449" s="73">
        <v>440000</v>
      </c>
      <c r="Q449" s="73">
        <v>4</v>
      </c>
      <c r="R449" s="73" t="s">
        <v>34</v>
      </c>
      <c r="S449" s="73" t="s">
        <v>115</v>
      </c>
      <c r="T449" s="70" t="s">
        <v>50</v>
      </c>
      <c r="U449" s="73">
        <v>9413789556</v>
      </c>
      <c r="V449" s="73" t="s">
        <v>38</v>
      </c>
      <c r="AQ449" s="87">
        <v>45719</v>
      </c>
    </row>
    <row r="450" spans="1:43" x14ac:dyDescent="0.5">
      <c r="A450" s="69" t="s">
        <v>1915</v>
      </c>
      <c r="B450" s="70" t="s">
        <v>327</v>
      </c>
      <c r="C450" s="70" t="s">
        <v>72</v>
      </c>
      <c r="D450" s="86">
        <v>46136</v>
      </c>
      <c r="E450" s="70" t="s">
        <v>1430</v>
      </c>
      <c r="F450" s="70" t="s">
        <v>394</v>
      </c>
      <c r="G450" s="70" t="s">
        <v>76</v>
      </c>
      <c r="H450" s="70" t="s">
        <v>1917</v>
      </c>
      <c r="I450" s="70" t="s">
        <v>138</v>
      </c>
      <c r="J450" s="70" t="s">
        <v>106</v>
      </c>
      <c r="K450" s="70" t="s">
        <v>46</v>
      </c>
      <c r="L450" s="70" t="s">
        <v>78</v>
      </c>
      <c r="M450" s="70">
        <v>4</v>
      </c>
      <c r="N450" s="70">
        <v>1200</v>
      </c>
      <c r="O450" s="71">
        <v>0.1</v>
      </c>
      <c r="P450" s="70">
        <v>4320</v>
      </c>
      <c r="Q450" s="70">
        <v>4</v>
      </c>
      <c r="R450" s="70" t="s">
        <v>88</v>
      </c>
      <c r="S450" s="70" t="s">
        <v>35</v>
      </c>
      <c r="T450" s="70" t="s">
        <v>332</v>
      </c>
      <c r="U450" s="70">
        <v>98765</v>
      </c>
      <c r="V450" s="70" t="s">
        <v>69</v>
      </c>
      <c r="AQ450" s="86">
        <v>46136</v>
      </c>
    </row>
    <row r="451" spans="1:43" x14ac:dyDescent="0.5">
      <c r="A451" s="72" t="s">
        <v>1920</v>
      </c>
      <c r="B451" s="73" t="s">
        <v>327</v>
      </c>
      <c r="C451" s="73" t="s">
        <v>169</v>
      </c>
      <c r="D451" s="87">
        <v>46145</v>
      </c>
      <c r="E451" s="73" t="s">
        <v>426</v>
      </c>
      <c r="F451" s="70" t="s">
        <v>394</v>
      </c>
      <c r="G451" s="73" t="s">
        <v>76</v>
      </c>
      <c r="H451" s="73" t="s">
        <v>1921</v>
      </c>
      <c r="I451" s="73" t="s">
        <v>294</v>
      </c>
      <c r="J451" s="73" t="s">
        <v>295</v>
      </c>
      <c r="K451" s="73" t="s">
        <v>32</v>
      </c>
      <c r="L451" s="73" t="s">
        <v>174</v>
      </c>
      <c r="M451" s="73">
        <v>14</v>
      </c>
      <c r="N451" s="73">
        <v>8500</v>
      </c>
      <c r="O451" s="71">
        <v>0.1</v>
      </c>
      <c r="P451" s="73">
        <v>107100</v>
      </c>
      <c r="Q451" s="73">
        <v>4</v>
      </c>
      <c r="R451" s="73" t="s">
        <v>34</v>
      </c>
      <c r="S451" s="73" t="s">
        <v>35</v>
      </c>
      <c r="T451" s="70" t="s">
        <v>332</v>
      </c>
      <c r="U451" s="73">
        <v>9211936331</v>
      </c>
      <c r="V451" s="73" t="s">
        <v>38</v>
      </c>
      <c r="AQ451" s="87">
        <v>46086</v>
      </c>
    </row>
    <row r="452" spans="1:43" x14ac:dyDescent="0.5">
      <c r="A452" s="69" t="s">
        <v>1923</v>
      </c>
      <c r="B452" s="70" t="s">
        <v>71</v>
      </c>
      <c r="C452" s="70" t="s">
        <v>259</v>
      </c>
      <c r="D452" s="86">
        <v>45807</v>
      </c>
      <c r="E452" s="70" t="s">
        <v>1924</v>
      </c>
      <c r="F452" s="70" t="s">
        <v>217</v>
      </c>
      <c r="G452" s="70" t="s">
        <v>76</v>
      </c>
      <c r="H452" s="70" t="s">
        <v>1925</v>
      </c>
      <c r="I452" s="70" t="s">
        <v>30</v>
      </c>
      <c r="J452" s="70" t="s">
        <v>31</v>
      </c>
      <c r="K452" s="70" t="s">
        <v>122</v>
      </c>
      <c r="L452" s="70" t="s">
        <v>263</v>
      </c>
      <c r="M452" s="70">
        <v>1</v>
      </c>
      <c r="N452" s="70">
        <v>45</v>
      </c>
      <c r="O452" s="71">
        <v>0</v>
      </c>
      <c r="P452" s="70">
        <v>45</v>
      </c>
      <c r="Q452" s="70">
        <v>3</v>
      </c>
      <c r="R452" s="70" t="s">
        <v>88</v>
      </c>
      <c r="S452" s="70" t="s">
        <v>151</v>
      </c>
      <c r="T452" s="70" t="s">
        <v>80</v>
      </c>
      <c r="U452" s="70">
        <v>9167291747</v>
      </c>
      <c r="V452" s="70" t="s">
        <v>69</v>
      </c>
      <c r="AQ452" s="86">
        <v>45807</v>
      </c>
    </row>
    <row r="453" spans="1:43" x14ac:dyDescent="0.5">
      <c r="A453" s="72" t="s">
        <v>1927</v>
      </c>
      <c r="B453" s="73" t="s">
        <v>71</v>
      </c>
      <c r="C453" s="73" t="s">
        <v>54</v>
      </c>
      <c r="D453" s="87">
        <v>45705</v>
      </c>
      <c r="E453" s="73" t="s">
        <v>1069</v>
      </c>
      <c r="F453" s="70" t="s">
        <v>217</v>
      </c>
      <c r="G453" s="73" t="s">
        <v>76</v>
      </c>
      <c r="H453" s="73" t="s">
        <v>1928</v>
      </c>
      <c r="I453" s="73" t="s">
        <v>44</v>
      </c>
      <c r="J453" s="73" t="s">
        <v>45</v>
      </c>
      <c r="K453" s="73" t="s">
        <v>46</v>
      </c>
      <c r="L453" s="73" t="s">
        <v>60</v>
      </c>
      <c r="M453" s="73">
        <v>16</v>
      </c>
      <c r="N453" s="73">
        <v>55000</v>
      </c>
      <c r="O453" s="71">
        <v>0.15</v>
      </c>
      <c r="P453" s="73">
        <v>748000</v>
      </c>
      <c r="Q453" s="73">
        <v>1</v>
      </c>
      <c r="R453" s="73" t="s">
        <v>79</v>
      </c>
      <c r="S453" s="73" t="s">
        <v>151</v>
      </c>
      <c r="T453" s="70" t="s">
        <v>80</v>
      </c>
      <c r="U453" s="73">
        <v>9637283597</v>
      </c>
      <c r="V453" s="73" t="s">
        <v>69</v>
      </c>
      <c r="AQ453" s="87">
        <v>45705</v>
      </c>
    </row>
    <row r="454" spans="1:43" x14ac:dyDescent="0.5">
      <c r="A454" s="69" t="s">
        <v>1930</v>
      </c>
      <c r="B454" s="70" t="s">
        <v>53</v>
      </c>
      <c r="C454" s="70" t="s">
        <v>184</v>
      </c>
      <c r="D454" s="86">
        <v>46103</v>
      </c>
      <c r="E454" s="70" t="s">
        <v>1932</v>
      </c>
      <c r="F454" s="70" t="s">
        <v>163</v>
      </c>
      <c r="G454" s="70" t="s">
        <v>28</v>
      </c>
      <c r="H454" s="70" t="s">
        <v>1933</v>
      </c>
      <c r="I454" s="70" t="s">
        <v>138</v>
      </c>
      <c r="J454" s="70" t="s">
        <v>106</v>
      </c>
      <c r="K454" s="70" t="s">
        <v>46</v>
      </c>
      <c r="L454" s="70" t="s">
        <v>189</v>
      </c>
      <c r="M454" s="70">
        <v>8</v>
      </c>
      <c r="N454" s="70">
        <v>700</v>
      </c>
      <c r="O454" s="71">
        <v>0</v>
      </c>
      <c r="P454" s="70">
        <v>5600</v>
      </c>
      <c r="Q454" s="70">
        <v>3</v>
      </c>
      <c r="R454" s="70" t="s">
        <v>34</v>
      </c>
      <c r="S454" s="70" t="s">
        <v>49</v>
      </c>
      <c r="T454" s="70" t="s">
        <v>62</v>
      </c>
      <c r="U454" s="70">
        <v>9514269002</v>
      </c>
      <c r="V454" s="70" t="s">
        <v>38</v>
      </c>
      <c r="AQ454" s="86">
        <v>46103</v>
      </c>
    </row>
    <row r="455" spans="1:43" x14ac:dyDescent="0.5">
      <c r="A455" s="72" t="s">
        <v>1935</v>
      </c>
      <c r="B455" s="73" t="s">
        <v>251</v>
      </c>
      <c r="C455" s="73" t="s">
        <v>72</v>
      </c>
      <c r="D455" s="87">
        <v>46114</v>
      </c>
      <c r="E455" s="73" t="s">
        <v>1936</v>
      </c>
      <c r="F455" s="70" t="s">
        <v>254</v>
      </c>
      <c r="G455" s="73" t="s">
        <v>28</v>
      </c>
      <c r="H455" s="73" t="s">
        <v>1937</v>
      </c>
      <c r="I455" s="73" t="s">
        <v>138</v>
      </c>
      <c r="J455" s="73" t="s">
        <v>106</v>
      </c>
      <c r="K455" s="73" t="s">
        <v>46</v>
      </c>
      <c r="L455" s="73" t="s">
        <v>78</v>
      </c>
      <c r="M455" s="73">
        <v>3</v>
      </c>
      <c r="N455" s="73">
        <v>1200</v>
      </c>
      <c r="O455" s="71">
        <v>0</v>
      </c>
      <c r="P455" s="73">
        <v>3600</v>
      </c>
      <c r="Q455" s="73">
        <v>1</v>
      </c>
      <c r="R455" s="73" t="s">
        <v>79</v>
      </c>
      <c r="S455" s="73" t="s">
        <v>49</v>
      </c>
      <c r="T455" s="70" t="s">
        <v>256</v>
      </c>
      <c r="U455" s="73">
        <v>9778908233</v>
      </c>
      <c r="V455" s="73" t="s">
        <v>69</v>
      </c>
      <c r="AQ455" s="87">
        <v>46057</v>
      </c>
    </row>
    <row r="456" spans="1:43" x14ac:dyDescent="0.5">
      <c r="A456" s="69" t="s">
        <v>1939</v>
      </c>
      <c r="B456" s="70" t="s">
        <v>71</v>
      </c>
      <c r="C456" s="70" t="s">
        <v>92</v>
      </c>
      <c r="D456" s="86">
        <v>45706</v>
      </c>
      <c r="E456" s="70" t="s">
        <v>387</v>
      </c>
      <c r="F456" s="70" t="s">
        <v>217</v>
      </c>
      <c r="G456" s="70" t="s">
        <v>76</v>
      </c>
      <c r="H456" s="70" t="s">
        <v>1940</v>
      </c>
      <c r="I456" s="70" t="s">
        <v>294</v>
      </c>
      <c r="J456" s="70" t="s">
        <v>295</v>
      </c>
      <c r="K456" s="70" t="s">
        <v>32</v>
      </c>
      <c r="L456" s="70" t="s">
        <v>97</v>
      </c>
      <c r="M456" s="70">
        <v>7</v>
      </c>
      <c r="N456" s="70">
        <v>3500</v>
      </c>
      <c r="O456" s="71">
        <v>0.15</v>
      </c>
      <c r="P456" s="70">
        <v>20825</v>
      </c>
      <c r="Q456" s="70">
        <v>4</v>
      </c>
      <c r="R456" s="70" t="s">
        <v>79</v>
      </c>
      <c r="S456" s="70" t="s">
        <v>61</v>
      </c>
      <c r="T456" s="70" t="s">
        <v>80</v>
      </c>
      <c r="U456" s="70">
        <v>9981118755</v>
      </c>
      <c r="V456" s="70" t="s">
        <v>64</v>
      </c>
      <c r="AQ456" s="86">
        <v>45706</v>
      </c>
    </row>
    <row r="457" spans="1:43" x14ac:dyDescent="0.5">
      <c r="A457" s="72" t="s">
        <v>1942</v>
      </c>
      <c r="B457" s="73" t="s">
        <v>53</v>
      </c>
      <c r="C457" s="73" t="s">
        <v>54</v>
      </c>
      <c r="D457" s="87">
        <v>46110</v>
      </c>
      <c r="E457" s="73" t="s">
        <v>740</v>
      </c>
      <c r="F457" s="70" t="s">
        <v>163</v>
      </c>
      <c r="G457" s="73" t="s">
        <v>28</v>
      </c>
      <c r="H457" s="73" t="s">
        <v>1943</v>
      </c>
      <c r="I457" s="73" t="s">
        <v>114</v>
      </c>
      <c r="J457" s="73" t="s">
        <v>106</v>
      </c>
      <c r="K457" s="73" t="s">
        <v>46</v>
      </c>
      <c r="L457" s="73" t="s">
        <v>60</v>
      </c>
      <c r="M457" s="73">
        <v>9</v>
      </c>
      <c r="N457" s="73">
        <v>55000</v>
      </c>
      <c r="O457" s="71">
        <v>0.15</v>
      </c>
      <c r="P457" s="73">
        <v>420750</v>
      </c>
      <c r="Q457" s="73">
        <v>3</v>
      </c>
      <c r="R457" s="73" t="s">
        <v>88</v>
      </c>
      <c r="S457" s="73" t="s">
        <v>35</v>
      </c>
      <c r="T457" s="70" t="s">
        <v>62</v>
      </c>
      <c r="U457" s="73">
        <v>9887896743</v>
      </c>
      <c r="V457" s="73" t="s">
        <v>69</v>
      </c>
      <c r="AQ457" s="87">
        <v>46110</v>
      </c>
    </row>
    <row r="458" spans="1:43" x14ac:dyDescent="0.5">
      <c r="A458" s="69" t="s">
        <v>1945</v>
      </c>
      <c r="B458" s="70" t="s">
        <v>327</v>
      </c>
      <c r="C458" s="70" t="s">
        <v>40</v>
      </c>
      <c r="D458" s="86">
        <v>45992</v>
      </c>
      <c r="E458" s="70" t="s">
        <v>918</v>
      </c>
      <c r="F458" s="70" t="s">
        <v>394</v>
      </c>
      <c r="G458" s="70" t="s">
        <v>76</v>
      </c>
      <c r="H458" s="70" t="s">
        <v>1946</v>
      </c>
      <c r="I458" s="70" t="s">
        <v>59</v>
      </c>
      <c r="J458" s="70" t="s">
        <v>31</v>
      </c>
      <c r="K458" s="70" t="s">
        <v>46</v>
      </c>
      <c r="L458" s="70" t="s">
        <v>47</v>
      </c>
      <c r="M458" s="70">
        <v>12</v>
      </c>
      <c r="N458" s="70">
        <v>12000</v>
      </c>
      <c r="O458" s="71">
        <v>0</v>
      </c>
      <c r="P458" s="70">
        <v>144000</v>
      </c>
      <c r="Q458" s="70">
        <v>3</v>
      </c>
      <c r="R458" s="70" t="s">
        <v>79</v>
      </c>
      <c r="S458" s="70" t="s">
        <v>151</v>
      </c>
      <c r="T458" s="70" t="s">
        <v>332</v>
      </c>
      <c r="U458" s="70">
        <v>9585330043</v>
      </c>
      <c r="V458" s="70" t="s">
        <v>69</v>
      </c>
      <c r="AQ458" s="86">
        <v>45669</v>
      </c>
    </row>
    <row r="459" spans="1:43" x14ac:dyDescent="0.5">
      <c r="A459" s="72" t="s">
        <v>1948</v>
      </c>
      <c r="B459" s="73" t="s">
        <v>100</v>
      </c>
      <c r="C459" s="73" t="s">
        <v>118</v>
      </c>
      <c r="D459" s="87">
        <v>45781</v>
      </c>
      <c r="E459" s="73" t="s">
        <v>597</v>
      </c>
      <c r="F459" s="70" t="s">
        <v>103</v>
      </c>
      <c r="G459" s="73" t="s">
        <v>28</v>
      </c>
      <c r="H459" s="73" t="s">
        <v>1949</v>
      </c>
      <c r="I459" s="73" t="s">
        <v>138</v>
      </c>
      <c r="J459" s="73" t="s">
        <v>106</v>
      </c>
      <c r="K459" s="73" t="s">
        <v>122</v>
      </c>
      <c r="L459" s="73" t="s">
        <v>123</v>
      </c>
      <c r="M459" s="73">
        <v>7</v>
      </c>
      <c r="N459" s="73">
        <v>60</v>
      </c>
      <c r="O459" s="71">
        <v>0.1</v>
      </c>
      <c r="P459" s="73">
        <v>378</v>
      </c>
      <c r="Q459" s="73">
        <v>4</v>
      </c>
      <c r="R459" s="73" t="s">
        <v>34</v>
      </c>
      <c r="S459" s="73" t="s">
        <v>49</v>
      </c>
      <c r="T459" s="70" t="s">
        <v>144</v>
      </c>
      <c r="U459" s="73">
        <v>9423719975</v>
      </c>
      <c r="V459" s="73" t="s">
        <v>69</v>
      </c>
      <c r="AQ459" s="87">
        <v>45752</v>
      </c>
    </row>
    <row r="460" spans="1:43" x14ac:dyDescent="0.5">
      <c r="A460" s="69" t="s">
        <v>1951</v>
      </c>
      <c r="B460" s="70" t="s">
        <v>221</v>
      </c>
      <c r="C460" s="70" t="s">
        <v>24</v>
      </c>
      <c r="D460" s="86">
        <v>45892</v>
      </c>
      <c r="E460" s="70" t="s">
        <v>674</v>
      </c>
      <c r="F460" s="70" t="s">
        <v>225</v>
      </c>
      <c r="G460" s="70" t="s">
        <v>76</v>
      </c>
      <c r="H460" s="70" t="s">
        <v>1952</v>
      </c>
      <c r="I460" s="70" t="s">
        <v>105</v>
      </c>
      <c r="J460" s="70" t="s">
        <v>106</v>
      </c>
      <c r="K460" s="70" t="s">
        <v>32</v>
      </c>
      <c r="L460" s="70" t="s">
        <v>33</v>
      </c>
      <c r="M460" s="70">
        <v>17</v>
      </c>
      <c r="N460" s="70">
        <v>2200</v>
      </c>
      <c r="O460" s="71">
        <v>0.15</v>
      </c>
      <c r="P460" s="70">
        <v>31790</v>
      </c>
      <c r="Q460" s="70">
        <v>3</v>
      </c>
      <c r="R460" s="70" t="s">
        <v>88</v>
      </c>
      <c r="S460" s="70" t="s">
        <v>151</v>
      </c>
      <c r="T460" s="70" t="s">
        <v>228</v>
      </c>
      <c r="U460" s="70">
        <v>9270746961</v>
      </c>
      <c r="V460" s="70" t="s">
        <v>64</v>
      </c>
      <c r="AQ460" s="86">
        <v>45892</v>
      </c>
    </row>
    <row r="461" spans="1:43" x14ac:dyDescent="0.5">
      <c r="A461" s="72" t="s">
        <v>1954</v>
      </c>
      <c r="B461" s="73" t="s">
        <v>327</v>
      </c>
      <c r="C461" s="73" t="s">
        <v>184</v>
      </c>
      <c r="D461" s="87">
        <v>45988</v>
      </c>
      <c r="E461" s="73" t="s">
        <v>1537</v>
      </c>
      <c r="F461" s="70" t="s">
        <v>394</v>
      </c>
      <c r="G461" s="73" t="s">
        <v>76</v>
      </c>
      <c r="H461" s="73" t="s">
        <v>1955</v>
      </c>
      <c r="I461" s="73" t="s">
        <v>59</v>
      </c>
      <c r="J461" s="73" t="s">
        <v>31</v>
      </c>
      <c r="K461" s="73" t="s">
        <v>46</v>
      </c>
      <c r="L461" s="73" t="s">
        <v>189</v>
      </c>
      <c r="M461" s="73">
        <v>17</v>
      </c>
      <c r="N461" s="73">
        <v>700</v>
      </c>
      <c r="O461" s="71">
        <v>0.1</v>
      </c>
      <c r="P461" s="73">
        <v>10710</v>
      </c>
      <c r="Q461" s="73">
        <v>2</v>
      </c>
      <c r="R461" s="73" t="s">
        <v>34</v>
      </c>
      <c r="S461" s="73" t="s">
        <v>61</v>
      </c>
      <c r="T461" s="70" t="s">
        <v>332</v>
      </c>
      <c r="U461" s="73">
        <v>9333162025</v>
      </c>
      <c r="V461" s="73" t="s">
        <v>64</v>
      </c>
      <c r="AQ461" s="87">
        <v>45988</v>
      </c>
    </row>
    <row r="462" spans="1:43" x14ac:dyDescent="0.5">
      <c r="A462" s="69" t="s">
        <v>1957</v>
      </c>
      <c r="B462" s="70" t="s">
        <v>327</v>
      </c>
      <c r="C462" s="70" t="s">
        <v>54</v>
      </c>
      <c r="D462" s="86">
        <v>45806</v>
      </c>
      <c r="E462" s="70" t="s">
        <v>1188</v>
      </c>
      <c r="F462" s="70" t="s">
        <v>394</v>
      </c>
      <c r="G462" s="70" t="s">
        <v>76</v>
      </c>
      <c r="H462" s="70" t="s">
        <v>1959</v>
      </c>
      <c r="I462" s="70" t="s">
        <v>44</v>
      </c>
      <c r="J462" s="70" t="s">
        <v>45</v>
      </c>
      <c r="K462" s="70" t="s">
        <v>46</v>
      </c>
      <c r="L462" s="70" t="s">
        <v>60</v>
      </c>
      <c r="M462" s="70">
        <v>19</v>
      </c>
      <c r="N462" s="70">
        <v>55000</v>
      </c>
      <c r="O462" s="71">
        <v>0.2</v>
      </c>
      <c r="P462" s="70">
        <v>836000</v>
      </c>
      <c r="Q462" s="70">
        <v>5</v>
      </c>
      <c r="R462" s="70" t="s">
        <v>48</v>
      </c>
      <c r="S462" s="70" t="s">
        <v>61</v>
      </c>
      <c r="T462" s="70" t="s">
        <v>332</v>
      </c>
      <c r="U462" s="70">
        <v>9247023285</v>
      </c>
      <c r="V462" s="70" t="s">
        <v>38</v>
      </c>
      <c r="AQ462" s="86">
        <v>45806</v>
      </c>
    </row>
    <row r="463" spans="1:43" x14ac:dyDescent="0.5">
      <c r="A463" s="72" t="s">
        <v>1961</v>
      </c>
      <c r="B463" s="73" t="s">
        <v>127</v>
      </c>
      <c r="C463" s="73" t="s">
        <v>118</v>
      </c>
      <c r="D463" s="87">
        <v>45912</v>
      </c>
      <c r="E463" s="73" t="s">
        <v>128</v>
      </c>
      <c r="F463" s="70" t="s">
        <v>200</v>
      </c>
      <c r="G463" s="73" t="s">
        <v>76</v>
      </c>
      <c r="H463" s="73" t="s">
        <v>1962</v>
      </c>
      <c r="I463" s="73" t="s">
        <v>44</v>
      </c>
      <c r="J463" s="73" t="s">
        <v>45</v>
      </c>
      <c r="K463" s="73" t="s">
        <v>122</v>
      </c>
      <c r="L463" s="73" t="s">
        <v>123</v>
      </c>
      <c r="M463" s="73">
        <v>1</v>
      </c>
      <c r="N463" s="73">
        <v>60</v>
      </c>
      <c r="O463" s="71">
        <v>0.1</v>
      </c>
      <c r="P463" s="73">
        <v>54</v>
      </c>
      <c r="Q463" s="73">
        <v>4</v>
      </c>
      <c r="R463" s="73" t="s">
        <v>48</v>
      </c>
      <c r="S463" s="73" t="s">
        <v>2154</v>
      </c>
      <c r="T463" s="70" t="s">
        <v>132</v>
      </c>
      <c r="U463" s="73">
        <v>9448658297</v>
      </c>
      <c r="V463" s="73" t="s">
        <v>69</v>
      </c>
      <c r="AQ463" s="87">
        <v>46000</v>
      </c>
    </row>
    <row r="464" spans="1:43" x14ac:dyDescent="0.5">
      <c r="A464" s="69" t="s">
        <v>1965</v>
      </c>
      <c r="B464" s="70" t="s">
        <v>71</v>
      </c>
      <c r="C464" s="70" t="s">
        <v>92</v>
      </c>
      <c r="D464" s="86">
        <v>46085</v>
      </c>
      <c r="E464" s="70" t="s">
        <v>554</v>
      </c>
      <c r="F464" s="70" t="s">
        <v>217</v>
      </c>
      <c r="G464" s="70" t="s">
        <v>76</v>
      </c>
      <c r="H464" s="70" t="s">
        <v>1966</v>
      </c>
      <c r="I464" s="70" t="s">
        <v>30</v>
      </c>
      <c r="J464" s="70" t="s">
        <v>31</v>
      </c>
      <c r="K464" s="70" t="s">
        <v>32</v>
      </c>
      <c r="L464" s="70" t="s">
        <v>97</v>
      </c>
      <c r="M464" s="70">
        <v>16</v>
      </c>
      <c r="N464" s="70">
        <v>3500</v>
      </c>
      <c r="O464" s="71">
        <v>0</v>
      </c>
      <c r="P464" s="70">
        <v>56000</v>
      </c>
      <c r="Q464" s="70">
        <v>4</v>
      </c>
      <c r="R464" s="70" t="s">
        <v>48</v>
      </c>
      <c r="S464" s="70" t="s">
        <v>35</v>
      </c>
      <c r="T464" s="70" t="s">
        <v>80</v>
      </c>
      <c r="U464" s="70">
        <v>9906748486</v>
      </c>
      <c r="V464" s="70" t="s">
        <v>64</v>
      </c>
      <c r="AQ464" s="86">
        <v>46115</v>
      </c>
    </row>
    <row r="465" spans="1:43" x14ac:dyDescent="0.5">
      <c r="A465" s="72" t="s">
        <v>1968</v>
      </c>
      <c r="B465" s="73" t="s">
        <v>127</v>
      </c>
      <c r="C465" s="73" t="s">
        <v>222</v>
      </c>
      <c r="D465" s="87">
        <v>45681</v>
      </c>
      <c r="E465" s="73" t="s">
        <v>766</v>
      </c>
      <c r="F465" s="70" t="s">
        <v>200</v>
      </c>
      <c r="G465" s="73" t="s">
        <v>76</v>
      </c>
      <c r="H465" s="73" t="s">
        <v>1295</v>
      </c>
      <c r="I465" s="73" t="s">
        <v>114</v>
      </c>
      <c r="J465" s="73" t="s">
        <v>106</v>
      </c>
      <c r="K465" s="73" t="s">
        <v>122</v>
      </c>
      <c r="L465" s="73" t="s">
        <v>227</v>
      </c>
      <c r="M465" s="73">
        <v>14</v>
      </c>
      <c r="N465" s="73">
        <v>20</v>
      </c>
      <c r="O465" s="71">
        <v>0.1</v>
      </c>
      <c r="P465" s="73">
        <v>252</v>
      </c>
      <c r="Q465" s="73">
        <v>1</v>
      </c>
      <c r="R465" s="73" t="s">
        <v>48</v>
      </c>
      <c r="S465" s="73" t="s">
        <v>61</v>
      </c>
      <c r="T465" s="70" t="s">
        <v>132</v>
      </c>
      <c r="U465" s="73">
        <v>9365182725</v>
      </c>
      <c r="V465" s="73" t="s">
        <v>64</v>
      </c>
      <c r="AQ465" s="87">
        <v>45681</v>
      </c>
    </row>
    <row r="466" spans="1:43" x14ac:dyDescent="0.5">
      <c r="A466" s="69" t="s">
        <v>1970</v>
      </c>
      <c r="B466" s="70" t="s">
        <v>71</v>
      </c>
      <c r="C466" s="70" t="s">
        <v>24</v>
      </c>
      <c r="D466" s="86">
        <v>46004</v>
      </c>
      <c r="E466" s="70" t="s">
        <v>454</v>
      </c>
      <c r="F466" s="70" t="s">
        <v>217</v>
      </c>
      <c r="G466" s="70" t="s">
        <v>76</v>
      </c>
      <c r="H466" s="70" t="s">
        <v>1971</v>
      </c>
      <c r="I466" s="70" t="s">
        <v>59</v>
      </c>
      <c r="J466" s="70" t="s">
        <v>31</v>
      </c>
      <c r="K466" s="70" t="s">
        <v>32</v>
      </c>
      <c r="L466" s="70" t="s">
        <v>33</v>
      </c>
      <c r="M466" s="70">
        <v>11</v>
      </c>
      <c r="N466" s="70">
        <v>2200</v>
      </c>
      <c r="O466" s="71">
        <v>0.15</v>
      </c>
      <c r="P466" s="70">
        <v>20570</v>
      </c>
      <c r="Q466" s="70">
        <v>4</v>
      </c>
      <c r="R466" s="70" t="s">
        <v>48</v>
      </c>
      <c r="S466" s="70" t="s">
        <v>49</v>
      </c>
      <c r="T466" s="70" t="s">
        <v>80</v>
      </c>
      <c r="U466" s="70">
        <v>9937119494</v>
      </c>
      <c r="V466" s="70" t="s">
        <v>69</v>
      </c>
      <c r="AQ466" s="86">
        <v>46004</v>
      </c>
    </row>
    <row r="467" spans="1:43" x14ac:dyDescent="0.5">
      <c r="A467" s="72" t="s">
        <v>1973</v>
      </c>
      <c r="B467" s="73" t="s">
        <v>83</v>
      </c>
      <c r="C467" s="73" t="s">
        <v>54</v>
      </c>
      <c r="D467" s="87">
        <v>45870</v>
      </c>
      <c r="E467" s="73" t="s">
        <v>1282</v>
      </c>
      <c r="F467" s="70" t="s">
        <v>180</v>
      </c>
      <c r="G467" s="73" t="s">
        <v>76</v>
      </c>
      <c r="H467" s="73" t="s">
        <v>1974</v>
      </c>
      <c r="I467" s="73" t="s">
        <v>212</v>
      </c>
      <c r="J467" s="73" t="s">
        <v>45</v>
      </c>
      <c r="K467" s="73" t="s">
        <v>46</v>
      </c>
      <c r="L467" s="73" t="s">
        <v>60</v>
      </c>
      <c r="M467" s="73">
        <v>2</v>
      </c>
      <c r="N467" s="73">
        <v>55000</v>
      </c>
      <c r="O467" s="71">
        <v>0</v>
      </c>
      <c r="P467" s="73">
        <v>110000</v>
      </c>
      <c r="Q467" s="73">
        <v>4</v>
      </c>
      <c r="R467" s="73" t="s">
        <v>48</v>
      </c>
      <c r="S467" s="73" t="s">
        <v>49</v>
      </c>
      <c r="T467" s="70" t="s">
        <v>89</v>
      </c>
      <c r="U467" s="73">
        <v>9828015293</v>
      </c>
      <c r="V467" s="73" t="s">
        <v>69</v>
      </c>
      <c r="AQ467" s="87">
        <v>45665</v>
      </c>
    </row>
    <row r="468" spans="1:43" x14ac:dyDescent="0.5">
      <c r="A468" s="69" t="s">
        <v>1976</v>
      </c>
      <c r="B468" s="70" t="s">
        <v>53</v>
      </c>
      <c r="C468" s="70" t="s">
        <v>24</v>
      </c>
      <c r="D468" s="86">
        <v>45658</v>
      </c>
      <c r="E468" s="70" t="s">
        <v>513</v>
      </c>
      <c r="F468" s="70" t="s">
        <v>163</v>
      </c>
      <c r="G468" s="70" t="s">
        <v>28</v>
      </c>
      <c r="H468" s="70" t="s">
        <v>1977</v>
      </c>
      <c r="I468" s="70" t="s">
        <v>114</v>
      </c>
      <c r="J468" s="70" t="s">
        <v>106</v>
      </c>
      <c r="K468" s="70" t="s">
        <v>32</v>
      </c>
      <c r="L468" s="70" t="s">
        <v>33</v>
      </c>
      <c r="M468" s="70">
        <v>7</v>
      </c>
      <c r="N468" s="70">
        <v>2200</v>
      </c>
      <c r="O468" s="71">
        <v>0.05</v>
      </c>
      <c r="P468" s="70">
        <v>14630</v>
      </c>
      <c r="Q468" s="70">
        <v>4</v>
      </c>
      <c r="R468" s="70" t="s">
        <v>79</v>
      </c>
      <c r="S468" s="70" t="s">
        <v>115</v>
      </c>
      <c r="T468" s="70" t="s">
        <v>62</v>
      </c>
      <c r="U468" s="70">
        <v>9864206250</v>
      </c>
      <c r="V468" s="70" t="s">
        <v>69</v>
      </c>
      <c r="AQ468" s="86">
        <v>45658</v>
      </c>
    </row>
    <row r="469" spans="1:43" x14ac:dyDescent="0.5">
      <c r="A469" s="72" t="s">
        <v>1979</v>
      </c>
      <c r="B469" s="73" t="s">
        <v>23</v>
      </c>
      <c r="C469" s="73" t="s">
        <v>259</v>
      </c>
      <c r="D469" s="87">
        <v>45755</v>
      </c>
      <c r="E469" s="73" t="s">
        <v>577</v>
      </c>
      <c r="F469" s="70" t="s">
        <v>27</v>
      </c>
      <c r="G469" s="73" t="s">
        <v>28</v>
      </c>
      <c r="H469" s="73" t="s">
        <v>1980</v>
      </c>
      <c r="I469" s="73" t="s">
        <v>138</v>
      </c>
      <c r="J469" s="73" t="s">
        <v>106</v>
      </c>
      <c r="K469" s="73" t="s">
        <v>122</v>
      </c>
      <c r="L469" s="73" t="s">
        <v>263</v>
      </c>
      <c r="M469" s="73">
        <v>11</v>
      </c>
      <c r="N469" s="73">
        <v>45</v>
      </c>
      <c r="O469" s="71">
        <v>0.15</v>
      </c>
      <c r="P469" s="73">
        <v>420.75</v>
      </c>
      <c r="Q469" s="73">
        <v>4</v>
      </c>
      <c r="R469" s="73" t="s">
        <v>79</v>
      </c>
      <c r="S469" s="73" t="s">
        <v>61</v>
      </c>
      <c r="T469" s="70" t="s">
        <v>50</v>
      </c>
      <c r="U469" s="73">
        <v>9519293104</v>
      </c>
      <c r="V469" s="73" t="s">
        <v>64</v>
      </c>
      <c r="AQ469" s="87">
        <v>45873</v>
      </c>
    </row>
    <row r="470" spans="1:43" x14ac:dyDescent="0.5">
      <c r="A470" s="69" t="s">
        <v>1982</v>
      </c>
      <c r="B470" s="70" t="s">
        <v>100</v>
      </c>
      <c r="C470" s="70" t="s">
        <v>118</v>
      </c>
      <c r="D470" s="86">
        <v>45767</v>
      </c>
      <c r="E470" s="70" t="s">
        <v>210</v>
      </c>
      <c r="F470" s="70" t="s">
        <v>103</v>
      </c>
      <c r="G470" s="70" t="s">
        <v>28</v>
      </c>
      <c r="H470" s="70" t="s">
        <v>1983</v>
      </c>
      <c r="I470" s="70" t="s">
        <v>105</v>
      </c>
      <c r="J470" s="70" t="s">
        <v>106</v>
      </c>
      <c r="K470" s="70" t="s">
        <v>122</v>
      </c>
      <c r="L470" s="70" t="s">
        <v>123</v>
      </c>
      <c r="M470" s="70">
        <v>16</v>
      </c>
      <c r="N470" s="70">
        <v>60</v>
      </c>
      <c r="O470" s="71">
        <v>0.05</v>
      </c>
      <c r="P470" s="70">
        <v>912</v>
      </c>
      <c r="Q470" s="70">
        <v>2</v>
      </c>
      <c r="R470" s="70" t="s">
        <v>34</v>
      </c>
      <c r="S470" s="70" t="s">
        <v>115</v>
      </c>
      <c r="T470" s="70" t="s">
        <v>144</v>
      </c>
      <c r="U470" s="70">
        <v>9296075245</v>
      </c>
      <c r="V470" s="70" t="s">
        <v>69</v>
      </c>
      <c r="AQ470" s="86">
        <v>45767</v>
      </c>
    </row>
    <row r="471" spans="1:43" x14ac:dyDescent="0.5">
      <c r="A471" s="72" t="s">
        <v>1985</v>
      </c>
      <c r="B471" s="73" t="s">
        <v>327</v>
      </c>
      <c r="C471" s="73" t="s">
        <v>54</v>
      </c>
      <c r="D471" s="87">
        <v>45963</v>
      </c>
      <c r="E471" s="73" t="s">
        <v>864</v>
      </c>
      <c r="F471" s="70" t="s">
        <v>394</v>
      </c>
      <c r="G471" s="73" t="s">
        <v>76</v>
      </c>
      <c r="H471" s="73" t="s">
        <v>1986</v>
      </c>
      <c r="I471" s="73" t="s">
        <v>114</v>
      </c>
      <c r="J471" s="73" t="s">
        <v>106</v>
      </c>
      <c r="K471" s="73" t="s">
        <v>46</v>
      </c>
      <c r="L471" s="73" t="s">
        <v>60</v>
      </c>
      <c r="M471" s="73">
        <v>18</v>
      </c>
      <c r="N471" s="73">
        <v>55000</v>
      </c>
      <c r="O471" s="71">
        <v>0</v>
      </c>
      <c r="P471" s="73">
        <v>990000</v>
      </c>
      <c r="Q471" s="73">
        <v>5</v>
      </c>
      <c r="R471" s="73" t="s">
        <v>48</v>
      </c>
      <c r="S471" s="73" t="s">
        <v>49</v>
      </c>
      <c r="T471" s="70" t="s">
        <v>332</v>
      </c>
      <c r="U471" s="73">
        <v>9316770206</v>
      </c>
      <c r="V471" s="73" t="s">
        <v>64</v>
      </c>
      <c r="AQ471" s="87">
        <v>45699</v>
      </c>
    </row>
    <row r="472" spans="1:43" x14ac:dyDescent="0.5">
      <c r="A472" s="69" t="s">
        <v>1988</v>
      </c>
      <c r="B472" s="70" t="s">
        <v>23</v>
      </c>
      <c r="C472" s="70" t="s">
        <v>72</v>
      </c>
      <c r="D472" s="86">
        <v>45948</v>
      </c>
      <c r="E472" s="70" t="s">
        <v>1880</v>
      </c>
      <c r="F472" s="70" t="s">
        <v>27</v>
      </c>
      <c r="G472" s="70" t="s">
        <v>28</v>
      </c>
      <c r="H472" s="70" t="s">
        <v>1990</v>
      </c>
      <c r="I472" s="70" t="s">
        <v>59</v>
      </c>
      <c r="J472" s="70" t="s">
        <v>31</v>
      </c>
      <c r="K472" s="70" t="s">
        <v>46</v>
      </c>
      <c r="L472" s="70" t="s">
        <v>78</v>
      </c>
      <c r="M472" s="70">
        <v>17</v>
      </c>
      <c r="N472" s="70">
        <v>1200</v>
      </c>
      <c r="O472" s="71">
        <v>0.05</v>
      </c>
      <c r="P472" s="70">
        <v>19380</v>
      </c>
      <c r="Q472" s="70">
        <v>1</v>
      </c>
      <c r="R472" s="70" t="s">
        <v>48</v>
      </c>
      <c r="S472" s="70" t="s">
        <v>35</v>
      </c>
      <c r="T472" s="70" t="s">
        <v>50</v>
      </c>
      <c r="U472" s="70">
        <v>9706553861</v>
      </c>
      <c r="V472" s="70" t="s">
        <v>64</v>
      </c>
      <c r="AQ472" s="86">
        <v>45948</v>
      </c>
    </row>
    <row r="473" spans="1:43" x14ac:dyDescent="0.5">
      <c r="A473" s="72" t="s">
        <v>1992</v>
      </c>
      <c r="B473" s="73" t="s">
        <v>53</v>
      </c>
      <c r="C473" s="73" t="s">
        <v>54</v>
      </c>
      <c r="D473" s="87">
        <v>45774</v>
      </c>
      <c r="E473" s="73" t="s">
        <v>199</v>
      </c>
      <c r="F473" s="70" t="s">
        <v>163</v>
      </c>
      <c r="G473" s="73" t="s">
        <v>28</v>
      </c>
      <c r="H473" s="73" t="s">
        <v>1993</v>
      </c>
      <c r="I473" s="73" t="s">
        <v>114</v>
      </c>
      <c r="J473" s="73" t="s">
        <v>106</v>
      </c>
      <c r="K473" s="73" t="s">
        <v>46</v>
      </c>
      <c r="L473" s="73" t="s">
        <v>60</v>
      </c>
      <c r="M473" s="73">
        <v>11</v>
      </c>
      <c r="N473" s="73">
        <v>55000</v>
      </c>
      <c r="O473" s="71">
        <v>0</v>
      </c>
      <c r="P473" s="73">
        <v>605000</v>
      </c>
      <c r="Q473" s="73">
        <v>2</v>
      </c>
      <c r="R473" s="73" t="s">
        <v>34</v>
      </c>
      <c r="S473" s="73" t="s">
        <v>61</v>
      </c>
      <c r="T473" s="70" t="s">
        <v>62</v>
      </c>
      <c r="U473" s="73">
        <v>9524904662</v>
      </c>
      <c r="V473" s="73" t="s">
        <v>64</v>
      </c>
      <c r="AQ473" s="87">
        <v>45774</v>
      </c>
    </row>
    <row r="474" spans="1:43" x14ac:dyDescent="0.5">
      <c r="A474" s="69" t="s">
        <v>1995</v>
      </c>
      <c r="B474" s="70" t="s">
        <v>251</v>
      </c>
      <c r="C474" s="70" t="s">
        <v>184</v>
      </c>
      <c r="D474" s="86">
        <v>45799</v>
      </c>
      <c r="E474" s="70" t="s">
        <v>678</v>
      </c>
      <c r="F474" s="70" t="s">
        <v>254</v>
      </c>
      <c r="G474" s="70" t="s">
        <v>28</v>
      </c>
      <c r="H474" s="70" t="s">
        <v>1996</v>
      </c>
      <c r="I474" s="70" t="s">
        <v>44</v>
      </c>
      <c r="J474" s="70" t="s">
        <v>45</v>
      </c>
      <c r="K474" s="70" t="s">
        <v>46</v>
      </c>
      <c r="L474" s="70" t="s">
        <v>189</v>
      </c>
      <c r="M474" s="70">
        <v>20</v>
      </c>
      <c r="N474" s="70">
        <v>700</v>
      </c>
      <c r="O474" s="71">
        <v>0.2</v>
      </c>
      <c r="P474" s="70">
        <v>11200</v>
      </c>
      <c r="Q474" s="70">
        <v>5</v>
      </c>
      <c r="R474" s="70" t="s">
        <v>48</v>
      </c>
      <c r="S474" s="70" t="s">
        <v>61</v>
      </c>
      <c r="T474" s="70" t="s">
        <v>256</v>
      </c>
      <c r="U474" s="70">
        <v>9577624596</v>
      </c>
      <c r="V474" s="70" t="s">
        <v>38</v>
      </c>
      <c r="AQ474" s="86">
        <v>45799</v>
      </c>
    </row>
    <row r="475" spans="1:43" x14ac:dyDescent="0.5">
      <c r="A475" s="72" t="s">
        <v>1998</v>
      </c>
      <c r="B475" s="73" t="s">
        <v>71</v>
      </c>
      <c r="C475" s="73" t="s">
        <v>222</v>
      </c>
      <c r="D475" s="87">
        <v>46050</v>
      </c>
      <c r="E475" s="73" t="s">
        <v>322</v>
      </c>
      <c r="F475" s="70" t="s">
        <v>217</v>
      </c>
      <c r="G475" s="73" t="s">
        <v>76</v>
      </c>
      <c r="H475" s="73" t="s">
        <v>1999</v>
      </c>
      <c r="I475" s="73" t="s">
        <v>44</v>
      </c>
      <c r="J475" s="73" t="s">
        <v>45</v>
      </c>
      <c r="K475" s="73" t="s">
        <v>122</v>
      </c>
      <c r="L475" s="73" t="s">
        <v>227</v>
      </c>
      <c r="M475" s="73">
        <v>5</v>
      </c>
      <c r="N475" s="73">
        <v>20</v>
      </c>
      <c r="O475" s="71">
        <v>0.05</v>
      </c>
      <c r="P475" s="73">
        <v>95</v>
      </c>
      <c r="Q475" s="73">
        <v>4</v>
      </c>
      <c r="R475" s="73" t="s">
        <v>34</v>
      </c>
      <c r="S475" s="73" t="s">
        <v>49</v>
      </c>
      <c r="T475" s="70" t="s">
        <v>80</v>
      </c>
      <c r="U475" s="73">
        <v>9898452436</v>
      </c>
      <c r="V475" s="73" t="s">
        <v>69</v>
      </c>
      <c r="AQ475" s="87">
        <v>46050</v>
      </c>
    </row>
    <row r="476" spans="1:43" x14ac:dyDescent="0.5">
      <c r="A476" s="69" t="s">
        <v>2001</v>
      </c>
      <c r="B476" s="70" t="s">
        <v>327</v>
      </c>
      <c r="C476" s="70" t="s">
        <v>54</v>
      </c>
      <c r="D476" s="86">
        <v>45692</v>
      </c>
      <c r="E476" s="70" t="s">
        <v>1373</v>
      </c>
      <c r="F476" s="70" t="s">
        <v>394</v>
      </c>
      <c r="G476" s="70" t="s">
        <v>76</v>
      </c>
      <c r="H476" s="70" t="s">
        <v>2002</v>
      </c>
      <c r="I476" s="70" t="s">
        <v>105</v>
      </c>
      <c r="J476" s="70" t="s">
        <v>106</v>
      </c>
      <c r="K476" s="70" t="s">
        <v>46</v>
      </c>
      <c r="L476" s="70" t="s">
        <v>60</v>
      </c>
      <c r="M476" s="70">
        <v>13</v>
      </c>
      <c r="N476" s="70">
        <v>55000</v>
      </c>
      <c r="O476" s="71">
        <v>0.05</v>
      </c>
      <c r="P476" s="70">
        <v>679250</v>
      </c>
      <c r="Q476" s="70">
        <v>1</v>
      </c>
      <c r="R476" s="70" t="s">
        <v>48</v>
      </c>
      <c r="S476" s="70" t="s">
        <v>49</v>
      </c>
      <c r="T476" s="70" t="s">
        <v>332</v>
      </c>
      <c r="U476" s="70">
        <v>9960757012</v>
      </c>
      <c r="V476" s="70" t="s">
        <v>64</v>
      </c>
      <c r="AQ476" s="86">
        <v>45749</v>
      </c>
    </row>
    <row r="477" spans="1:43" x14ac:dyDescent="0.5">
      <c r="A477" s="72" t="s">
        <v>2004</v>
      </c>
      <c r="B477" s="73" t="s">
        <v>127</v>
      </c>
      <c r="C477" s="73" t="s">
        <v>54</v>
      </c>
      <c r="D477" s="87">
        <v>45766</v>
      </c>
      <c r="E477" s="73" t="s">
        <v>1114</v>
      </c>
      <c r="F477" s="70" t="s">
        <v>200</v>
      </c>
      <c r="G477" s="73" t="s">
        <v>76</v>
      </c>
      <c r="H477" s="73" t="s">
        <v>2005</v>
      </c>
      <c r="I477" s="73" t="s">
        <v>294</v>
      </c>
      <c r="J477" s="73" t="s">
        <v>295</v>
      </c>
      <c r="K477" s="73" t="s">
        <v>46</v>
      </c>
      <c r="L477" s="73" t="s">
        <v>60</v>
      </c>
      <c r="M477" s="73">
        <v>12</v>
      </c>
      <c r="N477" s="73">
        <v>55000</v>
      </c>
      <c r="O477" s="71">
        <v>0.05</v>
      </c>
      <c r="P477" s="73">
        <v>627000</v>
      </c>
      <c r="Q477" s="73">
        <v>1</v>
      </c>
      <c r="R477" s="73" t="s">
        <v>48</v>
      </c>
      <c r="S477" s="73" t="s">
        <v>115</v>
      </c>
      <c r="T477" s="70" t="s">
        <v>132</v>
      </c>
      <c r="U477" s="73">
        <v>9331268182</v>
      </c>
      <c r="V477" s="73" t="s">
        <v>69</v>
      </c>
      <c r="AQ477" s="87">
        <v>45766</v>
      </c>
    </row>
    <row r="478" spans="1:43" x14ac:dyDescent="0.5">
      <c r="A478" s="69" t="s">
        <v>2007</v>
      </c>
      <c r="B478" s="70" t="s">
        <v>53</v>
      </c>
      <c r="C478" s="70" t="s">
        <v>259</v>
      </c>
      <c r="D478" s="86">
        <v>45678</v>
      </c>
      <c r="E478" s="70" t="s">
        <v>1705</v>
      </c>
      <c r="F478" s="70" t="s">
        <v>163</v>
      </c>
      <c r="G478" s="70" t="s">
        <v>28</v>
      </c>
      <c r="H478" s="70" t="s">
        <v>2008</v>
      </c>
      <c r="I478" s="70" t="s">
        <v>105</v>
      </c>
      <c r="J478" s="70" t="s">
        <v>106</v>
      </c>
      <c r="K478" s="70" t="s">
        <v>122</v>
      </c>
      <c r="L478" s="70" t="s">
        <v>263</v>
      </c>
      <c r="M478" s="70">
        <v>16</v>
      </c>
      <c r="N478" s="70">
        <v>45</v>
      </c>
      <c r="O478" s="71">
        <v>0.2</v>
      </c>
      <c r="P478" s="70">
        <v>576</v>
      </c>
      <c r="Q478" s="70">
        <v>2</v>
      </c>
      <c r="R478" s="70" t="s">
        <v>34</v>
      </c>
      <c r="S478" s="70" t="s">
        <v>49</v>
      </c>
      <c r="T478" s="70" t="s">
        <v>62</v>
      </c>
      <c r="U478" s="70">
        <v>9135996862</v>
      </c>
      <c r="V478" s="70" t="s">
        <v>64</v>
      </c>
      <c r="AQ478" s="86">
        <v>45678</v>
      </c>
    </row>
    <row r="479" spans="1:43" x14ac:dyDescent="0.5">
      <c r="A479" s="72" t="s">
        <v>2010</v>
      </c>
      <c r="B479" s="73" t="s">
        <v>23</v>
      </c>
      <c r="C479" s="73" t="s">
        <v>72</v>
      </c>
      <c r="D479" s="87">
        <v>45918</v>
      </c>
      <c r="E479" s="73" t="s">
        <v>73</v>
      </c>
      <c r="F479" s="70" t="s">
        <v>27</v>
      </c>
      <c r="G479" s="73" t="s">
        <v>28</v>
      </c>
      <c r="H479" s="73" t="s">
        <v>2011</v>
      </c>
      <c r="I479" s="73" t="s">
        <v>59</v>
      </c>
      <c r="J479" s="73" t="s">
        <v>31</v>
      </c>
      <c r="K479" s="73" t="s">
        <v>46</v>
      </c>
      <c r="L479" s="73" t="s">
        <v>78</v>
      </c>
      <c r="M479" s="73">
        <v>5</v>
      </c>
      <c r="N479" s="73">
        <v>1200</v>
      </c>
      <c r="O479" s="71">
        <v>0.1</v>
      </c>
      <c r="P479" s="73">
        <v>5400</v>
      </c>
      <c r="Q479" s="73">
        <v>1</v>
      </c>
      <c r="R479" s="73" t="s">
        <v>34</v>
      </c>
      <c r="S479" s="73" t="s">
        <v>2154</v>
      </c>
      <c r="T479" s="70" t="s">
        <v>50</v>
      </c>
      <c r="U479" s="73">
        <v>9540813143</v>
      </c>
      <c r="V479" s="73" t="s">
        <v>38</v>
      </c>
      <c r="AQ479" s="87">
        <v>45918</v>
      </c>
    </row>
    <row r="480" spans="1:43" x14ac:dyDescent="0.5">
      <c r="A480" s="69" t="s">
        <v>2014</v>
      </c>
      <c r="B480" s="70" t="s">
        <v>168</v>
      </c>
      <c r="C480" s="70" t="s">
        <v>259</v>
      </c>
      <c r="D480" s="86">
        <v>45949</v>
      </c>
      <c r="E480" s="70" t="s">
        <v>702</v>
      </c>
      <c r="F480" s="70" t="s">
        <v>361</v>
      </c>
      <c r="G480" s="70" t="s">
        <v>28</v>
      </c>
      <c r="H480" s="70" t="s">
        <v>2016</v>
      </c>
      <c r="I480" s="70" t="s">
        <v>294</v>
      </c>
      <c r="J480" s="70" t="s">
        <v>295</v>
      </c>
      <c r="K480" s="70" t="s">
        <v>122</v>
      </c>
      <c r="L480" s="70" t="s">
        <v>263</v>
      </c>
      <c r="M480" s="70">
        <v>2</v>
      </c>
      <c r="N480" s="70">
        <v>45</v>
      </c>
      <c r="O480" s="71">
        <v>0.1</v>
      </c>
      <c r="P480" s="70">
        <v>81</v>
      </c>
      <c r="Q480" s="70">
        <v>4</v>
      </c>
      <c r="R480" s="70" t="s">
        <v>88</v>
      </c>
      <c r="S480" s="70" t="s">
        <v>49</v>
      </c>
      <c r="T480" s="70" t="s">
        <v>175</v>
      </c>
      <c r="U480" s="70">
        <v>9910913552</v>
      </c>
      <c r="V480" s="70" t="s">
        <v>64</v>
      </c>
      <c r="AQ480" s="86">
        <v>45949</v>
      </c>
    </row>
    <row r="481" spans="1:43" x14ac:dyDescent="0.5">
      <c r="A481" s="72" t="s">
        <v>2018</v>
      </c>
      <c r="B481" s="73" t="s">
        <v>127</v>
      </c>
      <c r="C481" s="73" t="s">
        <v>40</v>
      </c>
      <c r="D481" s="87">
        <v>46034</v>
      </c>
      <c r="E481" s="73" t="s">
        <v>587</v>
      </c>
      <c r="F481" s="70" t="s">
        <v>200</v>
      </c>
      <c r="G481" s="73" t="s">
        <v>76</v>
      </c>
      <c r="H481" s="73" t="s">
        <v>2019</v>
      </c>
      <c r="I481" s="73" t="s">
        <v>138</v>
      </c>
      <c r="J481" s="73" t="s">
        <v>106</v>
      </c>
      <c r="K481" s="73" t="s">
        <v>46</v>
      </c>
      <c r="L481" s="73" t="s">
        <v>47</v>
      </c>
      <c r="M481" s="73">
        <v>3</v>
      </c>
      <c r="N481" s="73">
        <v>12000</v>
      </c>
      <c r="O481" s="71">
        <v>0</v>
      </c>
      <c r="P481" s="73">
        <v>36000</v>
      </c>
      <c r="Q481" s="73">
        <v>2</v>
      </c>
      <c r="R481" s="73" t="s">
        <v>88</v>
      </c>
      <c r="S481" s="73" t="s">
        <v>151</v>
      </c>
      <c r="T481" s="70" t="s">
        <v>132</v>
      </c>
      <c r="U481" s="73">
        <v>9282751683</v>
      </c>
      <c r="V481" s="73" t="s">
        <v>64</v>
      </c>
      <c r="AQ481" s="87">
        <v>46357</v>
      </c>
    </row>
    <row r="482" spans="1:43" x14ac:dyDescent="0.5">
      <c r="A482" s="69" t="s">
        <v>2021</v>
      </c>
      <c r="B482" s="70" t="s">
        <v>23</v>
      </c>
      <c r="C482" s="70" t="s">
        <v>40</v>
      </c>
      <c r="D482" s="86">
        <v>45683</v>
      </c>
      <c r="E482" s="70" t="s">
        <v>1863</v>
      </c>
      <c r="F482" s="70" t="s">
        <v>27</v>
      </c>
      <c r="G482" s="70" t="s">
        <v>28</v>
      </c>
      <c r="H482" s="70" t="s">
        <v>2023</v>
      </c>
      <c r="I482" s="70" t="s">
        <v>59</v>
      </c>
      <c r="J482" s="70" t="s">
        <v>31</v>
      </c>
      <c r="K482" s="70" t="s">
        <v>46</v>
      </c>
      <c r="L482" s="70" t="s">
        <v>47</v>
      </c>
      <c r="M482" s="70">
        <v>3</v>
      </c>
      <c r="N482" s="70">
        <v>12000</v>
      </c>
      <c r="O482" s="71">
        <v>0.2</v>
      </c>
      <c r="P482" s="70">
        <v>28800</v>
      </c>
      <c r="Q482" s="70">
        <v>3</v>
      </c>
      <c r="R482" s="70" t="s">
        <v>88</v>
      </c>
      <c r="S482" s="70" t="s">
        <v>115</v>
      </c>
      <c r="T482" s="70" t="s">
        <v>50</v>
      </c>
      <c r="U482" s="70">
        <v>9939332058</v>
      </c>
      <c r="V482" s="70" t="s">
        <v>38</v>
      </c>
      <c r="AQ482" s="86">
        <v>45683</v>
      </c>
    </row>
    <row r="483" spans="1:43" x14ac:dyDescent="0.5">
      <c r="A483" s="72" t="s">
        <v>2025</v>
      </c>
      <c r="B483" s="73" t="s">
        <v>127</v>
      </c>
      <c r="C483" s="73" t="s">
        <v>169</v>
      </c>
      <c r="D483" s="87">
        <v>46119</v>
      </c>
      <c r="E483" s="73" t="s">
        <v>161</v>
      </c>
      <c r="F483" s="70" t="s">
        <v>200</v>
      </c>
      <c r="G483" s="73" t="s">
        <v>76</v>
      </c>
      <c r="H483" s="73" t="s">
        <v>2026</v>
      </c>
      <c r="I483" s="73" t="s">
        <v>294</v>
      </c>
      <c r="J483" s="73" t="s">
        <v>295</v>
      </c>
      <c r="K483" s="73" t="s">
        <v>32</v>
      </c>
      <c r="L483" s="73" t="s">
        <v>174</v>
      </c>
      <c r="M483" s="73">
        <v>9</v>
      </c>
      <c r="N483" s="73">
        <v>8500</v>
      </c>
      <c r="O483" s="71">
        <v>0.15</v>
      </c>
      <c r="P483" s="73">
        <v>65025</v>
      </c>
      <c r="Q483" s="73">
        <v>5</v>
      </c>
      <c r="R483" s="73" t="s">
        <v>34</v>
      </c>
      <c r="S483" s="73" t="s">
        <v>49</v>
      </c>
      <c r="T483" s="70" t="s">
        <v>132</v>
      </c>
      <c r="U483" s="73">
        <v>9780626473</v>
      </c>
      <c r="V483" s="73" t="s">
        <v>64</v>
      </c>
      <c r="AQ483" s="87">
        <v>46207</v>
      </c>
    </row>
    <row r="484" spans="1:43" x14ac:dyDescent="0.5">
      <c r="A484" s="69" t="s">
        <v>2028</v>
      </c>
      <c r="B484" s="70" t="s">
        <v>71</v>
      </c>
      <c r="C484" s="70" t="s">
        <v>184</v>
      </c>
      <c r="D484" s="86">
        <v>45834</v>
      </c>
      <c r="E484" s="70" t="s">
        <v>881</v>
      </c>
      <c r="F484" s="70" t="s">
        <v>217</v>
      </c>
      <c r="G484" s="70" t="s">
        <v>76</v>
      </c>
      <c r="H484" s="70" t="s">
        <v>2030</v>
      </c>
      <c r="I484" s="70" t="s">
        <v>294</v>
      </c>
      <c r="J484" s="70" t="s">
        <v>295</v>
      </c>
      <c r="K484" s="70" t="s">
        <v>46</v>
      </c>
      <c r="L484" s="70" t="s">
        <v>189</v>
      </c>
      <c r="M484" s="70">
        <v>17</v>
      </c>
      <c r="N484" s="70">
        <v>700</v>
      </c>
      <c r="O484" s="71">
        <v>0</v>
      </c>
      <c r="P484" s="70">
        <v>11900</v>
      </c>
      <c r="Q484" s="70">
        <v>2</v>
      </c>
      <c r="R484" s="70" t="s">
        <v>34</v>
      </c>
      <c r="S484" s="70" t="s">
        <v>61</v>
      </c>
      <c r="T484" s="70" t="s">
        <v>80</v>
      </c>
      <c r="U484" s="70">
        <v>9347298020</v>
      </c>
      <c r="V484" s="70" t="s">
        <v>69</v>
      </c>
      <c r="AQ484" s="86">
        <v>45834</v>
      </c>
    </row>
    <row r="485" spans="1:43" x14ac:dyDescent="0.5">
      <c r="A485" s="72" t="s">
        <v>2032</v>
      </c>
      <c r="B485" s="73" t="s">
        <v>23</v>
      </c>
      <c r="C485" s="73" t="s">
        <v>184</v>
      </c>
      <c r="D485" s="87">
        <v>45846</v>
      </c>
      <c r="E485" s="73" t="s">
        <v>1572</v>
      </c>
      <c r="F485" s="70" t="s">
        <v>27</v>
      </c>
      <c r="G485" s="73" t="s">
        <v>28</v>
      </c>
      <c r="H485" s="73" t="s">
        <v>2033</v>
      </c>
      <c r="I485" s="73" t="s">
        <v>30</v>
      </c>
      <c r="J485" s="73" t="s">
        <v>31</v>
      </c>
      <c r="K485" s="73" t="s">
        <v>46</v>
      </c>
      <c r="L485" s="73" t="s">
        <v>189</v>
      </c>
      <c r="M485" s="73">
        <v>20</v>
      </c>
      <c r="N485" s="73">
        <v>700</v>
      </c>
      <c r="O485" s="71">
        <v>0.05</v>
      </c>
      <c r="P485" s="73">
        <v>13300</v>
      </c>
      <c r="Q485" s="73">
        <v>2</v>
      </c>
      <c r="R485" s="73" t="s">
        <v>88</v>
      </c>
      <c r="S485" s="73" t="s">
        <v>35</v>
      </c>
      <c r="T485" s="70" t="s">
        <v>50</v>
      </c>
      <c r="U485" s="73">
        <v>9345328522</v>
      </c>
      <c r="V485" s="73" t="s">
        <v>38</v>
      </c>
      <c r="AQ485" s="87">
        <v>45876</v>
      </c>
    </row>
    <row r="486" spans="1:43" x14ac:dyDescent="0.5">
      <c r="A486" s="69" t="s">
        <v>2035</v>
      </c>
      <c r="B486" s="70" t="s">
        <v>327</v>
      </c>
      <c r="C486" s="70" t="s">
        <v>72</v>
      </c>
      <c r="D486" s="86">
        <v>46092</v>
      </c>
      <c r="E486" s="70" t="s">
        <v>65</v>
      </c>
      <c r="F486" s="70" t="s">
        <v>394</v>
      </c>
      <c r="G486" s="70" t="s">
        <v>76</v>
      </c>
      <c r="H486" s="70" t="s">
        <v>2037</v>
      </c>
      <c r="I486" s="70" t="s">
        <v>138</v>
      </c>
      <c r="J486" s="70" t="s">
        <v>106</v>
      </c>
      <c r="K486" s="70" t="s">
        <v>46</v>
      </c>
      <c r="L486" s="70" t="s">
        <v>78</v>
      </c>
      <c r="M486" s="70">
        <v>13</v>
      </c>
      <c r="N486" s="70">
        <v>1200</v>
      </c>
      <c r="O486" s="71">
        <v>0.2</v>
      </c>
      <c r="P486" s="70">
        <v>12480</v>
      </c>
      <c r="Q486" s="70">
        <v>5</v>
      </c>
      <c r="R486" s="70" t="s">
        <v>79</v>
      </c>
      <c r="S486" s="70" t="s">
        <v>115</v>
      </c>
      <c r="T486" s="70" t="s">
        <v>332</v>
      </c>
      <c r="U486" s="70">
        <v>9160310438</v>
      </c>
      <c r="V486" s="70" t="s">
        <v>38</v>
      </c>
      <c r="AQ486" s="86">
        <v>46329</v>
      </c>
    </row>
    <row r="487" spans="1:43" x14ac:dyDescent="0.5">
      <c r="A487" s="72" t="s">
        <v>2039</v>
      </c>
      <c r="B487" s="73" t="s">
        <v>100</v>
      </c>
      <c r="C487" s="73" t="s">
        <v>54</v>
      </c>
      <c r="D487" s="87">
        <v>46104</v>
      </c>
      <c r="E487" s="73" t="s">
        <v>1932</v>
      </c>
      <c r="F487" s="70" t="s">
        <v>103</v>
      </c>
      <c r="G487" s="73" t="s">
        <v>28</v>
      </c>
      <c r="H487" s="73" t="s">
        <v>1082</v>
      </c>
      <c r="I487" s="73" t="s">
        <v>212</v>
      </c>
      <c r="J487" s="73" t="s">
        <v>45</v>
      </c>
      <c r="K487" s="73" t="s">
        <v>46</v>
      </c>
      <c r="L487" s="73" t="s">
        <v>60</v>
      </c>
      <c r="M487" s="73">
        <v>20</v>
      </c>
      <c r="N487" s="73">
        <v>55000</v>
      </c>
      <c r="O487" s="71">
        <v>0.1</v>
      </c>
      <c r="P487" s="73">
        <v>990000</v>
      </c>
      <c r="Q487" s="73">
        <v>1</v>
      </c>
      <c r="R487" s="73" t="s">
        <v>88</v>
      </c>
      <c r="S487" s="73" t="s">
        <v>35</v>
      </c>
      <c r="T487" s="70" t="s">
        <v>144</v>
      </c>
      <c r="U487" s="73">
        <v>9343776153</v>
      </c>
      <c r="V487" s="73" t="s">
        <v>64</v>
      </c>
      <c r="AQ487" s="87">
        <v>46104</v>
      </c>
    </row>
    <row r="488" spans="1:43" x14ac:dyDescent="0.5">
      <c r="A488" s="69" t="s">
        <v>2042</v>
      </c>
      <c r="B488" s="70" t="s">
        <v>251</v>
      </c>
      <c r="C488" s="70" t="s">
        <v>72</v>
      </c>
      <c r="D488" s="86">
        <v>45961</v>
      </c>
      <c r="E488" s="70" t="s">
        <v>291</v>
      </c>
      <c r="F488" s="70" t="s">
        <v>254</v>
      </c>
      <c r="G488" s="70" t="s">
        <v>28</v>
      </c>
      <c r="H488" s="70" t="s">
        <v>2043</v>
      </c>
      <c r="I488" s="70" t="s">
        <v>294</v>
      </c>
      <c r="J488" s="70" t="s">
        <v>295</v>
      </c>
      <c r="K488" s="70" t="s">
        <v>46</v>
      </c>
      <c r="L488" s="70" t="s">
        <v>78</v>
      </c>
      <c r="M488" s="70">
        <v>8</v>
      </c>
      <c r="N488" s="70">
        <v>1200</v>
      </c>
      <c r="O488" s="71">
        <v>0</v>
      </c>
      <c r="P488" s="70">
        <v>9600</v>
      </c>
      <c r="Q488" s="70">
        <v>2</v>
      </c>
      <c r="R488" s="70" t="s">
        <v>48</v>
      </c>
      <c r="S488" s="70" t="s">
        <v>151</v>
      </c>
      <c r="T488" s="70" t="s">
        <v>256</v>
      </c>
      <c r="U488" s="70">
        <v>9458599727</v>
      </c>
      <c r="V488" s="70" t="s">
        <v>38</v>
      </c>
      <c r="AQ488" s="86">
        <v>45961</v>
      </c>
    </row>
    <row r="489" spans="1:43" x14ac:dyDescent="0.5">
      <c r="A489" s="72" t="s">
        <v>2045</v>
      </c>
      <c r="B489" s="73" t="s">
        <v>53</v>
      </c>
      <c r="C489" s="73" t="s">
        <v>222</v>
      </c>
      <c r="D489" s="87">
        <v>46147</v>
      </c>
      <c r="E489" s="73" t="s">
        <v>1238</v>
      </c>
      <c r="F489" s="70" t="s">
        <v>163</v>
      </c>
      <c r="G489" s="73" t="s">
        <v>28</v>
      </c>
      <c r="H489" s="73" t="s">
        <v>2047</v>
      </c>
      <c r="I489" s="73" t="s">
        <v>294</v>
      </c>
      <c r="J489" s="73" t="s">
        <v>295</v>
      </c>
      <c r="K489" s="73" t="s">
        <v>122</v>
      </c>
      <c r="L489" s="73" t="s">
        <v>227</v>
      </c>
      <c r="M489" s="73">
        <v>18</v>
      </c>
      <c r="N489" s="73">
        <v>20</v>
      </c>
      <c r="O489" s="71">
        <v>0.1</v>
      </c>
      <c r="P489" s="73">
        <v>324</v>
      </c>
      <c r="Q489" s="73">
        <v>5</v>
      </c>
      <c r="R489" s="73" t="s">
        <v>79</v>
      </c>
      <c r="S489" s="73" t="s">
        <v>2154</v>
      </c>
      <c r="T489" s="70" t="s">
        <v>62</v>
      </c>
      <c r="U489" s="73">
        <v>9218660140</v>
      </c>
      <c r="V489" s="73" t="s">
        <v>64</v>
      </c>
      <c r="AQ489" s="87">
        <v>46147</v>
      </c>
    </row>
    <row r="490" spans="1:43" x14ac:dyDescent="0.5">
      <c r="A490" s="69" t="s">
        <v>2050</v>
      </c>
      <c r="B490" s="70" t="s">
        <v>168</v>
      </c>
      <c r="C490" s="70" t="s">
        <v>40</v>
      </c>
      <c r="D490" s="86">
        <v>45711</v>
      </c>
      <c r="E490" s="70" t="s">
        <v>272</v>
      </c>
      <c r="F490" s="70" t="s">
        <v>361</v>
      </c>
      <c r="G490" s="70" t="s">
        <v>28</v>
      </c>
      <c r="H490" s="70" t="s">
        <v>2052</v>
      </c>
      <c r="I490" s="70" t="s">
        <v>114</v>
      </c>
      <c r="J490" s="70" t="s">
        <v>106</v>
      </c>
      <c r="K490" s="70" t="s">
        <v>46</v>
      </c>
      <c r="L490" s="70" t="s">
        <v>47</v>
      </c>
      <c r="M490" s="70">
        <v>11</v>
      </c>
      <c r="N490" s="70">
        <v>12000</v>
      </c>
      <c r="O490" s="71">
        <v>0.1</v>
      </c>
      <c r="P490" s="70">
        <v>118800</v>
      </c>
      <c r="Q490" s="70">
        <v>1</v>
      </c>
      <c r="R490" s="70" t="s">
        <v>79</v>
      </c>
      <c r="S490" s="70" t="s">
        <v>49</v>
      </c>
      <c r="T490" s="70" t="s">
        <v>175</v>
      </c>
      <c r="U490" s="70">
        <v>9341979199</v>
      </c>
      <c r="V490" s="70" t="s">
        <v>69</v>
      </c>
      <c r="AQ490" s="86">
        <v>45711</v>
      </c>
    </row>
    <row r="491" spans="1:43" x14ac:dyDescent="0.5">
      <c r="A491" s="72" t="s">
        <v>2054</v>
      </c>
      <c r="B491" s="73" t="s">
        <v>327</v>
      </c>
      <c r="C491" s="73" t="s">
        <v>169</v>
      </c>
      <c r="D491" s="87">
        <v>45672</v>
      </c>
      <c r="E491" s="73" t="s">
        <v>1378</v>
      </c>
      <c r="F491" s="70" t="s">
        <v>394</v>
      </c>
      <c r="G491" s="73" t="s">
        <v>76</v>
      </c>
      <c r="H491" s="73" t="s">
        <v>2055</v>
      </c>
      <c r="I491" s="73" t="s">
        <v>30</v>
      </c>
      <c r="J491" s="73" t="s">
        <v>31</v>
      </c>
      <c r="K491" s="73" t="s">
        <v>32</v>
      </c>
      <c r="L491" s="73" t="s">
        <v>174</v>
      </c>
      <c r="M491" s="73">
        <v>2</v>
      </c>
      <c r="N491" s="73">
        <v>8500</v>
      </c>
      <c r="O491" s="71">
        <v>0.05</v>
      </c>
      <c r="P491" s="73">
        <v>16150</v>
      </c>
      <c r="Q491" s="73">
        <v>1</v>
      </c>
      <c r="R491" s="73" t="s">
        <v>79</v>
      </c>
      <c r="S491" s="73" t="s">
        <v>61</v>
      </c>
      <c r="T491" s="70" t="s">
        <v>332</v>
      </c>
      <c r="U491" s="73">
        <v>9823080381</v>
      </c>
      <c r="V491" s="73" t="s">
        <v>38</v>
      </c>
      <c r="AQ491" s="87">
        <v>45672</v>
      </c>
    </row>
    <row r="492" spans="1:43" x14ac:dyDescent="0.5">
      <c r="A492" s="69" t="s">
        <v>2057</v>
      </c>
      <c r="B492" s="70" t="s">
        <v>100</v>
      </c>
      <c r="C492" s="70" t="s">
        <v>24</v>
      </c>
      <c r="D492" s="86">
        <v>45746</v>
      </c>
      <c r="E492" s="70" t="s">
        <v>1507</v>
      </c>
      <c r="F492" s="70" t="s">
        <v>103</v>
      </c>
      <c r="G492" s="70" t="s">
        <v>28</v>
      </c>
      <c r="H492" s="70" t="s">
        <v>2059</v>
      </c>
      <c r="I492" s="70" t="s">
        <v>114</v>
      </c>
      <c r="J492" s="70" t="s">
        <v>106</v>
      </c>
      <c r="K492" s="70" t="s">
        <v>32</v>
      </c>
      <c r="L492" s="70" t="s">
        <v>33</v>
      </c>
      <c r="M492" s="70">
        <v>7</v>
      </c>
      <c r="N492" s="70">
        <v>2200</v>
      </c>
      <c r="O492" s="71">
        <v>0</v>
      </c>
      <c r="P492" s="70">
        <v>15400</v>
      </c>
      <c r="Q492" s="70">
        <v>5</v>
      </c>
      <c r="R492" s="70" t="s">
        <v>48</v>
      </c>
      <c r="S492" s="70" t="s">
        <v>35</v>
      </c>
      <c r="T492" s="70" t="s">
        <v>144</v>
      </c>
      <c r="U492" s="70">
        <v>9981183477</v>
      </c>
      <c r="V492" s="70" t="s">
        <v>64</v>
      </c>
      <c r="AQ492" s="86">
        <v>45746</v>
      </c>
    </row>
    <row r="493" spans="1:43" x14ac:dyDescent="0.5">
      <c r="A493" s="72" t="s">
        <v>2061</v>
      </c>
      <c r="B493" s="73" t="s">
        <v>83</v>
      </c>
      <c r="C493" s="73" t="s">
        <v>169</v>
      </c>
      <c r="D493" s="87">
        <v>46136</v>
      </c>
      <c r="E493" s="73" t="s">
        <v>1098</v>
      </c>
      <c r="F493" s="70" t="s">
        <v>180</v>
      </c>
      <c r="G493" s="73" t="s">
        <v>76</v>
      </c>
      <c r="H493" s="73" t="s">
        <v>2062</v>
      </c>
      <c r="I493" s="73" t="s">
        <v>44</v>
      </c>
      <c r="J493" s="73" t="s">
        <v>45</v>
      </c>
      <c r="K493" s="73" t="s">
        <v>32</v>
      </c>
      <c r="L493" s="73" t="s">
        <v>174</v>
      </c>
      <c r="M493" s="73">
        <v>20</v>
      </c>
      <c r="N493" s="73">
        <v>8500</v>
      </c>
      <c r="O493" s="71">
        <v>0</v>
      </c>
      <c r="P493" s="73">
        <v>170000</v>
      </c>
      <c r="Q493" s="73">
        <v>3</v>
      </c>
      <c r="R493" s="73" t="s">
        <v>48</v>
      </c>
      <c r="S493" s="73" t="s">
        <v>49</v>
      </c>
      <c r="T493" s="70" t="s">
        <v>89</v>
      </c>
      <c r="U493" s="73">
        <v>9281596011</v>
      </c>
      <c r="V493" s="73" t="s">
        <v>38</v>
      </c>
      <c r="AQ493" s="87">
        <v>46136</v>
      </c>
    </row>
    <row r="494" spans="1:43" x14ac:dyDescent="0.5">
      <c r="A494" s="69" t="s">
        <v>2064</v>
      </c>
      <c r="B494" s="70" t="s">
        <v>127</v>
      </c>
      <c r="C494" s="70" t="s">
        <v>72</v>
      </c>
      <c r="D494" s="86">
        <v>45858</v>
      </c>
      <c r="E494" s="70" t="s">
        <v>839</v>
      </c>
      <c r="F494" s="70" t="s">
        <v>200</v>
      </c>
      <c r="G494" s="70" t="s">
        <v>76</v>
      </c>
      <c r="H494" s="70" t="s">
        <v>2066</v>
      </c>
      <c r="I494" s="70" t="s">
        <v>30</v>
      </c>
      <c r="J494" s="70" t="s">
        <v>31</v>
      </c>
      <c r="K494" s="70" t="s">
        <v>46</v>
      </c>
      <c r="L494" s="70" t="s">
        <v>78</v>
      </c>
      <c r="M494" s="70">
        <v>11</v>
      </c>
      <c r="N494" s="70">
        <v>1200</v>
      </c>
      <c r="O494" s="71">
        <v>0.05</v>
      </c>
      <c r="P494" s="70">
        <v>12540</v>
      </c>
      <c r="Q494" s="70">
        <v>2</v>
      </c>
      <c r="R494" s="70" t="s">
        <v>34</v>
      </c>
      <c r="S494" s="70" t="s">
        <v>35</v>
      </c>
      <c r="T494" s="70" t="s">
        <v>132</v>
      </c>
      <c r="U494" s="70">
        <v>9211734022</v>
      </c>
      <c r="V494" s="70" t="s">
        <v>64</v>
      </c>
      <c r="AQ494" s="86">
        <v>45858</v>
      </c>
    </row>
    <row r="495" spans="1:43" x14ac:dyDescent="0.5">
      <c r="A495" s="72" t="s">
        <v>2068</v>
      </c>
      <c r="B495" s="73" t="s">
        <v>83</v>
      </c>
      <c r="C495" s="73" t="s">
        <v>184</v>
      </c>
      <c r="D495" s="87">
        <v>45867</v>
      </c>
      <c r="E495" s="73" t="s">
        <v>756</v>
      </c>
      <c r="F495" s="70" t="s">
        <v>180</v>
      </c>
      <c r="G495" s="73" t="s">
        <v>76</v>
      </c>
      <c r="H495" s="73" t="s">
        <v>2069</v>
      </c>
      <c r="I495" s="73" t="s">
        <v>138</v>
      </c>
      <c r="J495" s="73" t="s">
        <v>106</v>
      </c>
      <c r="K495" s="73" t="s">
        <v>46</v>
      </c>
      <c r="L495" s="73" t="s">
        <v>189</v>
      </c>
      <c r="M495" s="73">
        <v>14</v>
      </c>
      <c r="N495" s="73">
        <v>700</v>
      </c>
      <c r="O495" s="71">
        <v>0</v>
      </c>
      <c r="P495" s="73">
        <v>9800</v>
      </c>
      <c r="Q495" s="73">
        <v>2</v>
      </c>
      <c r="R495" s="73" t="s">
        <v>79</v>
      </c>
      <c r="S495" s="73" t="s">
        <v>151</v>
      </c>
      <c r="T495" s="70" t="s">
        <v>89</v>
      </c>
      <c r="U495" s="73">
        <v>9447151666</v>
      </c>
      <c r="V495" s="73" t="s">
        <v>69</v>
      </c>
      <c r="AQ495" s="87">
        <v>45867</v>
      </c>
    </row>
    <row r="496" spans="1:43" x14ac:dyDescent="0.5">
      <c r="A496" s="69" t="s">
        <v>2071</v>
      </c>
      <c r="B496" s="70" t="s">
        <v>71</v>
      </c>
      <c r="C496" s="70" t="s">
        <v>72</v>
      </c>
      <c r="D496" s="86">
        <v>45951</v>
      </c>
      <c r="E496" s="70" t="s">
        <v>1650</v>
      </c>
      <c r="F496" s="70" t="s">
        <v>217</v>
      </c>
      <c r="G496" s="70" t="s">
        <v>76</v>
      </c>
      <c r="H496" s="70" t="s">
        <v>2072</v>
      </c>
      <c r="I496" s="70" t="s">
        <v>114</v>
      </c>
      <c r="J496" s="70" t="s">
        <v>106</v>
      </c>
      <c r="K496" s="70" t="s">
        <v>46</v>
      </c>
      <c r="L496" s="70" t="s">
        <v>78</v>
      </c>
      <c r="M496" s="70">
        <v>16</v>
      </c>
      <c r="N496" s="70">
        <v>1200</v>
      </c>
      <c r="O496" s="71">
        <v>0.15</v>
      </c>
      <c r="P496" s="70">
        <v>16320</v>
      </c>
      <c r="Q496" s="70">
        <v>4</v>
      </c>
      <c r="R496" s="70" t="s">
        <v>34</v>
      </c>
      <c r="S496" s="70" t="s">
        <v>151</v>
      </c>
      <c r="T496" s="70" t="s">
        <v>80</v>
      </c>
      <c r="U496" s="70">
        <v>9345342793</v>
      </c>
      <c r="V496" s="70" t="s">
        <v>64</v>
      </c>
      <c r="AQ496" s="86">
        <v>45951</v>
      </c>
    </row>
    <row r="497" spans="1:43" x14ac:dyDescent="0.5">
      <c r="A497" s="72" t="s">
        <v>2074</v>
      </c>
      <c r="B497" s="73" t="s">
        <v>168</v>
      </c>
      <c r="C497" s="73" t="s">
        <v>24</v>
      </c>
      <c r="D497" s="87">
        <v>46098</v>
      </c>
      <c r="E497" s="73" t="s">
        <v>1932</v>
      </c>
      <c r="F497" s="70" t="s">
        <v>361</v>
      </c>
      <c r="G497" s="73" t="s">
        <v>28</v>
      </c>
      <c r="H497" s="73" t="s">
        <v>2076</v>
      </c>
      <c r="I497" s="73" t="s">
        <v>212</v>
      </c>
      <c r="J497" s="73" t="s">
        <v>45</v>
      </c>
      <c r="K497" s="73" t="s">
        <v>32</v>
      </c>
      <c r="L497" s="73" t="s">
        <v>33</v>
      </c>
      <c r="M497" s="73">
        <v>20</v>
      </c>
      <c r="N497" s="73">
        <v>2200</v>
      </c>
      <c r="O497" s="71">
        <v>0</v>
      </c>
      <c r="P497" s="73">
        <v>44000</v>
      </c>
      <c r="Q497" s="73">
        <v>5</v>
      </c>
      <c r="R497" s="73" t="s">
        <v>34</v>
      </c>
      <c r="S497" s="73" t="s">
        <v>35</v>
      </c>
      <c r="T497" s="70" t="s">
        <v>175</v>
      </c>
      <c r="U497" s="73">
        <v>9329668173</v>
      </c>
      <c r="V497" s="73" t="s">
        <v>69</v>
      </c>
      <c r="AQ497" s="87">
        <v>46098</v>
      </c>
    </row>
    <row r="498" spans="1:43" x14ac:dyDescent="0.5">
      <c r="A498" s="69" t="s">
        <v>2078</v>
      </c>
      <c r="B498" s="70" t="s">
        <v>83</v>
      </c>
      <c r="C498" s="70" t="s">
        <v>40</v>
      </c>
      <c r="D498" s="86">
        <v>45711</v>
      </c>
      <c r="E498" s="70" t="s">
        <v>272</v>
      </c>
      <c r="F498" s="70" t="s">
        <v>180</v>
      </c>
      <c r="G498" s="70" t="s">
        <v>76</v>
      </c>
      <c r="H498" s="70" t="s">
        <v>2079</v>
      </c>
      <c r="I498" s="70" t="s">
        <v>212</v>
      </c>
      <c r="J498" s="70" t="s">
        <v>45</v>
      </c>
      <c r="K498" s="70" t="s">
        <v>46</v>
      </c>
      <c r="L498" s="70" t="s">
        <v>47</v>
      </c>
      <c r="M498" s="70">
        <v>12</v>
      </c>
      <c r="N498" s="70">
        <v>12000</v>
      </c>
      <c r="O498" s="71">
        <v>0.15</v>
      </c>
      <c r="P498" s="70">
        <v>122400</v>
      </c>
      <c r="Q498" s="70">
        <v>5</v>
      </c>
      <c r="R498" s="70" t="s">
        <v>34</v>
      </c>
      <c r="S498" s="70" t="s">
        <v>151</v>
      </c>
      <c r="T498" s="70" t="s">
        <v>89</v>
      </c>
      <c r="U498" s="70">
        <v>9294740227</v>
      </c>
      <c r="V498" s="70" t="s">
        <v>38</v>
      </c>
      <c r="AQ498" s="86">
        <v>45711</v>
      </c>
    </row>
    <row r="499" spans="1:43" x14ac:dyDescent="0.5">
      <c r="A499" s="72" t="s">
        <v>2081</v>
      </c>
      <c r="B499" s="73" t="s">
        <v>221</v>
      </c>
      <c r="C499" s="73" t="s">
        <v>72</v>
      </c>
      <c r="D499" s="87">
        <v>46002</v>
      </c>
      <c r="E499" s="73" t="s">
        <v>611</v>
      </c>
      <c r="F499" s="70" t="s">
        <v>225</v>
      </c>
      <c r="G499" s="73" t="s">
        <v>76</v>
      </c>
      <c r="H499" s="73" t="s">
        <v>2082</v>
      </c>
      <c r="I499" s="73" t="s">
        <v>44</v>
      </c>
      <c r="J499" s="73" t="s">
        <v>45</v>
      </c>
      <c r="K499" s="73" t="s">
        <v>46</v>
      </c>
      <c r="L499" s="73" t="s">
        <v>78</v>
      </c>
      <c r="M499" s="73">
        <v>3</v>
      </c>
      <c r="N499" s="73">
        <v>1200</v>
      </c>
      <c r="O499" s="71">
        <v>0.2</v>
      </c>
      <c r="P499" s="73">
        <v>2880</v>
      </c>
      <c r="Q499" s="73">
        <v>2</v>
      </c>
      <c r="R499" s="73" t="s">
        <v>48</v>
      </c>
      <c r="S499" s="73" t="s">
        <v>115</v>
      </c>
      <c r="T499" s="70" t="s">
        <v>907</v>
      </c>
      <c r="U499" s="73">
        <v>9549426303</v>
      </c>
      <c r="V499" s="73" t="s">
        <v>64</v>
      </c>
      <c r="AQ499" s="87">
        <v>45973</v>
      </c>
    </row>
    <row r="500" spans="1:43" x14ac:dyDescent="0.5">
      <c r="A500" s="69" t="s">
        <v>2084</v>
      </c>
      <c r="B500" s="70" t="s">
        <v>100</v>
      </c>
      <c r="C500" s="70" t="s">
        <v>54</v>
      </c>
      <c r="D500" s="86">
        <v>45842</v>
      </c>
      <c r="E500" s="70" t="s">
        <v>2085</v>
      </c>
      <c r="F500" s="70" t="s">
        <v>103</v>
      </c>
      <c r="G500" s="70" t="s">
        <v>28</v>
      </c>
      <c r="H500" s="70" t="s">
        <v>2086</v>
      </c>
      <c r="I500" s="70" t="s">
        <v>105</v>
      </c>
      <c r="J500" s="70" t="s">
        <v>106</v>
      </c>
      <c r="K500" s="70" t="s">
        <v>46</v>
      </c>
      <c r="L500" s="70" t="s">
        <v>2087</v>
      </c>
      <c r="M500" s="70">
        <v>6</v>
      </c>
      <c r="N500" s="70">
        <v>55000</v>
      </c>
      <c r="O500" s="71">
        <v>0.2</v>
      </c>
      <c r="P500" s="70">
        <v>264000</v>
      </c>
      <c r="Q500" s="70">
        <v>3</v>
      </c>
      <c r="R500" s="70" t="s">
        <v>34</v>
      </c>
      <c r="S500" s="70" t="s">
        <v>151</v>
      </c>
      <c r="T500" s="70" t="s">
        <v>144</v>
      </c>
      <c r="U500" s="70">
        <v>9374249303</v>
      </c>
      <c r="V500" s="70" t="s">
        <v>38</v>
      </c>
      <c r="AQ500" s="86">
        <v>45754</v>
      </c>
    </row>
    <row r="501" spans="1:43" x14ac:dyDescent="0.5">
      <c r="A501" s="75" t="s">
        <v>2089</v>
      </c>
      <c r="B501" s="76" t="s">
        <v>100</v>
      </c>
      <c r="C501" s="76" t="s">
        <v>92</v>
      </c>
      <c r="D501" s="88">
        <v>45916</v>
      </c>
      <c r="E501" s="76" t="s">
        <v>129</v>
      </c>
      <c r="F501" s="70" t="s">
        <v>103</v>
      </c>
      <c r="G501" s="76" t="s">
        <v>28</v>
      </c>
      <c r="H501" s="76" t="s">
        <v>2091</v>
      </c>
      <c r="I501" s="76" t="s">
        <v>59</v>
      </c>
      <c r="J501" s="76" t="s">
        <v>31</v>
      </c>
      <c r="K501" s="76" t="s">
        <v>32</v>
      </c>
      <c r="L501" s="76" t="s">
        <v>97</v>
      </c>
      <c r="M501" s="76">
        <v>20</v>
      </c>
      <c r="N501" s="76">
        <v>3500</v>
      </c>
      <c r="O501" s="71">
        <v>0</v>
      </c>
      <c r="P501" s="76">
        <v>70000</v>
      </c>
      <c r="Q501" s="76">
        <v>1</v>
      </c>
      <c r="R501" s="76" t="s">
        <v>48</v>
      </c>
      <c r="S501" s="76" t="s">
        <v>151</v>
      </c>
      <c r="T501" s="70" t="s">
        <v>144</v>
      </c>
      <c r="U501" s="76">
        <v>9810334941</v>
      </c>
      <c r="V501" s="76" t="s">
        <v>64</v>
      </c>
      <c r="AQ501" s="88">
        <v>45916</v>
      </c>
    </row>
  </sheetData>
  <conditionalFormatting sqref="D1:F1048576">
    <cfRule type="containsText" dxfId="3" priority="4" operator="containsText" text="Pending">
      <formula>NOT(ISERROR(SEARCH("Pending",D1)))</formula>
    </cfRule>
  </conditionalFormatting>
  <conditionalFormatting sqref="O1:O1048576">
    <cfRule type="cellIs" dxfId="2" priority="2" operator="greaterThan">
      <formula>0.2</formula>
    </cfRule>
  </conditionalFormatting>
  <conditionalFormatting sqref="S1:T1048576">
    <cfRule type="containsText" dxfId="1" priority="3" operator="containsText" text="Not Assigned">
      <formula>NOT(ISERROR(SEARCH("Not Assigned",S1)))</formula>
    </cfRule>
  </conditionalFormatting>
  <conditionalFormatting sqref="AQ1:AQ1048576">
    <cfRule type="containsText" dxfId="0" priority="1" operator="containsText" text="Pending">
      <formula>NOT(ISERROR(SEARCH("Pending",AQ1)))</formula>
    </cfRule>
  </conditionalFormatting>
  <dataValidations count="2">
    <dataValidation type="whole" allowBlank="1" showInputMessage="1" showErrorMessage="1" sqref="M1:M1048576" xr:uid="{44EACB48-E6C0-40CA-B0E2-3172AA3C5D2E}">
      <formula1>1</formula1>
      <formula2>20</formula2>
    </dataValidation>
    <dataValidation type="list" allowBlank="1" showInputMessage="1" showErrorMessage="1" sqref="R1:R1048576" xr:uid="{A792A195-E7C2-44E5-BD6B-E84F89322CEA}">
      <formula1>"UPI,Cash,Card,NetBanking"</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8483D-5F96-44C9-BE4F-079CE4C7649F}">
  <dimension ref="C1:K37"/>
  <sheetViews>
    <sheetView zoomScale="53" workbookViewId="0">
      <selection activeCell="Z31" sqref="Z31"/>
    </sheetView>
  </sheetViews>
  <sheetFormatPr defaultRowHeight="16.5" x14ac:dyDescent="0.5"/>
  <cols>
    <col min="3" max="3" width="16.453125" bestFit="1" customWidth="1"/>
    <col min="4" max="4" width="16.81640625" bestFit="1" customWidth="1"/>
    <col min="5" max="5" width="20.08984375" bestFit="1" customWidth="1"/>
    <col min="6" max="6" width="18.7265625" bestFit="1" customWidth="1"/>
    <col min="7" max="7" width="16.81640625" bestFit="1" customWidth="1"/>
    <col min="8" max="8" width="14.54296875" customWidth="1"/>
    <col min="9" max="9" width="12.1796875" customWidth="1"/>
    <col min="10" max="10" width="15.453125" bestFit="1" customWidth="1"/>
    <col min="11" max="11" width="16.81640625" bestFit="1" customWidth="1"/>
    <col min="14" max="14" width="15.453125" bestFit="1" customWidth="1"/>
    <col min="15" max="15" width="12.81640625" bestFit="1" customWidth="1"/>
  </cols>
  <sheetData>
    <row r="1" spans="3:11" ht="19.5" thickBot="1" x14ac:dyDescent="0.55000000000000004">
      <c r="D1" s="83" t="s">
        <v>2163</v>
      </c>
    </row>
    <row r="2" spans="3:11" ht="17" thickBot="1" x14ac:dyDescent="0.55000000000000004">
      <c r="C2" s="80"/>
      <c r="D2" s="81"/>
      <c r="E2" s="82"/>
    </row>
    <row r="3" spans="3:11" ht="17" thickBot="1" x14ac:dyDescent="0.55000000000000004">
      <c r="C3" s="90" t="s">
        <v>2161</v>
      </c>
      <c r="D3" s="91" t="s">
        <v>2162</v>
      </c>
      <c r="E3" s="92" t="s">
        <v>2160</v>
      </c>
    </row>
    <row r="4" spans="3:11" ht="17" thickBot="1" x14ac:dyDescent="0.55000000000000004">
      <c r="C4" s="90">
        <v>34762097.5</v>
      </c>
      <c r="D4" s="91">
        <v>69663.522044088182</v>
      </c>
      <c r="E4" s="93">
        <v>500</v>
      </c>
    </row>
    <row r="6" spans="3:11" ht="17" thickBot="1" x14ac:dyDescent="0.55000000000000004"/>
    <row r="7" spans="3:11" ht="19.5" thickBot="1" x14ac:dyDescent="0.55000000000000004">
      <c r="C7" s="212" t="s">
        <v>2164</v>
      </c>
      <c r="D7" s="213"/>
      <c r="F7" s="212" t="s">
        <v>2165</v>
      </c>
      <c r="G7" s="213"/>
      <c r="J7" s="212" t="s">
        <v>2180</v>
      </c>
      <c r="K7" s="213"/>
    </row>
    <row r="8" spans="3:11" ht="17" thickBot="1" x14ac:dyDescent="0.55000000000000004">
      <c r="C8" s="80"/>
      <c r="D8" s="82"/>
      <c r="F8" s="90"/>
      <c r="G8" s="92"/>
      <c r="J8" s="80"/>
      <c r="K8" s="82"/>
    </row>
    <row r="9" spans="3:11" ht="17" thickBot="1" x14ac:dyDescent="0.55000000000000004">
      <c r="C9" s="100" t="s">
        <v>2158</v>
      </c>
      <c r="D9" s="94" t="s">
        <v>2161</v>
      </c>
      <c r="F9" s="98" t="s">
        <v>2158</v>
      </c>
      <c r="G9" s="94" t="s">
        <v>2161</v>
      </c>
      <c r="J9" s="77" t="s">
        <v>2158</v>
      </c>
      <c r="K9" s="79" t="s">
        <v>2161</v>
      </c>
    </row>
    <row r="10" spans="3:11" x14ac:dyDescent="0.5">
      <c r="C10" s="104" t="s">
        <v>295</v>
      </c>
      <c r="D10" s="95">
        <v>4041922</v>
      </c>
      <c r="F10" s="99" t="s">
        <v>46</v>
      </c>
      <c r="G10" s="95">
        <v>27829619</v>
      </c>
      <c r="J10" s="78" t="s">
        <v>2167</v>
      </c>
      <c r="K10" s="79">
        <v>26260282</v>
      </c>
    </row>
    <row r="11" spans="3:11" x14ac:dyDescent="0.5">
      <c r="C11" s="99" t="s">
        <v>45</v>
      </c>
      <c r="D11" s="103">
        <v>10022852.5</v>
      </c>
      <c r="F11" s="99" t="s">
        <v>32</v>
      </c>
      <c r="G11" s="103">
        <v>6816975</v>
      </c>
      <c r="J11" s="84" t="s">
        <v>2168</v>
      </c>
      <c r="K11" s="79">
        <v>3848385</v>
      </c>
    </row>
    <row r="12" spans="3:11" ht="17" thickBot="1" x14ac:dyDescent="0.55000000000000004">
      <c r="C12" s="99" t="s">
        <v>31</v>
      </c>
      <c r="D12" s="103">
        <v>7493791.5</v>
      </c>
      <c r="F12" s="99" t="s">
        <v>122</v>
      </c>
      <c r="G12" s="103">
        <v>115503.5</v>
      </c>
      <c r="J12" s="84" t="s">
        <v>2169</v>
      </c>
      <c r="K12" s="79">
        <v>3367633.5</v>
      </c>
    </row>
    <row r="13" spans="3:11" ht="17" thickBot="1" x14ac:dyDescent="0.55000000000000004">
      <c r="C13" s="105" t="s">
        <v>106</v>
      </c>
      <c r="D13" s="103">
        <v>13203531.5</v>
      </c>
      <c r="F13" s="96" t="s">
        <v>2159</v>
      </c>
      <c r="G13" s="97">
        <v>34762097.5</v>
      </c>
      <c r="J13" s="84" t="s">
        <v>2170</v>
      </c>
      <c r="K13" s="79">
        <v>2087782.25</v>
      </c>
    </row>
    <row r="14" spans="3:11" ht="17" thickBot="1" x14ac:dyDescent="0.55000000000000004">
      <c r="C14" s="96" t="s">
        <v>2159</v>
      </c>
      <c r="D14" s="97">
        <v>34762097.5</v>
      </c>
      <c r="J14" s="84" t="s">
        <v>2171</v>
      </c>
      <c r="K14" s="79">
        <v>3169953.25</v>
      </c>
    </row>
    <row r="15" spans="3:11" x14ac:dyDescent="0.5">
      <c r="J15" s="84" t="s">
        <v>2172</v>
      </c>
      <c r="K15" s="79">
        <v>2344972.5</v>
      </c>
    </row>
    <row r="16" spans="3:11" x14ac:dyDescent="0.5">
      <c r="J16" s="84" t="s">
        <v>2173</v>
      </c>
      <c r="K16" s="79">
        <v>1579645.5</v>
      </c>
    </row>
    <row r="17" spans="10:11" x14ac:dyDescent="0.5">
      <c r="J17" s="84" t="s">
        <v>2174</v>
      </c>
      <c r="K17" s="79">
        <v>1332201.5</v>
      </c>
    </row>
    <row r="18" spans="10:11" x14ac:dyDescent="0.5">
      <c r="J18" s="84" t="s">
        <v>2175</v>
      </c>
      <c r="K18" s="79">
        <v>2527097.75</v>
      </c>
    </row>
    <row r="19" spans="10:11" x14ac:dyDescent="0.5">
      <c r="J19" s="84" t="s">
        <v>2176</v>
      </c>
      <c r="K19" s="79">
        <v>1812692.25</v>
      </c>
    </row>
    <row r="20" spans="10:11" x14ac:dyDescent="0.5">
      <c r="J20" s="84" t="s">
        <v>2177</v>
      </c>
      <c r="K20" s="79">
        <v>1600111.75</v>
      </c>
    </row>
    <row r="21" spans="10:11" x14ac:dyDescent="0.5">
      <c r="J21" s="84" t="s">
        <v>2178</v>
      </c>
      <c r="K21" s="79">
        <v>522077</v>
      </c>
    </row>
    <row r="22" spans="10:11" x14ac:dyDescent="0.5">
      <c r="J22" s="84" t="s">
        <v>2179</v>
      </c>
      <c r="K22" s="79">
        <v>2067729.75</v>
      </c>
    </row>
    <row r="23" spans="10:11" x14ac:dyDescent="0.5">
      <c r="J23" s="78" t="s">
        <v>2182</v>
      </c>
      <c r="K23" s="79">
        <v>8501815.5</v>
      </c>
    </row>
    <row r="24" spans="10:11" x14ac:dyDescent="0.5">
      <c r="J24" s="84" t="s">
        <v>2168</v>
      </c>
      <c r="K24" s="79">
        <v>2288950</v>
      </c>
    </row>
    <row r="25" spans="10:11" x14ac:dyDescent="0.5">
      <c r="J25" s="84" t="s">
        <v>2169</v>
      </c>
      <c r="K25" s="79">
        <v>1010360.25</v>
      </c>
    </row>
    <row r="26" spans="10:11" x14ac:dyDescent="0.5">
      <c r="J26" s="84" t="s">
        <v>2170</v>
      </c>
      <c r="K26" s="79">
        <v>2087134.5</v>
      </c>
    </row>
    <row r="27" spans="10:11" x14ac:dyDescent="0.5">
      <c r="J27" s="84" t="s">
        <v>2171</v>
      </c>
      <c r="K27" s="79">
        <v>1770884</v>
      </c>
    </row>
    <row r="28" spans="10:11" x14ac:dyDescent="0.5">
      <c r="J28" s="84" t="s">
        <v>2172</v>
      </c>
      <c r="K28" s="79">
        <v>254389</v>
      </c>
    </row>
    <row r="29" spans="10:11" x14ac:dyDescent="0.5">
      <c r="J29" s="84" t="s">
        <v>2173</v>
      </c>
      <c r="K29" s="79">
        <v>294710</v>
      </c>
    </row>
    <row r="30" spans="10:11" x14ac:dyDescent="0.5">
      <c r="J30" s="84" t="s">
        <v>2174</v>
      </c>
      <c r="K30" s="79">
        <v>130187.75</v>
      </c>
    </row>
    <row r="31" spans="10:11" x14ac:dyDescent="0.5">
      <c r="J31" s="84" t="s">
        <v>2175</v>
      </c>
      <c r="K31" s="79">
        <v>132232</v>
      </c>
    </row>
    <row r="32" spans="10:11" x14ac:dyDescent="0.5">
      <c r="J32" s="84" t="s">
        <v>2176</v>
      </c>
      <c r="K32" s="79">
        <v>63694</v>
      </c>
    </row>
    <row r="33" spans="10:11" x14ac:dyDescent="0.5">
      <c r="J33" s="84" t="s">
        <v>2177</v>
      </c>
      <c r="K33" s="79">
        <v>712</v>
      </c>
    </row>
    <row r="34" spans="10:11" x14ac:dyDescent="0.5">
      <c r="J34" s="84" t="s">
        <v>2178</v>
      </c>
      <c r="K34" s="79">
        <v>364018</v>
      </c>
    </row>
    <row r="35" spans="10:11" x14ac:dyDescent="0.5">
      <c r="J35" s="84" t="s">
        <v>2179</v>
      </c>
      <c r="K35" s="79">
        <v>104544</v>
      </c>
    </row>
    <row r="36" spans="10:11" x14ac:dyDescent="0.5">
      <c r="J36" s="101" t="s">
        <v>2159</v>
      </c>
      <c r="K36" s="79">
        <v>34762097.5</v>
      </c>
    </row>
    <row r="37" spans="10:11" x14ac:dyDescent="0.5">
      <c r="J37" s="102"/>
    </row>
  </sheetData>
  <mergeCells count="3">
    <mergeCell ref="C7:D7"/>
    <mergeCell ref="F7:G7"/>
    <mergeCell ref="J7:K7"/>
  </mergeCells>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9F6CF-216D-46F9-B90A-646F07AF8A8E}">
  <sheetPr>
    <tabColor theme="8" tint="-0.499984740745262"/>
  </sheetPr>
  <dimension ref="I1:Z1000"/>
  <sheetViews>
    <sheetView showGridLines="0" tabSelected="1" zoomScale="75" zoomScaleNormal="100" workbookViewId="0">
      <selection activeCell="T6" sqref="T6"/>
    </sheetView>
  </sheetViews>
  <sheetFormatPr defaultColWidth="14.453125" defaultRowHeight="15" customHeight="1" x14ac:dyDescent="0.5"/>
  <cols>
    <col min="1" max="16" width="8.7265625" style="63" customWidth="1"/>
    <col min="17" max="17" width="9.54296875" style="63" customWidth="1"/>
    <col min="18" max="26" width="8.7265625" style="63" customWidth="1"/>
    <col min="27" max="16384" width="14.453125" style="63"/>
  </cols>
  <sheetData>
    <row r="1" spans="26:26" ht="14.25" customHeight="1" x14ac:dyDescent="0.5"/>
    <row r="2" spans="26:26" ht="14.25" customHeight="1" x14ac:dyDescent="0.5"/>
    <row r="3" spans="26:26" ht="14.25" customHeight="1" x14ac:dyDescent="0.5"/>
    <row r="4" spans="26:26" ht="14.25" customHeight="1" x14ac:dyDescent="0.5"/>
    <row r="5" spans="26:26" ht="14.25" customHeight="1" x14ac:dyDescent="0.5"/>
    <row r="6" spans="26:26" ht="14.25" customHeight="1" x14ac:dyDescent="0.5"/>
    <row r="7" spans="26:26" ht="14.25" customHeight="1" x14ac:dyDescent="0.5"/>
    <row r="8" spans="26:26" ht="14.25" customHeight="1" x14ac:dyDescent="0.5"/>
    <row r="9" spans="26:26" ht="14.25" customHeight="1" x14ac:dyDescent="0.5"/>
    <row r="10" spans="26:26" ht="12" customHeight="1" x14ac:dyDescent="0.5"/>
    <row r="11" spans="26:26" ht="14.25" customHeight="1" x14ac:dyDescent="0.5">
      <c r="Z11" s="64"/>
    </row>
    <row r="12" spans="26:26" ht="11.25" customHeight="1" x14ac:dyDescent="0.5"/>
    <row r="13" spans="26:26" ht="14.25" customHeight="1" x14ac:dyDescent="0.5"/>
    <row r="14" spans="26:26" ht="14.25" customHeight="1" x14ac:dyDescent="0.5"/>
    <row r="15" spans="26:26" ht="12.75" customHeight="1" x14ac:dyDescent="0.5"/>
    <row r="16" spans="26:26" ht="14.25" customHeight="1" x14ac:dyDescent="0.5"/>
    <row r="17" ht="14.25" customHeight="1" x14ac:dyDescent="0.5"/>
    <row r="18" ht="14.25" customHeight="1" x14ac:dyDescent="0.5"/>
    <row r="19" ht="14.25" customHeight="1" x14ac:dyDescent="0.5"/>
    <row r="20" ht="14.25" customHeight="1" x14ac:dyDescent="0.5"/>
    <row r="21" ht="14.25" customHeight="1" x14ac:dyDescent="0.5"/>
    <row r="22" ht="14.25" customHeight="1" x14ac:dyDescent="0.5"/>
    <row r="23" ht="14.25" customHeight="1" x14ac:dyDescent="0.5"/>
    <row r="24" ht="14.25" customHeight="1" x14ac:dyDescent="0.5"/>
    <row r="25" ht="14.25" customHeight="1" x14ac:dyDescent="0.5"/>
    <row r="26" ht="14.25" customHeight="1" x14ac:dyDescent="0.5"/>
    <row r="27" ht="14.25" customHeight="1" x14ac:dyDescent="0.5"/>
    <row r="28" ht="14.25" customHeight="1" x14ac:dyDescent="0.5"/>
    <row r="29" ht="14.25" customHeight="1" x14ac:dyDescent="0.5"/>
    <row r="30" ht="14.25" customHeight="1" x14ac:dyDescent="0.5"/>
    <row r="31" ht="14.25" customHeight="1" x14ac:dyDescent="0.5"/>
    <row r="32" ht="14.25" customHeight="1" x14ac:dyDescent="0.5"/>
    <row r="33" spans="9:9" ht="14.25" customHeight="1" x14ac:dyDescent="0.5"/>
    <row r="34" spans="9:9" ht="14.25" customHeight="1" x14ac:dyDescent="0.5">
      <c r="I34" s="65"/>
    </row>
    <row r="35" spans="9:9" ht="14.25" customHeight="1" x14ac:dyDescent="0.5"/>
    <row r="36" spans="9:9" ht="14.25" customHeight="1" x14ac:dyDescent="0.5"/>
    <row r="37" spans="9:9" ht="14.25" customHeight="1" x14ac:dyDescent="0.5"/>
    <row r="38" spans="9:9" ht="14.25" customHeight="1" x14ac:dyDescent="0.5"/>
    <row r="39" spans="9:9" ht="14.25" customHeight="1" x14ac:dyDescent="0.5"/>
    <row r="40" spans="9:9" ht="14.25" customHeight="1" x14ac:dyDescent="0.5"/>
    <row r="41" spans="9:9" ht="14.25" customHeight="1" x14ac:dyDescent="0.5"/>
    <row r="42" spans="9:9" ht="14.25" customHeight="1" x14ac:dyDescent="0.5"/>
    <row r="43" spans="9:9" ht="14.25" customHeight="1" x14ac:dyDescent="0.5"/>
    <row r="44" spans="9:9" ht="14.25" customHeight="1" x14ac:dyDescent="0.5"/>
    <row r="45" spans="9:9" ht="14.25" customHeight="1" x14ac:dyDescent="0.5"/>
    <row r="46" spans="9:9" ht="14.25" customHeight="1" x14ac:dyDescent="0.5"/>
    <row r="47" spans="9:9" ht="14.25" customHeight="1" x14ac:dyDescent="0.5"/>
    <row r="48" spans="9:9" ht="14.25" customHeight="1" x14ac:dyDescent="0.5"/>
    <row r="49" ht="14.25" customHeight="1" x14ac:dyDescent="0.5"/>
    <row r="50" ht="14.25" customHeight="1" x14ac:dyDescent="0.5"/>
    <row r="51" ht="14.25" customHeight="1" x14ac:dyDescent="0.5"/>
    <row r="52" ht="14.25" customHeight="1" x14ac:dyDescent="0.5"/>
    <row r="53" ht="14.25" customHeight="1" x14ac:dyDescent="0.5"/>
    <row r="54" ht="14.25" customHeight="1" x14ac:dyDescent="0.5"/>
    <row r="55" ht="14.25" customHeight="1" x14ac:dyDescent="0.5"/>
    <row r="56" ht="14.25" customHeight="1" x14ac:dyDescent="0.5"/>
    <row r="57" ht="14.25" customHeight="1" x14ac:dyDescent="0.5"/>
    <row r="58" ht="14.25" customHeight="1" x14ac:dyDescent="0.5"/>
    <row r="59" ht="14.25" customHeight="1" x14ac:dyDescent="0.5"/>
    <row r="60" ht="14.25" customHeight="1" x14ac:dyDescent="0.5"/>
    <row r="61" ht="14.25" customHeight="1" x14ac:dyDescent="0.5"/>
    <row r="62" ht="14.25" customHeight="1" x14ac:dyDescent="0.5"/>
    <row r="63" ht="14.25" customHeight="1" x14ac:dyDescent="0.5"/>
    <row r="64" ht="14.25" customHeight="1" x14ac:dyDescent="0.5"/>
    <row r="65" ht="14.25" customHeight="1" x14ac:dyDescent="0.5"/>
    <row r="66" ht="14.25" customHeight="1" x14ac:dyDescent="0.5"/>
    <row r="67" ht="14.25" customHeight="1" x14ac:dyDescent="0.5"/>
    <row r="68" ht="14.25" customHeight="1" x14ac:dyDescent="0.5"/>
    <row r="69" ht="14.25" customHeight="1" x14ac:dyDescent="0.5"/>
    <row r="70" ht="14.25" customHeight="1" x14ac:dyDescent="0.5"/>
    <row r="71" ht="14.25" customHeight="1" x14ac:dyDescent="0.5"/>
    <row r="72" ht="14.25" customHeight="1" x14ac:dyDescent="0.5"/>
    <row r="73" ht="14.25" customHeight="1" x14ac:dyDescent="0.5"/>
    <row r="74" ht="14.25" customHeight="1" x14ac:dyDescent="0.5"/>
    <row r="75" ht="14.25" customHeight="1" x14ac:dyDescent="0.5"/>
    <row r="76" ht="14.25" customHeight="1" x14ac:dyDescent="0.5"/>
    <row r="77" ht="14.25" customHeight="1" x14ac:dyDescent="0.5"/>
    <row r="78" ht="14.25" customHeight="1" x14ac:dyDescent="0.5"/>
    <row r="79" ht="14.25" customHeight="1" x14ac:dyDescent="0.5"/>
    <row r="80" ht="14.25" customHeight="1" x14ac:dyDescent="0.5"/>
    <row r="81" ht="14.25" customHeight="1" x14ac:dyDescent="0.5"/>
    <row r="82" ht="14.25" customHeight="1" x14ac:dyDescent="0.5"/>
    <row r="83" ht="14.25" customHeight="1" x14ac:dyDescent="0.5"/>
    <row r="84" ht="14.25" customHeight="1" x14ac:dyDescent="0.5"/>
    <row r="85" ht="14.25" customHeight="1" x14ac:dyDescent="0.5"/>
    <row r="86" ht="14.25" customHeight="1" x14ac:dyDescent="0.5"/>
    <row r="87" ht="14.25" customHeight="1" x14ac:dyDescent="0.5"/>
    <row r="88" ht="14.25" customHeight="1" x14ac:dyDescent="0.5"/>
    <row r="89" ht="14.25" customHeight="1" x14ac:dyDescent="0.5"/>
    <row r="90" ht="14.25" customHeight="1" x14ac:dyDescent="0.5"/>
    <row r="91" ht="14.25" customHeight="1" x14ac:dyDescent="0.5"/>
    <row r="92" ht="14.25" customHeight="1" x14ac:dyDescent="0.5"/>
    <row r="93" ht="14.25" customHeight="1" x14ac:dyDescent="0.5"/>
    <row r="94" ht="14.25" customHeight="1" x14ac:dyDescent="0.5"/>
    <row r="95" ht="14.25" customHeight="1" x14ac:dyDescent="0.5"/>
    <row r="96" ht="14.25" customHeight="1" x14ac:dyDescent="0.5"/>
    <row r="97" ht="14.25" customHeight="1" x14ac:dyDescent="0.5"/>
    <row r="98" ht="14.25" customHeight="1" x14ac:dyDescent="0.5"/>
    <row r="99" ht="14.25" customHeight="1" x14ac:dyDescent="0.5"/>
    <row r="100" ht="14.25" customHeight="1" x14ac:dyDescent="0.5"/>
    <row r="101" ht="14.25" customHeight="1" x14ac:dyDescent="0.5"/>
    <row r="102" ht="14.25" customHeight="1" x14ac:dyDescent="0.5"/>
    <row r="103" ht="14.25" customHeight="1" x14ac:dyDescent="0.5"/>
    <row r="104" ht="14.25" customHeight="1" x14ac:dyDescent="0.5"/>
    <row r="105" ht="14.25" customHeight="1" x14ac:dyDescent="0.5"/>
    <row r="106" ht="14.25" customHeight="1" x14ac:dyDescent="0.5"/>
    <row r="107" ht="14.25" customHeight="1" x14ac:dyDescent="0.5"/>
    <row r="108" ht="14.25" customHeight="1" x14ac:dyDescent="0.5"/>
    <row r="109" ht="14.25" customHeight="1" x14ac:dyDescent="0.5"/>
    <row r="110" ht="14.25" customHeight="1" x14ac:dyDescent="0.5"/>
    <row r="111" ht="14.25" customHeight="1" x14ac:dyDescent="0.5"/>
    <row r="112" ht="14.25" customHeight="1" x14ac:dyDescent="0.5"/>
    <row r="113" ht="14.25" customHeight="1" x14ac:dyDescent="0.5"/>
    <row r="114" ht="14.25" customHeight="1" x14ac:dyDescent="0.5"/>
    <row r="115" ht="14.25" customHeight="1" x14ac:dyDescent="0.5"/>
    <row r="116" ht="14.25" customHeight="1" x14ac:dyDescent="0.5"/>
    <row r="117" ht="14.25" customHeight="1" x14ac:dyDescent="0.5"/>
    <row r="118" ht="14.25" customHeight="1" x14ac:dyDescent="0.5"/>
    <row r="119" ht="14.25" customHeight="1" x14ac:dyDescent="0.5"/>
    <row r="120" ht="14.25" customHeight="1" x14ac:dyDescent="0.5"/>
    <row r="121" ht="14.25" customHeight="1" x14ac:dyDescent="0.5"/>
    <row r="122" ht="14.25" customHeight="1" x14ac:dyDescent="0.5"/>
    <row r="123" ht="14.25" customHeight="1" x14ac:dyDescent="0.5"/>
    <row r="124" ht="14.25" customHeight="1" x14ac:dyDescent="0.5"/>
    <row r="125" ht="14.25" customHeight="1" x14ac:dyDescent="0.5"/>
    <row r="126" ht="14.25" customHeight="1" x14ac:dyDescent="0.5"/>
    <row r="127" ht="14.25" customHeight="1" x14ac:dyDescent="0.5"/>
    <row r="128" ht="14.25" customHeight="1" x14ac:dyDescent="0.5"/>
    <row r="129" ht="14.25" customHeight="1" x14ac:dyDescent="0.5"/>
    <row r="130" ht="14.25" customHeight="1" x14ac:dyDescent="0.5"/>
    <row r="131" ht="14.25" customHeight="1" x14ac:dyDescent="0.5"/>
    <row r="132" ht="14.25" customHeight="1" x14ac:dyDescent="0.5"/>
    <row r="133" ht="14.25" customHeight="1" x14ac:dyDescent="0.5"/>
    <row r="134" ht="14.25" customHeight="1" x14ac:dyDescent="0.5"/>
    <row r="135" ht="14.25" customHeight="1" x14ac:dyDescent="0.5"/>
    <row r="136" ht="14.25" customHeight="1" x14ac:dyDescent="0.5"/>
    <row r="137" ht="14.25" customHeight="1" x14ac:dyDescent="0.5"/>
    <row r="138" ht="14.25" customHeight="1" x14ac:dyDescent="0.5"/>
    <row r="139" ht="14.25" customHeight="1" x14ac:dyDescent="0.5"/>
    <row r="140" ht="14.25" customHeight="1" x14ac:dyDescent="0.5"/>
    <row r="141" ht="14.25" customHeight="1" x14ac:dyDescent="0.5"/>
    <row r="142" ht="14.25" customHeight="1" x14ac:dyDescent="0.5"/>
    <row r="143" ht="14.25" customHeight="1" x14ac:dyDescent="0.5"/>
    <row r="144" ht="14.25" customHeight="1" x14ac:dyDescent="0.5"/>
    <row r="145" ht="14.25" customHeight="1" x14ac:dyDescent="0.5"/>
    <row r="146" ht="14.25" customHeight="1" x14ac:dyDescent="0.5"/>
    <row r="147" ht="14.25" customHeight="1" x14ac:dyDescent="0.5"/>
    <row r="148" ht="14.25" customHeight="1" x14ac:dyDescent="0.5"/>
    <row r="149" ht="14.25" customHeight="1" x14ac:dyDescent="0.5"/>
    <row r="150" ht="14.25" customHeight="1" x14ac:dyDescent="0.5"/>
    <row r="151" ht="14.25" customHeight="1" x14ac:dyDescent="0.5"/>
    <row r="152" ht="14.25" customHeight="1" x14ac:dyDescent="0.5"/>
    <row r="153" ht="14.25" customHeight="1" x14ac:dyDescent="0.5"/>
    <row r="154" ht="14.25" customHeight="1" x14ac:dyDescent="0.5"/>
    <row r="155" ht="14.25" customHeight="1" x14ac:dyDescent="0.5"/>
    <row r="156" ht="14.25" customHeight="1" x14ac:dyDescent="0.5"/>
    <row r="157" ht="14.25" customHeight="1" x14ac:dyDescent="0.5"/>
    <row r="158" ht="14.25" customHeight="1" x14ac:dyDescent="0.5"/>
    <row r="159" ht="14.25" customHeight="1" x14ac:dyDescent="0.5"/>
    <row r="160" ht="14.25" customHeight="1" x14ac:dyDescent="0.5"/>
    <row r="161" ht="14.25" customHeight="1" x14ac:dyDescent="0.5"/>
    <row r="162" ht="14.25" customHeight="1" x14ac:dyDescent="0.5"/>
    <row r="163" ht="14.25" customHeight="1" x14ac:dyDescent="0.5"/>
    <row r="164" ht="14.25" customHeight="1" x14ac:dyDescent="0.5"/>
    <row r="165" ht="14.25" customHeight="1" x14ac:dyDescent="0.5"/>
    <row r="166" ht="14.25" customHeight="1" x14ac:dyDescent="0.5"/>
    <row r="167" ht="14.25" customHeight="1" x14ac:dyDescent="0.5"/>
    <row r="168" ht="14.25" customHeight="1" x14ac:dyDescent="0.5"/>
    <row r="169" ht="14.25" customHeight="1" x14ac:dyDescent="0.5"/>
    <row r="170" ht="14.25" customHeight="1" x14ac:dyDescent="0.5"/>
    <row r="171" ht="14.25" customHeight="1" x14ac:dyDescent="0.5"/>
    <row r="172" ht="14.25" customHeight="1" x14ac:dyDescent="0.5"/>
    <row r="173" ht="14.25" customHeight="1" x14ac:dyDescent="0.5"/>
    <row r="174" ht="14.25" customHeight="1" x14ac:dyDescent="0.5"/>
    <row r="175" ht="14.25" customHeight="1" x14ac:dyDescent="0.5"/>
    <row r="176" ht="14.25" customHeight="1" x14ac:dyDescent="0.5"/>
    <row r="177" ht="14.25" customHeight="1" x14ac:dyDescent="0.5"/>
    <row r="178" ht="14.25" customHeight="1" x14ac:dyDescent="0.5"/>
    <row r="179" ht="14.25" customHeight="1" x14ac:dyDescent="0.5"/>
    <row r="180" ht="14.25" customHeight="1" x14ac:dyDescent="0.5"/>
    <row r="181" ht="14.25" customHeight="1" x14ac:dyDescent="0.5"/>
    <row r="182" ht="14.25" customHeight="1" x14ac:dyDescent="0.5"/>
    <row r="183" ht="14.25" customHeight="1" x14ac:dyDescent="0.5"/>
    <row r="184" ht="14.25" customHeight="1" x14ac:dyDescent="0.5"/>
    <row r="185" ht="14.25" customHeight="1" x14ac:dyDescent="0.5"/>
    <row r="186" ht="14.25" customHeight="1" x14ac:dyDescent="0.5"/>
    <row r="187" ht="14.25" customHeight="1" x14ac:dyDescent="0.5"/>
    <row r="188" ht="14.25" customHeight="1" x14ac:dyDescent="0.5"/>
    <row r="189" ht="14.25" customHeight="1" x14ac:dyDescent="0.5"/>
    <row r="190" ht="14.25" customHeight="1" x14ac:dyDescent="0.5"/>
    <row r="191" ht="14.25" customHeight="1" x14ac:dyDescent="0.5"/>
    <row r="192" ht="14.25" customHeight="1" x14ac:dyDescent="0.5"/>
    <row r="193" ht="14.25" customHeight="1" x14ac:dyDescent="0.5"/>
    <row r="194" ht="14.25" customHeight="1" x14ac:dyDescent="0.5"/>
    <row r="195" ht="14.25" customHeight="1" x14ac:dyDescent="0.5"/>
    <row r="196" ht="14.25" customHeight="1" x14ac:dyDescent="0.5"/>
    <row r="197" ht="14.25" customHeight="1" x14ac:dyDescent="0.5"/>
    <row r="198" ht="14.25" customHeight="1" x14ac:dyDescent="0.5"/>
    <row r="199" ht="14.25" customHeight="1" x14ac:dyDescent="0.5"/>
    <row r="200" ht="14.25" customHeight="1" x14ac:dyDescent="0.5"/>
    <row r="201" ht="14.25" customHeight="1" x14ac:dyDescent="0.5"/>
    <row r="202" ht="14.25" customHeight="1" x14ac:dyDescent="0.5"/>
    <row r="203" ht="14.25" customHeight="1" x14ac:dyDescent="0.5"/>
    <row r="204" ht="14.25" customHeight="1" x14ac:dyDescent="0.5"/>
    <row r="205" ht="14.25" customHeight="1" x14ac:dyDescent="0.5"/>
    <row r="206" ht="14.25" customHeight="1" x14ac:dyDescent="0.5"/>
    <row r="207" ht="14.25" customHeight="1" x14ac:dyDescent="0.5"/>
    <row r="208" ht="14.25" customHeight="1" x14ac:dyDescent="0.5"/>
    <row r="209" ht="14.25" customHeight="1" x14ac:dyDescent="0.5"/>
    <row r="210" ht="14.25" customHeight="1" x14ac:dyDescent="0.5"/>
    <row r="211" ht="14.25" customHeight="1" x14ac:dyDescent="0.5"/>
    <row r="212" ht="14.25" customHeight="1" x14ac:dyDescent="0.5"/>
    <row r="213" ht="14.25" customHeight="1" x14ac:dyDescent="0.5"/>
    <row r="214" ht="14.25" customHeight="1" x14ac:dyDescent="0.5"/>
    <row r="215" ht="14.25" customHeight="1" x14ac:dyDescent="0.5"/>
    <row r="216" ht="14.25" customHeight="1" x14ac:dyDescent="0.5"/>
    <row r="217" ht="14.25" customHeight="1" x14ac:dyDescent="0.5"/>
    <row r="218" ht="14.25" customHeight="1" x14ac:dyDescent="0.5"/>
    <row r="219" ht="14.25" customHeight="1" x14ac:dyDescent="0.5"/>
    <row r="220" ht="14.25" customHeight="1" x14ac:dyDescent="0.5"/>
    <row r="221" ht="14.25" customHeight="1" x14ac:dyDescent="0.5"/>
    <row r="222" ht="14.25" customHeight="1" x14ac:dyDescent="0.5"/>
    <row r="223" ht="14.25" customHeight="1" x14ac:dyDescent="0.5"/>
    <row r="224" ht="14.25" customHeight="1" x14ac:dyDescent="0.5"/>
    <row r="225" ht="14.25" customHeight="1" x14ac:dyDescent="0.5"/>
    <row r="226" ht="14.25" customHeight="1" x14ac:dyDescent="0.5"/>
    <row r="227" ht="14.25" customHeight="1" x14ac:dyDescent="0.5"/>
    <row r="228" ht="14.25" customHeight="1" x14ac:dyDescent="0.5"/>
    <row r="229" ht="14.25" customHeight="1" x14ac:dyDescent="0.5"/>
    <row r="230" ht="14.25" customHeight="1" x14ac:dyDescent="0.5"/>
    <row r="231" ht="14.25" customHeight="1" x14ac:dyDescent="0.5"/>
    <row r="232" ht="14.25" customHeight="1" x14ac:dyDescent="0.5"/>
    <row r="233" ht="14.25" customHeight="1" x14ac:dyDescent="0.5"/>
    <row r="234" ht="14.25" customHeight="1" x14ac:dyDescent="0.5"/>
    <row r="235" ht="14.25" customHeight="1" x14ac:dyDescent="0.5"/>
    <row r="236" ht="14.25" customHeight="1" x14ac:dyDescent="0.5"/>
    <row r="237" ht="14.25" customHeight="1" x14ac:dyDescent="0.5"/>
    <row r="238" ht="14.25" customHeight="1" x14ac:dyDescent="0.5"/>
    <row r="239" ht="14.25" customHeight="1" x14ac:dyDescent="0.5"/>
    <row r="240" ht="14.25" customHeight="1" x14ac:dyDescent="0.5"/>
    <row r="241" ht="14.25" customHeight="1" x14ac:dyDescent="0.5"/>
    <row r="242" ht="14.25" customHeight="1" x14ac:dyDescent="0.5"/>
    <row r="243" ht="14.25" customHeight="1" x14ac:dyDescent="0.5"/>
    <row r="244" ht="14.25" customHeight="1" x14ac:dyDescent="0.5"/>
    <row r="245" ht="14.25" customHeight="1" x14ac:dyDescent="0.5"/>
    <row r="246" ht="14.25" customHeight="1" x14ac:dyDescent="0.5"/>
    <row r="247" ht="14.25" customHeight="1" x14ac:dyDescent="0.5"/>
    <row r="248" ht="14.25" customHeight="1" x14ac:dyDescent="0.5"/>
    <row r="249" ht="14.25" customHeight="1" x14ac:dyDescent="0.5"/>
    <row r="250" ht="14.25" customHeight="1" x14ac:dyDescent="0.5"/>
    <row r="251" ht="14.25" customHeight="1" x14ac:dyDescent="0.5"/>
    <row r="252" ht="14.25" customHeight="1" x14ac:dyDescent="0.5"/>
    <row r="253" ht="14.25" customHeight="1" x14ac:dyDescent="0.5"/>
    <row r="254" ht="14.25" customHeight="1" x14ac:dyDescent="0.5"/>
    <row r="255" ht="14.25" customHeight="1" x14ac:dyDescent="0.5"/>
    <row r="256" ht="14.25" customHeight="1" x14ac:dyDescent="0.5"/>
    <row r="257" ht="14.25" customHeight="1" x14ac:dyDescent="0.5"/>
    <row r="258" ht="14.25" customHeight="1" x14ac:dyDescent="0.5"/>
    <row r="259" ht="14.25" customHeight="1" x14ac:dyDescent="0.5"/>
    <row r="260" ht="14.25" customHeight="1" x14ac:dyDescent="0.5"/>
    <row r="261" ht="14.25" customHeight="1" x14ac:dyDescent="0.5"/>
    <row r="262" ht="14.25" customHeight="1" x14ac:dyDescent="0.5"/>
    <row r="263" ht="14.25" customHeight="1" x14ac:dyDescent="0.5"/>
    <row r="264" ht="14.25" customHeight="1" x14ac:dyDescent="0.5"/>
    <row r="265" ht="14.25" customHeight="1" x14ac:dyDescent="0.5"/>
    <row r="266" ht="14.25" customHeight="1" x14ac:dyDescent="0.5"/>
    <row r="267" ht="14.25" customHeight="1" x14ac:dyDescent="0.5"/>
    <row r="268" ht="14.25" customHeight="1" x14ac:dyDescent="0.5"/>
    <row r="269" ht="14.25" customHeight="1" x14ac:dyDescent="0.5"/>
    <row r="270" ht="14.25" customHeight="1" x14ac:dyDescent="0.5"/>
    <row r="271" ht="14.25" customHeight="1" x14ac:dyDescent="0.5"/>
    <row r="272" ht="14.25" customHeight="1" x14ac:dyDescent="0.5"/>
    <row r="273" ht="14.25" customHeight="1" x14ac:dyDescent="0.5"/>
    <row r="274" ht="14.25" customHeight="1" x14ac:dyDescent="0.5"/>
    <row r="275" ht="14.25" customHeight="1" x14ac:dyDescent="0.5"/>
    <row r="276" ht="14.25" customHeight="1" x14ac:dyDescent="0.5"/>
    <row r="277" ht="14.25" customHeight="1" x14ac:dyDescent="0.5"/>
    <row r="278" ht="14.25" customHeight="1" x14ac:dyDescent="0.5"/>
    <row r="279" ht="14.25" customHeight="1" x14ac:dyDescent="0.5"/>
    <row r="280" ht="14.25" customHeight="1" x14ac:dyDescent="0.5"/>
    <row r="281" ht="14.25" customHeight="1" x14ac:dyDescent="0.5"/>
    <row r="282" ht="14.25" customHeight="1" x14ac:dyDescent="0.5"/>
    <row r="283" ht="14.25" customHeight="1" x14ac:dyDescent="0.5"/>
    <row r="284" ht="14.25" customHeight="1" x14ac:dyDescent="0.5"/>
    <row r="285" ht="14.25" customHeight="1" x14ac:dyDescent="0.5"/>
    <row r="286" ht="14.25" customHeight="1" x14ac:dyDescent="0.5"/>
    <row r="287" ht="14.25" customHeight="1" x14ac:dyDescent="0.5"/>
    <row r="288" ht="14.25" customHeight="1" x14ac:dyDescent="0.5"/>
    <row r="289" ht="14.25" customHeight="1" x14ac:dyDescent="0.5"/>
    <row r="290" ht="14.25" customHeight="1" x14ac:dyDescent="0.5"/>
    <row r="291" ht="14.25" customHeight="1" x14ac:dyDescent="0.5"/>
    <row r="292" ht="14.25" customHeight="1" x14ac:dyDescent="0.5"/>
    <row r="293" ht="14.25" customHeight="1" x14ac:dyDescent="0.5"/>
    <row r="294" ht="14.25" customHeight="1" x14ac:dyDescent="0.5"/>
    <row r="295" ht="14.25" customHeight="1" x14ac:dyDescent="0.5"/>
    <row r="296" ht="14.25" customHeight="1" x14ac:dyDescent="0.5"/>
    <row r="297" ht="14.25" customHeight="1" x14ac:dyDescent="0.5"/>
    <row r="298" ht="14.25" customHeight="1" x14ac:dyDescent="0.5"/>
    <row r="299" ht="14.25" customHeight="1" x14ac:dyDescent="0.5"/>
    <row r="300" ht="14.25" customHeight="1" x14ac:dyDescent="0.5"/>
    <row r="301" ht="14.25" customHeight="1" x14ac:dyDescent="0.5"/>
    <row r="302" ht="14.25" customHeight="1" x14ac:dyDescent="0.5"/>
    <row r="303" ht="14.25" customHeight="1" x14ac:dyDescent="0.5"/>
    <row r="304" ht="14.25" customHeight="1" x14ac:dyDescent="0.5"/>
    <row r="305" ht="14.25" customHeight="1" x14ac:dyDescent="0.5"/>
    <row r="306" ht="14.25" customHeight="1" x14ac:dyDescent="0.5"/>
    <row r="307" ht="14.25" customHeight="1" x14ac:dyDescent="0.5"/>
    <row r="308" ht="14.25" customHeight="1" x14ac:dyDescent="0.5"/>
    <row r="309" ht="14.25" customHeight="1" x14ac:dyDescent="0.5"/>
    <row r="310" ht="14.25" customHeight="1" x14ac:dyDescent="0.5"/>
    <row r="311" ht="14.25" customHeight="1" x14ac:dyDescent="0.5"/>
    <row r="312" ht="14.25" customHeight="1" x14ac:dyDescent="0.5"/>
    <row r="313" ht="14.25" customHeight="1" x14ac:dyDescent="0.5"/>
    <row r="314" ht="14.25" customHeight="1" x14ac:dyDescent="0.5"/>
    <row r="315" ht="14.25" customHeight="1" x14ac:dyDescent="0.5"/>
    <row r="316" ht="14.25" customHeight="1" x14ac:dyDescent="0.5"/>
    <row r="317" ht="14.25" customHeight="1" x14ac:dyDescent="0.5"/>
    <row r="318" ht="14.25" customHeight="1" x14ac:dyDescent="0.5"/>
    <row r="319" ht="14.25" customHeight="1" x14ac:dyDescent="0.5"/>
    <row r="320" ht="14.25" customHeight="1" x14ac:dyDescent="0.5"/>
    <row r="321" ht="14.25" customHeight="1" x14ac:dyDescent="0.5"/>
    <row r="322" ht="14.25" customHeight="1" x14ac:dyDescent="0.5"/>
    <row r="323" ht="14.25" customHeight="1" x14ac:dyDescent="0.5"/>
    <row r="324" ht="14.25" customHeight="1" x14ac:dyDescent="0.5"/>
    <row r="325" ht="14.25" customHeight="1" x14ac:dyDescent="0.5"/>
    <row r="326" ht="14.25" customHeight="1" x14ac:dyDescent="0.5"/>
    <row r="327" ht="14.25" customHeight="1" x14ac:dyDescent="0.5"/>
    <row r="328" ht="14.25" customHeight="1" x14ac:dyDescent="0.5"/>
    <row r="329" ht="14.25" customHeight="1" x14ac:dyDescent="0.5"/>
    <row r="330" ht="14.25" customHeight="1" x14ac:dyDescent="0.5"/>
    <row r="331" ht="14.25" customHeight="1" x14ac:dyDescent="0.5"/>
    <row r="332" ht="14.25" customHeight="1" x14ac:dyDescent="0.5"/>
    <row r="333" ht="14.25" customHeight="1" x14ac:dyDescent="0.5"/>
    <row r="334" ht="14.25" customHeight="1" x14ac:dyDescent="0.5"/>
    <row r="335" ht="14.25" customHeight="1" x14ac:dyDescent="0.5"/>
    <row r="336" ht="14.25" customHeight="1" x14ac:dyDescent="0.5"/>
    <row r="337" ht="14.25" customHeight="1" x14ac:dyDescent="0.5"/>
    <row r="338" ht="14.25" customHeight="1" x14ac:dyDescent="0.5"/>
    <row r="339" ht="14.25" customHeight="1" x14ac:dyDescent="0.5"/>
    <row r="340" ht="14.25" customHeight="1" x14ac:dyDescent="0.5"/>
    <row r="341" ht="14.25" customHeight="1" x14ac:dyDescent="0.5"/>
    <row r="342" ht="14.25" customHeight="1" x14ac:dyDescent="0.5"/>
    <row r="343" ht="14.25" customHeight="1" x14ac:dyDescent="0.5"/>
    <row r="344" ht="14.25" customHeight="1" x14ac:dyDescent="0.5"/>
    <row r="345" ht="14.25" customHeight="1" x14ac:dyDescent="0.5"/>
    <row r="346" ht="14.25" customHeight="1" x14ac:dyDescent="0.5"/>
    <row r="347" ht="14.25" customHeight="1" x14ac:dyDescent="0.5"/>
    <row r="348" ht="14.25" customHeight="1" x14ac:dyDescent="0.5"/>
    <row r="349" ht="14.25" customHeight="1" x14ac:dyDescent="0.5"/>
    <row r="350" ht="14.25" customHeight="1" x14ac:dyDescent="0.5"/>
    <row r="351" ht="14.25" customHeight="1" x14ac:dyDescent="0.5"/>
    <row r="352" ht="14.25" customHeight="1" x14ac:dyDescent="0.5"/>
    <row r="353" ht="14.25" customHeight="1" x14ac:dyDescent="0.5"/>
    <row r="354" ht="14.25" customHeight="1" x14ac:dyDescent="0.5"/>
    <row r="355" ht="14.25" customHeight="1" x14ac:dyDescent="0.5"/>
    <row r="356" ht="14.25" customHeight="1" x14ac:dyDescent="0.5"/>
    <row r="357" ht="14.25" customHeight="1" x14ac:dyDescent="0.5"/>
    <row r="358" ht="14.25" customHeight="1" x14ac:dyDescent="0.5"/>
    <row r="359" ht="14.25" customHeight="1" x14ac:dyDescent="0.5"/>
    <row r="360" ht="14.25" customHeight="1" x14ac:dyDescent="0.5"/>
    <row r="361" ht="14.25" customHeight="1" x14ac:dyDescent="0.5"/>
    <row r="362" ht="14.25" customHeight="1" x14ac:dyDescent="0.5"/>
    <row r="363" ht="14.25" customHeight="1" x14ac:dyDescent="0.5"/>
    <row r="364" ht="14.25" customHeight="1" x14ac:dyDescent="0.5"/>
    <row r="365" ht="14.25" customHeight="1" x14ac:dyDescent="0.5"/>
    <row r="366" ht="14.25" customHeight="1" x14ac:dyDescent="0.5"/>
    <row r="367" ht="14.25" customHeight="1" x14ac:dyDescent="0.5"/>
    <row r="368" ht="14.25" customHeight="1" x14ac:dyDescent="0.5"/>
    <row r="369" ht="14.25" customHeight="1" x14ac:dyDescent="0.5"/>
    <row r="370" ht="14.25" customHeight="1" x14ac:dyDescent="0.5"/>
    <row r="371" ht="14.25" customHeight="1" x14ac:dyDescent="0.5"/>
    <row r="372" ht="14.25" customHeight="1" x14ac:dyDescent="0.5"/>
    <row r="373" ht="14.25" customHeight="1" x14ac:dyDescent="0.5"/>
    <row r="374" ht="14.25" customHeight="1" x14ac:dyDescent="0.5"/>
    <row r="375" ht="14.25" customHeight="1" x14ac:dyDescent="0.5"/>
    <row r="376" ht="14.25" customHeight="1" x14ac:dyDescent="0.5"/>
    <row r="377" ht="14.25" customHeight="1" x14ac:dyDescent="0.5"/>
    <row r="378" ht="14.25" customHeight="1" x14ac:dyDescent="0.5"/>
    <row r="379" ht="14.25" customHeight="1" x14ac:dyDescent="0.5"/>
    <row r="380" ht="14.25" customHeight="1" x14ac:dyDescent="0.5"/>
    <row r="381" ht="14.25" customHeight="1" x14ac:dyDescent="0.5"/>
    <row r="382" ht="14.25" customHeight="1" x14ac:dyDescent="0.5"/>
    <row r="383" ht="14.25" customHeight="1" x14ac:dyDescent="0.5"/>
    <row r="384" ht="14.25" customHeight="1" x14ac:dyDescent="0.5"/>
    <row r="385" ht="14.25" customHeight="1" x14ac:dyDescent="0.5"/>
    <row r="386" ht="14.25" customHeight="1" x14ac:dyDescent="0.5"/>
    <row r="387" ht="14.25" customHeight="1" x14ac:dyDescent="0.5"/>
    <row r="388" ht="14.25" customHeight="1" x14ac:dyDescent="0.5"/>
    <row r="389" ht="14.25" customHeight="1" x14ac:dyDescent="0.5"/>
    <row r="390" ht="14.25" customHeight="1" x14ac:dyDescent="0.5"/>
    <row r="391" ht="14.25" customHeight="1" x14ac:dyDescent="0.5"/>
    <row r="392" ht="14.25" customHeight="1" x14ac:dyDescent="0.5"/>
    <row r="393" ht="14.25" customHeight="1" x14ac:dyDescent="0.5"/>
    <row r="394" ht="14.25" customHeight="1" x14ac:dyDescent="0.5"/>
    <row r="395" ht="14.25" customHeight="1" x14ac:dyDescent="0.5"/>
    <row r="396" ht="14.25" customHeight="1" x14ac:dyDescent="0.5"/>
    <row r="397" ht="14.25" customHeight="1" x14ac:dyDescent="0.5"/>
    <row r="398" ht="14.25" customHeight="1" x14ac:dyDescent="0.5"/>
    <row r="399" ht="14.25" customHeight="1" x14ac:dyDescent="0.5"/>
    <row r="400" ht="14.25" customHeight="1" x14ac:dyDescent="0.5"/>
    <row r="401" ht="14.25" customHeight="1" x14ac:dyDescent="0.5"/>
    <row r="402" ht="14.25" customHeight="1" x14ac:dyDescent="0.5"/>
    <row r="403" ht="14.25" customHeight="1" x14ac:dyDescent="0.5"/>
    <row r="404" ht="14.25" customHeight="1" x14ac:dyDescent="0.5"/>
    <row r="405" ht="14.25" customHeight="1" x14ac:dyDescent="0.5"/>
    <row r="406" ht="14.25" customHeight="1" x14ac:dyDescent="0.5"/>
    <row r="407" ht="14.25" customHeight="1" x14ac:dyDescent="0.5"/>
    <row r="408" ht="14.25" customHeight="1" x14ac:dyDescent="0.5"/>
    <row r="409" ht="14.25" customHeight="1" x14ac:dyDescent="0.5"/>
    <row r="410" ht="14.25" customHeight="1" x14ac:dyDescent="0.5"/>
    <row r="411" ht="14.25" customHeight="1" x14ac:dyDescent="0.5"/>
    <row r="412" ht="14.25" customHeight="1" x14ac:dyDescent="0.5"/>
    <row r="413" ht="14.25" customHeight="1" x14ac:dyDescent="0.5"/>
    <row r="414" ht="14.25" customHeight="1" x14ac:dyDescent="0.5"/>
    <row r="415" ht="14.25" customHeight="1" x14ac:dyDescent="0.5"/>
    <row r="416" ht="14.25" customHeight="1" x14ac:dyDescent="0.5"/>
    <row r="417" ht="14.25" customHeight="1" x14ac:dyDescent="0.5"/>
    <row r="418" ht="14.25" customHeight="1" x14ac:dyDescent="0.5"/>
    <row r="419" ht="14.25" customHeight="1" x14ac:dyDescent="0.5"/>
    <row r="420" ht="14.25" customHeight="1" x14ac:dyDescent="0.5"/>
    <row r="421" ht="14.25" customHeight="1" x14ac:dyDescent="0.5"/>
    <row r="422" ht="14.25" customHeight="1" x14ac:dyDescent="0.5"/>
    <row r="423" ht="14.25" customHeight="1" x14ac:dyDescent="0.5"/>
    <row r="424" ht="14.25" customHeight="1" x14ac:dyDescent="0.5"/>
    <row r="425" ht="14.25" customHeight="1" x14ac:dyDescent="0.5"/>
    <row r="426" ht="14.25" customHeight="1" x14ac:dyDescent="0.5"/>
    <row r="427" ht="14.25" customHeight="1" x14ac:dyDescent="0.5"/>
    <row r="428" ht="14.25" customHeight="1" x14ac:dyDescent="0.5"/>
    <row r="429" ht="14.25" customHeight="1" x14ac:dyDescent="0.5"/>
    <row r="430" ht="14.25" customHeight="1" x14ac:dyDescent="0.5"/>
    <row r="431" ht="14.25" customHeight="1" x14ac:dyDescent="0.5"/>
    <row r="432" ht="14.25" customHeight="1" x14ac:dyDescent="0.5"/>
    <row r="433" ht="14.25" customHeight="1" x14ac:dyDescent="0.5"/>
    <row r="434" ht="14.25" customHeight="1" x14ac:dyDescent="0.5"/>
    <row r="435" ht="14.25" customHeight="1" x14ac:dyDescent="0.5"/>
    <row r="436" ht="14.25" customHeight="1" x14ac:dyDescent="0.5"/>
    <row r="437" ht="14.25" customHeight="1" x14ac:dyDescent="0.5"/>
    <row r="438" ht="14.25" customHeight="1" x14ac:dyDescent="0.5"/>
    <row r="439" ht="14.25" customHeight="1" x14ac:dyDescent="0.5"/>
    <row r="440" ht="14.25" customHeight="1" x14ac:dyDescent="0.5"/>
    <row r="441" ht="14.25" customHeight="1" x14ac:dyDescent="0.5"/>
    <row r="442" ht="14.25" customHeight="1" x14ac:dyDescent="0.5"/>
    <row r="443" ht="14.25" customHeight="1" x14ac:dyDescent="0.5"/>
    <row r="444" ht="14.25" customHeight="1" x14ac:dyDescent="0.5"/>
    <row r="445" ht="14.25" customHeight="1" x14ac:dyDescent="0.5"/>
    <row r="446" ht="14.25" customHeight="1" x14ac:dyDescent="0.5"/>
    <row r="447" ht="14.25" customHeight="1" x14ac:dyDescent="0.5"/>
    <row r="448" ht="14.25" customHeight="1" x14ac:dyDescent="0.5"/>
    <row r="449" ht="14.25" customHeight="1" x14ac:dyDescent="0.5"/>
    <row r="450" ht="14.25" customHeight="1" x14ac:dyDescent="0.5"/>
    <row r="451" ht="14.25" customHeight="1" x14ac:dyDescent="0.5"/>
    <row r="452" ht="14.25" customHeight="1" x14ac:dyDescent="0.5"/>
    <row r="453" ht="14.25" customHeight="1" x14ac:dyDescent="0.5"/>
    <row r="454" ht="14.25" customHeight="1" x14ac:dyDescent="0.5"/>
    <row r="455" ht="14.25" customHeight="1" x14ac:dyDescent="0.5"/>
    <row r="456" ht="14.25" customHeight="1" x14ac:dyDescent="0.5"/>
    <row r="457" ht="14.25" customHeight="1" x14ac:dyDescent="0.5"/>
    <row r="458" ht="14.25" customHeight="1" x14ac:dyDescent="0.5"/>
    <row r="459" ht="14.25" customHeight="1" x14ac:dyDescent="0.5"/>
    <row r="460" ht="14.25" customHeight="1" x14ac:dyDescent="0.5"/>
    <row r="461" ht="14.25" customHeight="1" x14ac:dyDescent="0.5"/>
    <row r="462" ht="14.25" customHeight="1" x14ac:dyDescent="0.5"/>
    <row r="463" ht="14.25" customHeight="1" x14ac:dyDescent="0.5"/>
    <row r="464" ht="14.25" customHeight="1" x14ac:dyDescent="0.5"/>
    <row r="465" ht="14.25" customHeight="1" x14ac:dyDescent="0.5"/>
    <row r="466" ht="14.25" customHeight="1" x14ac:dyDescent="0.5"/>
    <row r="467" ht="14.25" customHeight="1" x14ac:dyDescent="0.5"/>
    <row r="468" ht="14.25" customHeight="1" x14ac:dyDescent="0.5"/>
    <row r="469" ht="14.25" customHeight="1" x14ac:dyDescent="0.5"/>
    <row r="470" ht="14.25" customHeight="1" x14ac:dyDescent="0.5"/>
    <row r="471" ht="14.25" customHeight="1" x14ac:dyDescent="0.5"/>
    <row r="472" ht="14.25" customHeight="1" x14ac:dyDescent="0.5"/>
    <row r="473" ht="14.25" customHeight="1" x14ac:dyDescent="0.5"/>
    <row r="474" ht="14.25" customHeight="1" x14ac:dyDescent="0.5"/>
    <row r="475" ht="14.25" customHeight="1" x14ac:dyDescent="0.5"/>
    <row r="476" ht="14.25" customHeight="1" x14ac:dyDescent="0.5"/>
    <row r="477" ht="14.25" customHeight="1" x14ac:dyDescent="0.5"/>
    <row r="478" ht="14.25" customHeight="1" x14ac:dyDescent="0.5"/>
    <row r="479" ht="14.25" customHeight="1" x14ac:dyDescent="0.5"/>
    <row r="480" ht="14.25" customHeight="1" x14ac:dyDescent="0.5"/>
    <row r="481" ht="14.25" customHeight="1" x14ac:dyDescent="0.5"/>
    <row r="482" ht="14.25" customHeight="1" x14ac:dyDescent="0.5"/>
    <row r="483" ht="14.25" customHeight="1" x14ac:dyDescent="0.5"/>
    <row r="484" ht="14.25" customHeight="1" x14ac:dyDescent="0.5"/>
    <row r="485" ht="14.25" customHeight="1" x14ac:dyDescent="0.5"/>
    <row r="486" ht="14.25" customHeight="1" x14ac:dyDescent="0.5"/>
    <row r="487" ht="14.25" customHeight="1" x14ac:dyDescent="0.5"/>
    <row r="488" ht="14.25" customHeight="1" x14ac:dyDescent="0.5"/>
    <row r="489" ht="14.25" customHeight="1" x14ac:dyDescent="0.5"/>
    <row r="490" ht="14.25" customHeight="1" x14ac:dyDescent="0.5"/>
    <row r="491" ht="14.25" customHeight="1" x14ac:dyDescent="0.5"/>
    <row r="492" ht="14.25" customHeight="1" x14ac:dyDescent="0.5"/>
    <row r="493" ht="14.25" customHeight="1" x14ac:dyDescent="0.5"/>
    <row r="494" ht="14.25" customHeight="1" x14ac:dyDescent="0.5"/>
    <row r="495" ht="14.25" customHeight="1" x14ac:dyDescent="0.5"/>
    <row r="496" ht="14.25" customHeight="1" x14ac:dyDescent="0.5"/>
    <row r="497" ht="14.25" customHeight="1" x14ac:dyDescent="0.5"/>
    <row r="498" ht="14.25" customHeight="1" x14ac:dyDescent="0.5"/>
    <row r="499" ht="14.25" customHeight="1" x14ac:dyDescent="0.5"/>
    <row r="500" ht="14.25" customHeight="1" x14ac:dyDescent="0.5"/>
    <row r="501" ht="14.25" customHeight="1" x14ac:dyDescent="0.5"/>
    <row r="502" ht="14.25" customHeight="1" x14ac:dyDescent="0.5"/>
    <row r="503" ht="14.25" customHeight="1" x14ac:dyDescent="0.5"/>
    <row r="504" ht="14.25" customHeight="1" x14ac:dyDescent="0.5"/>
    <row r="505" ht="14.25" customHeight="1" x14ac:dyDescent="0.5"/>
    <row r="506" ht="14.25" customHeight="1" x14ac:dyDescent="0.5"/>
    <row r="507" ht="14.25" customHeight="1" x14ac:dyDescent="0.5"/>
    <row r="508" ht="14.25" customHeight="1" x14ac:dyDescent="0.5"/>
    <row r="509" ht="14.25" customHeight="1" x14ac:dyDescent="0.5"/>
    <row r="510" ht="14.25" customHeight="1" x14ac:dyDescent="0.5"/>
    <row r="511" ht="14.25" customHeight="1" x14ac:dyDescent="0.5"/>
    <row r="512" ht="14.25" customHeight="1" x14ac:dyDescent="0.5"/>
    <row r="513" ht="14.25" customHeight="1" x14ac:dyDescent="0.5"/>
    <row r="514" ht="14.25" customHeight="1" x14ac:dyDescent="0.5"/>
    <row r="515" ht="14.25" customHeight="1" x14ac:dyDescent="0.5"/>
    <row r="516" ht="14.25" customHeight="1" x14ac:dyDescent="0.5"/>
    <row r="517" ht="14.25" customHeight="1" x14ac:dyDescent="0.5"/>
    <row r="518" ht="14.25" customHeight="1" x14ac:dyDescent="0.5"/>
    <row r="519" ht="14.25" customHeight="1" x14ac:dyDescent="0.5"/>
    <row r="520" ht="14.25" customHeight="1" x14ac:dyDescent="0.5"/>
    <row r="521" ht="14.25" customHeight="1" x14ac:dyDescent="0.5"/>
    <row r="522" ht="14.25" customHeight="1" x14ac:dyDescent="0.5"/>
    <row r="523" ht="14.25" customHeight="1" x14ac:dyDescent="0.5"/>
    <row r="524" ht="14.25" customHeight="1" x14ac:dyDescent="0.5"/>
    <row r="525" ht="14.25" customHeight="1" x14ac:dyDescent="0.5"/>
    <row r="526" ht="14.25" customHeight="1" x14ac:dyDescent="0.5"/>
    <row r="527" ht="14.25" customHeight="1" x14ac:dyDescent="0.5"/>
    <row r="528" ht="14.25" customHeight="1" x14ac:dyDescent="0.5"/>
    <row r="529" ht="14.25" customHeight="1" x14ac:dyDescent="0.5"/>
    <row r="530" ht="14.25" customHeight="1" x14ac:dyDescent="0.5"/>
    <row r="531" ht="14.25" customHeight="1" x14ac:dyDescent="0.5"/>
    <row r="532" ht="14.25" customHeight="1" x14ac:dyDescent="0.5"/>
    <row r="533" ht="14.25" customHeight="1" x14ac:dyDescent="0.5"/>
    <row r="534" ht="14.25" customHeight="1" x14ac:dyDescent="0.5"/>
    <row r="535" ht="14.25" customHeight="1" x14ac:dyDescent="0.5"/>
    <row r="536" ht="14.25" customHeight="1" x14ac:dyDescent="0.5"/>
    <row r="537" ht="14.25" customHeight="1" x14ac:dyDescent="0.5"/>
    <row r="538" ht="14.25" customHeight="1" x14ac:dyDescent="0.5"/>
    <row r="539" ht="14.25" customHeight="1" x14ac:dyDescent="0.5"/>
    <row r="540" ht="14.25" customHeight="1" x14ac:dyDescent="0.5"/>
    <row r="541" ht="14.25" customHeight="1" x14ac:dyDescent="0.5"/>
    <row r="542" ht="14.25" customHeight="1" x14ac:dyDescent="0.5"/>
    <row r="543" ht="14.25" customHeight="1" x14ac:dyDescent="0.5"/>
    <row r="544" ht="14.25" customHeight="1" x14ac:dyDescent="0.5"/>
    <row r="545" ht="14.25" customHeight="1" x14ac:dyDescent="0.5"/>
    <row r="546" ht="14.25" customHeight="1" x14ac:dyDescent="0.5"/>
    <row r="547" ht="14.25" customHeight="1" x14ac:dyDescent="0.5"/>
    <row r="548" ht="14.25" customHeight="1" x14ac:dyDescent="0.5"/>
    <row r="549" ht="14.25" customHeight="1" x14ac:dyDescent="0.5"/>
    <row r="550" ht="14.25" customHeight="1" x14ac:dyDescent="0.5"/>
    <row r="551" ht="14.25" customHeight="1" x14ac:dyDescent="0.5"/>
    <row r="552" ht="14.25" customHeight="1" x14ac:dyDescent="0.5"/>
    <row r="553" ht="14.25" customHeight="1" x14ac:dyDescent="0.5"/>
    <row r="554" ht="14.25" customHeight="1" x14ac:dyDescent="0.5"/>
    <row r="555" ht="14.25" customHeight="1" x14ac:dyDescent="0.5"/>
    <row r="556" ht="14.25" customHeight="1" x14ac:dyDescent="0.5"/>
    <row r="557" ht="14.25" customHeight="1" x14ac:dyDescent="0.5"/>
    <row r="558" ht="14.25" customHeight="1" x14ac:dyDescent="0.5"/>
    <row r="559" ht="14.25" customHeight="1" x14ac:dyDescent="0.5"/>
    <row r="560" ht="14.25" customHeight="1" x14ac:dyDescent="0.5"/>
    <row r="561" ht="14.25" customHeight="1" x14ac:dyDescent="0.5"/>
    <row r="562" ht="14.25" customHeight="1" x14ac:dyDescent="0.5"/>
    <row r="563" ht="14.25" customHeight="1" x14ac:dyDescent="0.5"/>
    <row r="564" ht="14.25" customHeight="1" x14ac:dyDescent="0.5"/>
    <row r="565" ht="14.25" customHeight="1" x14ac:dyDescent="0.5"/>
    <row r="566" ht="14.25" customHeight="1" x14ac:dyDescent="0.5"/>
    <row r="567" ht="14.25" customHeight="1" x14ac:dyDescent="0.5"/>
    <row r="568" ht="14.25" customHeight="1" x14ac:dyDescent="0.5"/>
    <row r="569" ht="14.25" customHeight="1" x14ac:dyDescent="0.5"/>
    <row r="570" ht="14.25" customHeight="1" x14ac:dyDescent="0.5"/>
    <row r="571" ht="14.25" customHeight="1" x14ac:dyDescent="0.5"/>
    <row r="572" ht="14.25" customHeight="1" x14ac:dyDescent="0.5"/>
    <row r="573" ht="14.25" customHeight="1" x14ac:dyDescent="0.5"/>
    <row r="574" ht="14.25" customHeight="1" x14ac:dyDescent="0.5"/>
    <row r="575" ht="14.25" customHeight="1" x14ac:dyDescent="0.5"/>
    <row r="576" ht="14.25" customHeight="1" x14ac:dyDescent="0.5"/>
    <row r="577" ht="14.25" customHeight="1" x14ac:dyDescent="0.5"/>
    <row r="578" ht="14.25" customHeight="1" x14ac:dyDescent="0.5"/>
    <row r="579" ht="14.25" customHeight="1" x14ac:dyDescent="0.5"/>
    <row r="580" ht="14.25" customHeight="1" x14ac:dyDescent="0.5"/>
    <row r="581" ht="14.25" customHeight="1" x14ac:dyDescent="0.5"/>
    <row r="582" ht="14.25" customHeight="1" x14ac:dyDescent="0.5"/>
    <row r="583" ht="14.25" customHeight="1" x14ac:dyDescent="0.5"/>
    <row r="584" ht="14.25" customHeight="1" x14ac:dyDescent="0.5"/>
    <row r="585" ht="14.25" customHeight="1" x14ac:dyDescent="0.5"/>
    <row r="586" ht="14.25" customHeight="1" x14ac:dyDescent="0.5"/>
    <row r="587" ht="14.25" customHeight="1" x14ac:dyDescent="0.5"/>
    <row r="588" ht="14.25" customHeight="1" x14ac:dyDescent="0.5"/>
    <row r="589" ht="14.25" customHeight="1" x14ac:dyDescent="0.5"/>
    <row r="590" ht="14.25" customHeight="1" x14ac:dyDescent="0.5"/>
    <row r="591" ht="14.25" customHeight="1" x14ac:dyDescent="0.5"/>
    <row r="592" ht="14.25" customHeight="1" x14ac:dyDescent="0.5"/>
    <row r="593" ht="14.25" customHeight="1" x14ac:dyDescent="0.5"/>
    <row r="594" ht="14.25" customHeight="1" x14ac:dyDescent="0.5"/>
    <row r="595" ht="14.25" customHeight="1" x14ac:dyDescent="0.5"/>
    <row r="596" ht="14.25" customHeight="1" x14ac:dyDescent="0.5"/>
    <row r="597" ht="14.25" customHeight="1" x14ac:dyDescent="0.5"/>
    <row r="598" ht="14.25" customHeight="1" x14ac:dyDescent="0.5"/>
    <row r="599" ht="14.25" customHeight="1" x14ac:dyDescent="0.5"/>
    <row r="600" ht="14.25" customHeight="1" x14ac:dyDescent="0.5"/>
    <row r="601" ht="14.25" customHeight="1" x14ac:dyDescent="0.5"/>
    <row r="602" ht="14.25" customHeight="1" x14ac:dyDescent="0.5"/>
    <row r="603" ht="14.25" customHeight="1" x14ac:dyDescent="0.5"/>
    <row r="604" ht="14.25" customHeight="1" x14ac:dyDescent="0.5"/>
    <row r="605" ht="14.25" customHeight="1" x14ac:dyDescent="0.5"/>
    <row r="606" ht="14.25" customHeight="1" x14ac:dyDescent="0.5"/>
    <row r="607" ht="14.25" customHeight="1" x14ac:dyDescent="0.5"/>
    <row r="608" ht="14.25" customHeight="1" x14ac:dyDescent="0.5"/>
    <row r="609" ht="14.25" customHeight="1" x14ac:dyDescent="0.5"/>
    <row r="610" ht="14.25" customHeight="1" x14ac:dyDescent="0.5"/>
    <row r="611" ht="14.25" customHeight="1" x14ac:dyDescent="0.5"/>
    <row r="612" ht="14.25" customHeight="1" x14ac:dyDescent="0.5"/>
    <row r="613" ht="14.25" customHeight="1" x14ac:dyDescent="0.5"/>
    <row r="614" ht="14.25" customHeight="1" x14ac:dyDescent="0.5"/>
    <row r="615" ht="14.25" customHeight="1" x14ac:dyDescent="0.5"/>
    <row r="616" ht="14.25" customHeight="1" x14ac:dyDescent="0.5"/>
    <row r="617" ht="14.25" customHeight="1" x14ac:dyDescent="0.5"/>
    <row r="618" ht="14.25" customHeight="1" x14ac:dyDescent="0.5"/>
    <row r="619" ht="14.25" customHeight="1" x14ac:dyDescent="0.5"/>
    <row r="620" ht="14.25" customHeight="1" x14ac:dyDescent="0.5"/>
    <row r="621" ht="14.25" customHeight="1" x14ac:dyDescent="0.5"/>
    <row r="622" ht="14.25" customHeight="1" x14ac:dyDescent="0.5"/>
    <row r="623" ht="14.25" customHeight="1" x14ac:dyDescent="0.5"/>
    <row r="624" ht="14.25" customHeight="1" x14ac:dyDescent="0.5"/>
    <row r="625" ht="14.25" customHeight="1" x14ac:dyDescent="0.5"/>
    <row r="626" ht="14.25" customHeight="1" x14ac:dyDescent="0.5"/>
    <row r="627" ht="14.25" customHeight="1" x14ac:dyDescent="0.5"/>
    <row r="628" ht="14.25" customHeight="1" x14ac:dyDescent="0.5"/>
    <row r="629" ht="14.25" customHeight="1" x14ac:dyDescent="0.5"/>
    <row r="630" ht="14.25" customHeight="1" x14ac:dyDescent="0.5"/>
    <row r="631" ht="14.25" customHeight="1" x14ac:dyDescent="0.5"/>
    <row r="632" ht="14.25" customHeight="1" x14ac:dyDescent="0.5"/>
    <row r="633" ht="14.25" customHeight="1" x14ac:dyDescent="0.5"/>
    <row r="634" ht="14.25" customHeight="1" x14ac:dyDescent="0.5"/>
    <row r="635" ht="14.25" customHeight="1" x14ac:dyDescent="0.5"/>
    <row r="636" ht="14.25" customHeight="1" x14ac:dyDescent="0.5"/>
    <row r="637" ht="14.25" customHeight="1" x14ac:dyDescent="0.5"/>
    <row r="638" ht="14.25" customHeight="1" x14ac:dyDescent="0.5"/>
    <row r="639" ht="14.25" customHeight="1" x14ac:dyDescent="0.5"/>
    <row r="640" ht="14.25" customHeight="1" x14ac:dyDescent="0.5"/>
    <row r="641" ht="14.25" customHeight="1" x14ac:dyDescent="0.5"/>
    <row r="642" ht="14.25" customHeight="1" x14ac:dyDescent="0.5"/>
    <row r="643" ht="14.25" customHeight="1" x14ac:dyDescent="0.5"/>
    <row r="644" ht="14.25" customHeight="1" x14ac:dyDescent="0.5"/>
    <row r="645" ht="14.25" customHeight="1" x14ac:dyDescent="0.5"/>
    <row r="646" ht="14.25" customHeight="1" x14ac:dyDescent="0.5"/>
    <row r="647" ht="14.25" customHeight="1" x14ac:dyDescent="0.5"/>
    <row r="648" ht="14.25" customHeight="1" x14ac:dyDescent="0.5"/>
    <row r="649" ht="14.25" customHeight="1" x14ac:dyDescent="0.5"/>
    <row r="650" ht="14.25" customHeight="1" x14ac:dyDescent="0.5"/>
    <row r="651" ht="14.25" customHeight="1" x14ac:dyDescent="0.5"/>
    <row r="652" ht="14.25" customHeight="1" x14ac:dyDescent="0.5"/>
    <row r="653" ht="14.25" customHeight="1" x14ac:dyDescent="0.5"/>
    <row r="654" ht="14.25" customHeight="1" x14ac:dyDescent="0.5"/>
    <row r="655" ht="14.25" customHeight="1" x14ac:dyDescent="0.5"/>
    <row r="656" ht="14.25" customHeight="1" x14ac:dyDescent="0.5"/>
    <row r="657" ht="14.25" customHeight="1" x14ac:dyDescent="0.5"/>
    <row r="658" ht="14.25" customHeight="1" x14ac:dyDescent="0.5"/>
    <row r="659" ht="14.25" customHeight="1" x14ac:dyDescent="0.5"/>
    <row r="660" ht="14.25" customHeight="1" x14ac:dyDescent="0.5"/>
    <row r="661" ht="14.25" customHeight="1" x14ac:dyDescent="0.5"/>
    <row r="662" ht="14.25" customHeight="1" x14ac:dyDescent="0.5"/>
    <row r="663" ht="14.25" customHeight="1" x14ac:dyDescent="0.5"/>
    <row r="664" ht="14.25" customHeight="1" x14ac:dyDescent="0.5"/>
    <row r="665" ht="14.25" customHeight="1" x14ac:dyDescent="0.5"/>
    <row r="666" ht="14.25" customHeight="1" x14ac:dyDescent="0.5"/>
    <row r="667" ht="14.25" customHeight="1" x14ac:dyDescent="0.5"/>
    <row r="668" ht="14.25" customHeight="1" x14ac:dyDescent="0.5"/>
    <row r="669" ht="14.25" customHeight="1" x14ac:dyDescent="0.5"/>
    <row r="670" ht="14.25" customHeight="1" x14ac:dyDescent="0.5"/>
    <row r="671" ht="14.25" customHeight="1" x14ac:dyDescent="0.5"/>
    <row r="672" ht="14.25" customHeight="1" x14ac:dyDescent="0.5"/>
    <row r="673" ht="14.25" customHeight="1" x14ac:dyDescent="0.5"/>
    <row r="674" ht="14.25" customHeight="1" x14ac:dyDescent="0.5"/>
    <row r="675" ht="14.25" customHeight="1" x14ac:dyDescent="0.5"/>
    <row r="676" ht="14.25" customHeight="1" x14ac:dyDescent="0.5"/>
    <row r="677" ht="14.25" customHeight="1" x14ac:dyDescent="0.5"/>
    <row r="678" ht="14.25" customHeight="1" x14ac:dyDescent="0.5"/>
    <row r="679" ht="14.25" customHeight="1" x14ac:dyDescent="0.5"/>
    <row r="680" ht="14.25" customHeight="1" x14ac:dyDescent="0.5"/>
    <row r="681" ht="14.25" customHeight="1" x14ac:dyDescent="0.5"/>
    <row r="682" ht="14.25" customHeight="1" x14ac:dyDescent="0.5"/>
    <row r="683" ht="14.25" customHeight="1" x14ac:dyDescent="0.5"/>
    <row r="684" ht="14.25" customHeight="1" x14ac:dyDescent="0.5"/>
    <row r="685" ht="14.25" customHeight="1" x14ac:dyDescent="0.5"/>
    <row r="686" ht="14.25" customHeight="1" x14ac:dyDescent="0.5"/>
    <row r="687" ht="14.25" customHeight="1" x14ac:dyDescent="0.5"/>
    <row r="688" ht="14.25" customHeight="1" x14ac:dyDescent="0.5"/>
    <row r="689" ht="14.25" customHeight="1" x14ac:dyDescent="0.5"/>
    <row r="690" ht="14.25" customHeight="1" x14ac:dyDescent="0.5"/>
    <row r="691" ht="14.25" customHeight="1" x14ac:dyDescent="0.5"/>
    <row r="692" ht="14.25" customHeight="1" x14ac:dyDescent="0.5"/>
    <row r="693" ht="14.25" customHeight="1" x14ac:dyDescent="0.5"/>
    <row r="694" ht="14.25" customHeight="1" x14ac:dyDescent="0.5"/>
    <row r="695" ht="14.25" customHeight="1" x14ac:dyDescent="0.5"/>
    <row r="696" ht="14.25" customHeight="1" x14ac:dyDescent="0.5"/>
    <row r="697" ht="14.25" customHeight="1" x14ac:dyDescent="0.5"/>
    <row r="698" ht="14.25" customHeight="1" x14ac:dyDescent="0.5"/>
    <row r="699" ht="14.25" customHeight="1" x14ac:dyDescent="0.5"/>
    <row r="700" ht="14.25" customHeight="1" x14ac:dyDescent="0.5"/>
    <row r="701" ht="14.25" customHeight="1" x14ac:dyDescent="0.5"/>
    <row r="702" ht="14.25" customHeight="1" x14ac:dyDescent="0.5"/>
    <row r="703" ht="14.25" customHeight="1" x14ac:dyDescent="0.5"/>
    <row r="704" ht="14.25" customHeight="1" x14ac:dyDescent="0.5"/>
    <row r="705" ht="14.25" customHeight="1" x14ac:dyDescent="0.5"/>
    <row r="706" ht="14.25" customHeight="1" x14ac:dyDescent="0.5"/>
    <row r="707" ht="14.25" customHeight="1" x14ac:dyDescent="0.5"/>
    <row r="708" ht="14.25" customHeight="1" x14ac:dyDescent="0.5"/>
    <row r="709" ht="14.25" customHeight="1" x14ac:dyDescent="0.5"/>
    <row r="710" ht="14.25" customHeight="1" x14ac:dyDescent="0.5"/>
    <row r="711" ht="14.25" customHeight="1" x14ac:dyDescent="0.5"/>
    <row r="712" ht="14.25" customHeight="1" x14ac:dyDescent="0.5"/>
    <row r="713" ht="14.25" customHeight="1" x14ac:dyDescent="0.5"/>
    <row r="714" ht="14.25" customHeight="1" x14ac:dyDescent="0.5"/>
    <row r="715" ht="14.25" customHeight="1" x14ac:dyDescent="0.5"/>
    <row r="716" ht="14.25" customHeight="1" x14ac:dyDescent="0.5"/>
    <row r="717" ht="14.25" customHeight="1" x14ac:dyDescent="0.5"/>
    <row r="718" ht="14.25" customHeight="1" x14ac:dyDescent="0.5"/>
    <row r="719" ht="14.25" customHeight="1" x14ac:dyDescent="0.5"/>
    <row r="720" ht="14.25" customHeight="1" x14ac:dyDescent="0.5"/>
    <row r="721" ht="14.25" customHeight="1" x14ac:dyDescent="0.5"/>
    <row r="722" ht="14.25" customHeight="1" x14ac:dyDescent="0.5"/>
    <row r="723" ht="14.25" customHeight="1" x14ac:dyDescent="0.5"/>
    <row r="724" ht="14.25" customHeight="1" x14ac:dyDescent="0.5"/>
    <row r="725" ht="14.25" customHeight="1" x14ac:dyDescent="0.5"/>
    <row r="726" ht="14.25" customHeight="1" x14ac:dyDescent="0.5"/>
    <row r="727" ht="14.25" customHeight="1" x14ac:dyDescent="0.5"/>
    <row r="728" ht="14.25" customHeight="1" x14ac:dyDescent="0.5"/>
    <row r="729" ht="14.25" customHeight="1" x14ac:dyDescent="0.5"/>
    <row r="730" ht="14.25" customHeight="1" x14ac:dyDescent="0.5"/>
    <row r="731" ht="14.25" customHeight="1" x14ac:dyDescent="0.5"/>
    <row r="732" ht="14.25" customHeight="1" x14ac:dyDescent="0.5"/>
    <row r="733" ht="14.25" customHeight="1" x14ac:dyDescent="0.5"/>
    <row r="734" ht="14.25" customHeight="1" x14ac:dyDescent="0.5"/>
    <row r="735" ht="14.25" customHeight="1" x14ac:dyDescent="0.5"/>
    <row r="736" ht="14.25" customHeight="1" x14ac:dyDescent="0.5"/>
    <row r="737" ht="14.25" customHeight="1" x14ac:dyDescent="0.5"/>
    <row r="738" ht="14.25" customHeight="1" x14ac:dyDescent="0.5"/>
    <row r="739" ht="14.25" customHeight="1" x14ac:dyDescent="0.5"/>
    <row r="740" ht="14.25" customHeight="1" x14ac:dyDescent="0.5"/>
    <row r="741" ht="14.25" customHeight="1" x14ac:dyDescent="0.5"/>
    <row r="742" ht="14.25" customHeight="1" x14ac:dyDescent="0.5"/>
    <row r="743" ht="14.25" customHeight="1" x14ac:dyDescent="0.5"/>
    <row r="744" ht="14.25" customHeight="1" x14ac:dyDescent="0.5"/>
    <row r="745" ht="14.25" customHeight="1" x14ac:dyDescent="0.5"/>
    <row r="746" ht="14.25" customHeight="1" x14ac:dyDescent="0.5"/>
    <row r="747" ht="14.25" customHeight="1" x14ac:dyDescent="0.5"/>
    <row r="748" ht="14.25" customHeight="1" x14ac:dyDescent="0.5"/>
    <row r="749" ht="14.25" customHeight="1" x14ac:dyDescent="0.5"/>
    <row r="750" ht="14.25" customHeight="1" x14ac:dyDescent="0.5"/>
    <row r="751" ht="14.25" customHeight="1" x14ac:dyDescent="0.5"/>
    <row r="752" ht="14.25" customHeight="1" x14ac:dyDescent="0.5"/>
    <row r="753" ht="14.25" customHeight="1" x14ac:dyDescent="0.5"/>
    <row r="754" ht="14.25" customHeight="1" x14ac:dyDescent="0.5"/>
    <row r="755" ht="14.25" customHeight="1" x14ac:dyDescent="0.5"/>
    <row r="756" ht="14.25" customHeight="1" x14ac:dyDescent="0.5"/>
    <row r="757" ht="14.25" customHeight="1" x14ac:dyDescent="0.5"/>
    <row r="758" ht="14.25" customHeight="1" x14ac:dyDescent="0.5"/>
    <row r="759" ht="14.25" customHeight="1" x14ac:dyDescent="0.5"/>
    <row r="760" ht="14.25" customHeight="1" x14ac:dyDescent="0.5"/>
    <row r="761" ht="14.25" customHeight="1" x14ac:dyDescent="0.5"/>
    <row r="762" ht="14.25" customHeight="1" x14ac:dyDescent="0.5"/>
    <row r="763" ht="14.25" customHeight="1" x14ac:dyDescent="0.5"/>
    <row r="764" ht="14.25" customHeight="1" x14ac:dyDescent="0.5"/>
    <row r="765" ht="14.25" customHeight="1" x14ac:dyDescent="0.5"/>
    <row r="766" ht="14.25" customHeight="1" x14ac:dyDescent="0.5"/>
    <row r="767" ht="14.25" customHeight="1" x14ac:dyDescent="0.5"/>
    <row r="768" ht="14.25" customHeight="1" x14ac:dyDescent="0.5"/>
    <row r="769" ht="14.25" customHeight="1" x14ac:dyDescent="0.5"/>
    <row r="770" ht="14.25" customHeight="1" x14ac:dyDescent="0.5"/>
    <row r="771" ht="14.25" customHeight="1" x14ac:dyDescent="0.5"/>
    <row r="772" ht="14.25" customHeight="1" x14ac:dyDescent="0.5"/>
    <row r="773" ht="14.25" customHeight="1" x14ac:dyDescent="0.5"/>
    <row r="774" ht="14.25" customHeight="1" x14ac:dyDescent="0.5"/>
    <row r="775" ht="14.25" customHeight="1" x14ac:dyDescent="0.5"/>
    <row r="776" ht="14.25" customHeight="1" x14ac:dyDescent="0.5"/>
    <row r="777" ht="14.25" customHeight="1" x14ac:dyDescent="0.5"/>
    <row r="778" ht="14.25" customHeight="1" x14ac:dyDescent="0.5"/>
    <row r="779" ht="14.25" customHeight="1" x14ac:dyDescent="0.5"/>
    <row r="780" ht="14.25" customHeight="1" x14ac:dyDescent="0.5"/>
    <row r="781" ht="14.25" customHeight="1" x14ac:dyDescent="0.5"/>
    <row r="782" ht="14.25" customHeight="1" x14ac:dyDescent="0.5"/>
    <row r="783" ht="14.25" customHeight="1" x14ac:dyDescent="0.5"/>
    <row r="784" ht="14.25" customHeight="1" x14ac:dyDescent="0.5"/>
    <row r="785" ht="14.25" customHeight="1" x14ac:dyDescent="0.5"/>
    <row r="786" ht="14.25" customHeight="1" x14ac:dyDescent="0.5"/>
    <row r="787" ht="14.25" customHeight="1" x14ac:dyDescent="0.5"/>
    <row r="788" ht="14.25" customHeight="1" x14ac:dyDescent="0.5"/>
    <row r="789" ht="14.25" customHeight="1" x14ac:dyDescent="0.5"/>
    <row r="790" ht="14.25" customHeight="1" x14ac:dyDescent="0.5"/>
    <row r="791" ht="14.25" customHeight="1" x14ac:dyDescent="0.5"/>
    <row r="792" ht="14.25" customHeight="1" x14ac:dyDescent="0.5"/>
    <row r="793" ht="14.25" customHeight="1" x14ac:dyDescent="0.5"/>
    <row r="794" ht="14.25" customHeight="1" x14ac:dyDescent="0.5"/>
    <row r="795" ht="14.25" customHeight="1" x14ac:dyDescent="0.5"/>
    <row r="796" ht="14.25" customHeight="1" x14ac:dyDescent="0.5"/>
    <row r="797" ht="14.25" customHeight="1" x14ac:dyDescent="0.5"/>
    <row r="798" ht="14.25" customHeight="1" x14ac:dyDescent="0.5"/>
    <row r="799" ht="14.25" customHeight="1" x14ac:dyDescent="0.5"/>
    <row r="800" ht="14.25" customHeight="1" x14ac:dyDescent="0.5"/>
    <row r="801" ht="14.25" customHeight="1" x14ac:dyDescent="0.5"/>
    <row r="802" ht="14.25" customHeight="1" x14ac:dyDescent="0.5"/>
    <row r="803" ht="14.25" customHeight="1" x14ac:dyDescent="0.5"/>
    <row r="804" ht="14.25" customHeight="1" x14ac:dyDescent="0.5"/>
    <row r="805" ht="14.25" customHeight="1" x14ac:dyDescent="0.5"/>
    <row r="806" ht="14.25" customHeight="1" x14ac:dyDescent="0.5"/>
    <row r="807" ht="14.25" customHeight="1" x14ac:dyDescent="0.5"/>
    <row r="808" ht="14.25" customHeight="1" x14ac:dyDescent="0.5"/>
    <row r="809" ht="14.25" customHeight="1" x14ac:dyDescent="0.5"/>
    <row r="810" ht="14.25" customHeight="1" x14ac:dyDescent="0.5"/>
    <row r="811" ht="14.25" customHeight="1" x14ac:dyDescent="0.5"/>
    <row r="812" ht="14.25" customHeight="1" x14ac:dyDescent="0.5"/>
    <row r="813" ht="14.25" customHeight="1" x14ac:dyDescent="0.5"/>
    <row r="814" ht="14.25" customHeight="1" x14ac:dyDescent="0.5"/>
    <row r="815" ht="14.25" customHeight="1" x14ac:dyDescent="0.5"/>
    <row r="816" ht="14.25" customHeight="1" x14ac:dyDescent="0.5"/>
    <row r="817" ht="14.25" customHeight="1" x14ac:dyDescent="0.5"/>
    <row r="818" ht="14.25" customHeight="1" x14ac:dyDescent="0.5"/>
    <row r="819" ht="14.25" customHeight="1" x14ac:dyDescent="0.5"/>
    <row r="820" ht="14.25" customHeight="1" x14ac:dyDescent="0.5"/>
    <row r="821" ht="14.25" customHeight="1" x14ac:dyDescent="0.5"/>
    <row r="822" ht="14.25" customHeight="1" x14ac:dyDescent="0.5"/>
    <row r="823" ht="14.25" customHeight="1" x14ac:dyDescent="0.5"/>
    <row r="824" ht="14.25" customHeight="1" x14ac:dyDescent="0.5"/>
    <row r="825" ht="14.25" customHeight="1" x14ac:dyDescent="0.5"/>
    <row r="826" ht="14.25" customHeight="1" x14ac:dyDescent="0.5"/>
    <row r="827" ht="14.25" customHeight="1" x14ac:dyDescent="0.5"/>
    <row r="828" ht="14.25" customHeight="1" x14ac:dyDescent="0.5"/>
    <row r="829" ht="14.25" customHeight="1" x14ac:dyDescent="0.5"/>
    <row r="830" ht="14.25" customHeight="1" x14ac:dyDescent="0.5"/>
    <row r="831" ht="14.25" customHeight="1" x14ac:dyDescent="0.5"/>
    <row r="832" ht="14.25" customHeight="1" x14ac:dyDescent="0.5"/>
    <row r="833" ht="14.25" customHeight="1" x14ac:dyDescent="0.5"/>
    <row r="834" ht="14.25" customHeight="1" x14ac:dyDescent="0.5"/>
    <row r="835" ht="14.25" customHeight="1" x14ac:dyDescent="0.5"/>
    <row r="836" ht="14.25" customHeight="1" x14ac:dyDescent="0.5"/>
    <row r="837" ht="14.25" customHeight="1" x14ac:dyDescent="0.5"/>
    <row r="838" ht="14.25" customHeight="1" x14ac:dyDescent="0.5"/>
    <row r="839" ht="14.25" customHeight="1" x14ac:dyDescent="0.5"/>
    <row r="840" ht="14.25" customHeight="1" x14ac:dyDescent="0.5"/>
    <row r="841" ht="14.25" customHeight="1" x14ac:dyDescent="0.5"/>
    <row r="842" ht="14.25" customHeight="1" x14ac:dyDescent="0.5"/>
    <row r="843" ht="14.25" customHeight="1" x14ac:dyDescent="0.5"/>
    <row r="844" ht="14.25" customHeight="1" x14ac:dyDescent="0.5"/>
    <row r="845" ht="14.25" customHeight="1" x14ac:dyDescent="0.5"/>
    <row r="846" ht="14.25" customHeight="1" x14ac:dyDescent="0.5"/>
    <row r="847" ht="14.25" customHeight="1" x14ac:dyDescent="0.5"/>
    <row r="848" ht="14.25" customHeight="1" x14ac:dyDescent="0.5"/>
    <row r="849" ht="14.25" customHeight="1" x14ac:dyDescent="0.5"/>
    <row r="850" ht="14.25" customHeight="1" x14ac:dyDescent="0.5"/>
    <row r="851" ht="14.25" customHeight="1" x14ac:dyDescent="0.5"/>
    <row r="852" ht="14.25" customHeight="1" x14ac:dyDescent="0.5"/>
    <row r="853" ht="14.25" customHeight="1" x14ac:dyDescent="0.5"/>
    <row r="854" ht="14.25" customHeight="1" x14ac:dyDescent="0.5"/>
    <row r="855" ht="14.25" customHeight="1" x14ac:dyDescent="0.5"/>
    <row r="856" ht="14.25" customHeight="1" x14ac:dyDescent="0.5"/>
    <row r="857" ht="14.25" customHeight="1" x14ac:dyDescent="0.5"/>
    <row r="858" ht="14.25" customHeight="1" x14ac:dyDescent="0.5"/>
    <row r="859" ht="14.25" customHeight="1" x14ac:dyDescent="0.5"/>
    <row r="860" ht="14.25" customHeight="1" x14ac:dyDescent="0.5"/>
    <row r="861" ht="14.25" customHeight="1" x14ac:dyDescent="0.5"/>
    <row r="862" ht="14.25" customHeight="1" x14ac:dyDescent="0.5"/>
    <row r="863" ht="14.25" customHeight="1" x14ac:dyDescent="0.5"/>
    <row r="864" ht="14.25" customHeight="1" x14ac:dyDescent="0.5"/>
    <row r="865" ht="14.25" customHeight="1" x14ac:dyDescent="0.5"/>
    <row r="866" ht="14.25" customHeight="1" x14ac:dyDescent="0.5"/>
    <row r="867" ht="14.25" customHeight="1" x14ac:dyDescent="0.5"/>
    <row r="868" ht="14.25" customHeight="1" x14ac:dyDescent="0.5"/>
    <row r="869" ht="14.25" customHeight="1" x14ac:dyDescent="0.5"/>
    <row r="870" ht="14.25" customHeight="1" x14ac:dyDescent="0.5"/>
    <row r="871" ht="14.25" customHeight="1" x14ac:dyDescent="0.5"/>
    <row r="872" ht="14.25" customHeight="1" x14ac:dyDescent="0.5"/>
    <row r="873" ht="14.25" customHeight="1" x14ac:dyDescent="0.5"/>
    <row r="874" ht="14.25" customHeight="1" x14ac:dyDescent="0.5"/>
    <row r="875" ht="14.25" customHeight="1" x14ac:dyDescent="0.5"/>
    <row r="876" ht="14.25" customHeight="1" x14ac:dyDescent="0.5"/>
    <row r="877" ht="14.25" customHeight="1" x14ac:dyDescent="0.5"/>
    <row r="878" ht="14.25" customHeight="1" x14ac:dyDescent="0.5"/>
    <row r="879" ht="14.25" customHeight="1" x14ac:dyDescent="0.5"/>
    <row r="880" ht="14.25" customHeight="1" x14ac:dyDescent="0.5"/>
    <row r="881" ht="14.25" customHeight="1" x14ac:dyDescent="0.5"/>
    <row r="882" ht="14.25" customHeight="1" x14ac:dyDescent="0.5"/>
    <row r="883" ht="14.25" customHeight="1" x14ac:dyDescent="0.5"/>
    <row r="884" ht="14.25" customHeight="1" x14ac:dyDescent="0.5"/>
    <row r="885" ht="14.25" customHeight="1" x14ac:dyDescent="0.5"/>
    <row r="886" ht="14.25" customHeight="1" x14ac:dyDescent="0.5"/>
    <row r="887" ht="14.25" customHeight="1" x14ac:dyDescent="0.5"/>
    <row r="888" ht="14.25" customHeight="1" x14ac:dyDescent="0.5"/>
    <row r="889" ht="14.25" customHeight="1" x14ac:dyDescent="0.5"/>
    <row r="890" ht="14.25" customHeight="1" x14ac:dyDescent="0.5"/>
    <row r="891" ht="14.25" customHeight="1" x14ac:dyDescent="0.5"/>
    <row r="892" ht="14.25" customHeight="1" x14ac:dyDescent="0.5"/>
    <row r="893" ht="14.25" customHeight="1" x14ac:dyDescent="0.5"/>
    <row r="894" ht="14.25" customHeight="1" x14ac:dyDescent="0.5"/>
    <row r="895" ht="14.25" customHeight="1" x14ac:dyDescent="0.5"/>
    <row r="896" ht="14.25" customHeight="1" x14ac:dyDescent="0.5"/>
    <row r="897" ht="14.25" customHeight="1" x14ac:dyDescent="0.5"/>
    <row r="898" ht="14.25" customHeight="1" x14ac:dyDescent="0.5"/>
    <row r="899" ht="14.25" customHeight="1" x14ac:dyDescent="0.5"/>
    <row r="900" ht="14.25" customHeight="1" x14ac:dyDescent="0.5"/>
    <row r="901" ht="14.25" customHeight="1" x14ac:dyDescent="0.5"/>
    <row r="902" ht="14.25" customHeight="1" x14ac:dyDescent="0.5"/>
    <row r="903" ht="14.25" customHeight="1" x14ac:dyDescent="0.5"/>
    <row r="904" ht="14.25" customHeight="1" x14ac:dyDescent="0.5"/>
    <row r="905" ht="14.25" customHeight="1" x14ac:dyDescent="0.5"/>
    <row r="906" ht="14.25" customHeight="1" x14ac:dyDescent="0.5"/>
    <row r="907" ht="14.25" customHeight="1" x14ac:dyDescent="0.5"/>
    <row r="908" ht="14.25" customHeight="1" x14ac:dyDescent="0.5"/>
    <row r="909" ht="14.25" customHeight="1" x14ac:dyDescent="0.5"/>
    <row r="910" ht="14.25" customHeight="1" x14ac:dyDescent="0.5"/>
    <row r="911" ht="14.25" customHeight="1" x14ac:dyDescent="0.5"/>
    <row r="912" ht="14.25" customHeight="1" x14ac:dyDescent="0.5"/>
    <row r="913" ht="14.25" customHeight="1" x14ac:dyDescent="0.5"/>
    <row r="914" ht="14.25" customHeight="1" x14ac:dyDescent="0.5"/>
    <row r="915" ht="14.25" customHeight="1" x14ac:dyDescent="0.5"/>
    <row r="916" ht="14.25" customHeight="1" x14ac:dyDescent="0.5"/>
    <row r="917" ht="14.25" customHeight="1" x14ac:dyDescent="0.5"/>
    <row r="918" ht="14.25" customHeight="1" x14ac:dyDescent="0.5"/>
    <row r="919" ht="14.25" customHeight="1" x14ac:dyDescent="0.5"/>
    <row r="920" ht="14.25" customHeight="1" x14ac:dyDescent="0.5"/>
    <row r="921" ht="14.25" customHeight="1" x14ac:dyDescent="0.5"/>
    <row r="922" ht="14.25" customHeight="1" x14ac:dyDescent="0.5"/>
    <row r="923" ht="14.25" customHeight="1" x14ac:dyDescent="0.5"/>
    <row r="924" ht="14.25" customHeight="1" x14ac:dyDescent="0.5"/>
    <row r="925" ht="14.25" customHeight="1" x14ac:dyDescent="0.5"/>
    <row r="926" ht="14.25" customHeight="1" x14ac:dyDescent="0.5"/>
    <row r="927" ht="14.25" customHeight="1" x14ac:dyDescent="0.5"/>
    <row r="928" ht="14.25" customHeight="1" x14ac:dyDescent="0.5"/>
    <row r="929" ht="14.25" customHeight="1" x14ac:dyDescent="0.5"/>
    <row r="930" ht="14.25" customHeight="1" x14ac:dyDescent="0.5"/>
    <row r="931" ht="14.25" customHeight="1" x14ac:dyDescent="0.5"/>
    <row r="932" ht="14.25" customHeight="1" x14ac:dyDescent="0.5"/>
    <row r="933" ht="14.25" customHeight="1" x14ac:dyDescent="0.5"/>
    <row r="934" ht="14.25" customHeight="1" x14ac:dyDescent="0.5"/>
    <row r="935" ht="14.25" customHeight="1" x14ac:dyDescent="0.5"/>
    <row r="936" ht="14.25" customHeight="1" x14ac:dyDescent="0.5"/>
    <row r="937" ht="14.25" customHeight="1" x14ac:dyDescent="0.5"/>
    <row r="938" ht="14.25" customHeight="1" x14ac:dyDescent="0.5"/>
    <row r="939" ht="14.25" customHeight="1" x14ac:dyDescent="0.5"/>
    <row r="940" ht="14.25" customHeight="1" x14ac:dyDescent="0.5"/>
    <row r="941" ht="14.25" customHeight="1" x14ac:dyDescent="0.5"/>
    <row r="942" ht="14.25" customHeight="1" x14ac:dyDescent="0.5"/>
    <row r="943" ht="14.25" customHeight="1" x14ac:dyDescent="0.5"/>
    <row r="944" ht="14.25" customHeight="1" x14ac:dyDescent="0.5"/>
    <row r="945" ht="14.25" customHeight="1" x14ac:dyDescent="0.5"/>
    <row r="946" ht="14.25" customHeight="1" x14ac:dyDescent="0.5"/>
    <row r="947" ht="14.25" customHeight="1" x14ac:dyDescent="0.5"/>
    <row r="948" ht="14.25" customHeight="1" x14ac:dyDescent="0.5"/>
    <row r="949" ht="14.25" customHeight="1" x14ac:dyDescent="0.5"/>
    <row r="950" ht="14.25" customHeight="1" x14ac:dyDescent="0.5"/>
    <row r="951" ht="14.25" customHeight="1" x14ac:dyDescent="0.5"/>
    <row r="952" ht="14.25" customHeight="1" x14ac:dyDescent="0.5"/>
    <row r="953" ht="14.25" customHeight="1" x14ac:dyDescent="0.5"/>
    <row r="954" ht="14.25" customHeight="1" x14ac:dyDescent="0.5"/>
    <row r="955" ht="14.25" customHeight="1" x14ac:dyDescent="0.5"/>
    <row r="956" ht="14.25" customHeight="1" x14ac:dyDescent="0.5"/>
    <row r="957" ht="14.25" customHeight="1" x14ac:dyDescent="0.5"/>
    <row r="958" ht="14.25" customHeight="1" x14ac:dyDescent="0.5"/>
    <row r="959" ht="14.25" customHeight="1" x14ac:dyDescent="0.5"/>
    <row r="960" ht="14.25" customHeight="1" x14ac:dyDescent="0.5"/>
    <row r="961" ht="14.25" customHeight="1" x14ac:dyDescent="0.5"/>
    <row r="962" ht="14.25" customHeight="1" x14ac:dyDescent="0.5"/>
    <row r="963" ht="14.25" customHeight="1" x14ac:dyDescent="0.5"/>
    <row r="964" ht="14.25" customHeight="1" x14ac:dyDescent="0.5"/>
    <row r="965" ht="14.25" customHeight="1" x14ac:dyDescent="0.5"/>
    <row r="966" ht="14.25" customHeight="1" x14ac:dyDescent="0.5"/>
    <row r="967" ht="14.25" customHeight="1" x14ac:dyDescent="0.5"/>
    <row r="968" ht="14.25" customHeight="1" x14ac:dyDescent="0.5"/>
    <row r="969" ht="14.25" customHeight="1" x14ac:dyDescent="0.5"/>
    <row r="970" ht="14.25" customHeight="1" x14ac:dyDescent="0.5"/>
    <row r="971" ht="14.25" customHeight="1" x14ac:dyDescent="0.5"/>
    <row r="972" ht="14.25" customHeight="1" x14ac:dyDescent="0.5"/>
    <row r="973" ht="14.25" customHeight="1" x14ac:dyDescent="0.5"/>
    <row r="974" ht="14.25" customHeight="1" x14ac:dyDescent="0.5"/>
    <row r="975" ht="14.25" customHeight="1" x14ac:dyDescent="0.5"/>
    <row r="976" ht="14.25" customHeight="1" x14ac:dyDescent="0.5"/>
    <row r="977" ht="14.25" customHeight="1" x14ac:dyDescent="0.5"/>
    <row r="978" ht="14.25" customHeight="1" x14ac:dyDescent="0.5"/>
    <row r="979" ht="14.25" customHeight="1" x14ac:dyDescent="0.5"/>
    <row r="980" ht="14.25" customHeight="1" x14ac:dyDescent="0.5"/>
    <row r="981" ht="14.25" customHeight="1" x14ac:dyDescent="0.5"/>
    <row r="982" ht="14.25" customHeight="1" x14ac:dyDescent="0.5"/>
    <row r="983" ht="14.25" customHeight="1" x14ac:dyDescent="0.5"/>
    <row r="984" ht="14.25" customHeight="1" x14ac:dyDescent="0.5"/>
    <row r="985" ht="14.25" customHeight="1" x14ac:dyDescent="0.5"/>
    <row r="986" ht="14.25" customHeight="1" x14ac:dyDescent="0.5"/>
    <row r="987" ht="14.25" customHeight="1" x14ac:dyDescent="0.5"/>
    <row r="988" ht="14.25" customHeight="1" x14ac:dyDescent="0.5"/>
    <row r="989" ht="14.25" customHeight="1" x14ac:dyDescent="0.5"/>
    <row r="990" ht="14.25" customHeight="1" x14ac:dyDescent="0.5"/>
    <row r="991" ht="14.25" customHeight="1" x14ac:dyDescent="0.5"/>
    <row r="992" ht="14.25" customHeight="1" x14ac:dyDescent="0.5"/>
    <row r="993" ht="14.25" customHeight="1" x14ac:dyDescent="0.5"/>
    <row r="994" ht="14.25" customHeight="1" x14ac:dyDescent="0.5"/>
    <row r="995" ht="14.25" customHeight="1" x14ac:dyDescent="0.5"/>
    <row r="996" ht="14.25" customHeight="1" x14ac:dyDescent="0.5"/>
    <row r="997" ht="14.25" customHeight="1" x14ac:dyDescent="0.5"/>
    <row r="998" ht="14.25" customHeight="1" x14ac:dyDescent="0.5"/>
    <row r="999" ht="14.25" customHeight="1" x14ac:dyDescent="0.5"/>
    <row r="1000" ht="14.25" customHeight="1" x14ac:dyDescent="0.5"/>
  </sheetData>
  <pageMargins left="0.7" right="0.7" top="0.75" bottom="0.75" header="0" footer="0"/>
  <pageSetup orientation="portrait"/>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Sales_data</vt:lpstr>
      <vt:lpstr>Product_master</vt:lpstr>
      <vt:lpstr>Customer_master</vt:lpstr>
      <vt:lpstr>Q1</vt:lpstr>
      <vt:lpstr>Q2</vt:lpstr>
      <vt:lpstr>Q3</vt:lpstr>
      <vt:lpstr>Product_Lookup_Report</vt:lpstr>
      <vt:lpstr>Sales Summary Report</vt:lpstr>
      <vt:lpstr>Sales Statistics Report</vt:lpstr>
      <vt:lpstr>Product Performance</vt:lpstr>
      <vt:lpstr>Financial Analysis Report</vt:lpstr>
      <vt:lpstr>Cleaned_Data</vt:lpstr>
      <vt:lpstr>working Sales Dashboard </vt:lpstr>
      <vt:lpstr>Sales Dashboard </vt:lpstr>
    </vt:vector>
  </TitlesOfParts>
  <Company>Shubham Chaudhary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copilot_demo</dc:creator>
  <cp:lastModifiedBy>dinesh patel</cp:lastModifiedBy>
  <dcterms:created xsi:type="dcterms:W3CDTF">2026-07-16T07:45:07Z</dcterms:created>
  <dcterms:modified xsi:type="dcterms:W3CDTF">2026-10-15T07:57:22Z</dcterms:modified>
</cp:coreProperties>
</file>